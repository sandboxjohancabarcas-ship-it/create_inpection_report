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129" codeName="{DC747B9D-DBBB-FA85-71B4-595EBAB97821}"/>
  <workbookPr codeName="DieseArbeitsmappe"/>
  <mc:AlternateContent xmlns:mc="http://schemas.openxmlformats.org/markup-compatibility/2006">
    <mc:Choice Requires="x15">
      <x15ac:absPath xmlns:x15ac="http://schemas.microsoft.com/office/spreadsheetml/2010/11/ac" url="M:\Wartung\Wartung_Neu\06-Wartungs-Kunden\FHH-Schulbau\P-001888 Reinbeker Weg 76, Luisen-Gymnasium SBH\2025 Wartung\"/>
    </mc:Choice>
  </mc:AlternateContent>
  <xr:revisionPtr revIDLastSave="0" documentId="13_ncr:1_{CAC430C1-2CC7-4FFC-A9CD-772732493E22}" xr6:coauthVersionLast="47" xr6:coauthVersionMax="47" xr10:uidLastSave="{00000000-0000-0000-0000-000000000000}"/>
  <bookViews>
    <workbookView xWindow="25490" yWindow="-1190" windowWidth="25820" windowHeight="13900" xr2:uid="{00000000-000D-0000-FFFF-FFFF00000000}"/>
  </bookViews>
  <sheets>
    <sheet name="Türlisten 15.05.2025" sheetId="57" r:id="rId1"/>
    <sheet name="Türlisten 26.05.2021" sheetId="55" r:id="rId2"/>
    <sheet name="Kalkulation 26.05.2021" sheetId="56" state="hidden" r:id="rId3"/>
    <sheet name="Kalkulation 15.05.2025" sheetId="58" state="hidden" r:id="rId4"/>
    <sheet name="Fehlercode" sheetId="20" state="hidden" r:id="rId5"/>
    <sheet name="ComBoxData" sheetId="29" state="hidden" r:id="rId6"/>
  </sheets>
  <functionGroups builtInGroupCount="19"/>
  <definedNames>
    <definedName name="_xlnm._FilterDatabase" localSheetId="0" hidden="1">'Türlisten 15.05.2025'!$A$3:$AL$64</definedName>
    <definedName name="_xlnm._FilterDatabase" localSheetId="1" hidden="1">'Türlisten 26.05.2021'!$A$3:$BM$64</definedName>
    <definedName name="_xlnm.Print_Area" localSheetId="0">'Türlisten 15.05.2025'!$A$1:$AL$64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S86" i="58" l="1"/>
  <c r="T86" i="58" s="1"/>
  <c r="S85" i="58"/>
  <c r="T85" i="58" s="1"/>
  <c r="S84" i="58"/>
  <c r="T84" i="58" s="1"/>
  <c r="S83" i="58"/>
  <c r="T83" i="58" s="1"/>
  <c r="S82" i="58"/>
  <c r="T82" i="58" s="1"/>
  <c r="S81" i="58"/>
  <c r="T81" i="58" s="1"/>
  <c r="S80" i="58"/>
  <c r="T80" i="58" s="1"/>
  <c r="S79" i="58"/>
  <c r="T79" i="58" s="1"/>
  <c r="S78" i="58"/>
  <c r="T78" i="58" s="1"/>
  <c r="S77" i="58"/>
  <c r="T77" i="58" s="1"/>
  <c r="S76" i="58"/>
  <c r="T76" i="58" s="1"/>
  <c r="S75" i="58"/>
  <c r="T75" i="58" s="1"/>
  <c r="S74" i="58"/>
  <c r="T74" i="58" s="1"/>
  <c r="S73" i="58"/>
  <c r="T73" i="58" s="1"/>
  <c r="S72" i="58"/>
  <c r="T72" i="58" s="1"/>
  <c r="S71" i="58"/>
  <c r="T71" i="58" s="1"/>
  <c r="S70" i="58"/>
  <c r="T70" i="58" s="1"/>
  <c r="S69" i="58"/>
  <c r="T69" i="58" s="1"/>
  <c r="S68" i="58"/>
  <c r="T68" i="58" s="1"/>
  <c r="S67" i="58"/>
  <c r="T67" i="58" s="1"/>
  <c r="S66" i="58"/>
  <c r="T66" i="58" s="1"/>
  <c r="S65" i="58"/>
  <c r="T65" i="58" s="1"/>
  <c r="S64" i="58"/>
  <c r="T64" i="58" s="1"/>
  <c r="S63" i="58"/>
  <c r="T63" i="58" s="1"/>
  <c r="S62" i="58"/>
  <c r="T62" i="58" s="1"/>
  <c r="S61" i="58"/>
  <c r="T61" i="58" s="1"/>
  <c r="S60" i="58"/>
  <c r="T60" i="58" s="1"/>
  <c r="S59" i="58"/>
  <c r="T59" i="58" s="1"/>
  <c r="S58" i="58"/>
  <c r="T58" i="58" s="1"/>
  <c r="S57" i="58"/>
  <c r="T57" i="58" s="1"/>
  <c r="S56" i="58"/>
  <c r="T56" i="58" s="1"/>
  <c r="S55" i="58"/>
  <c r="T55" i="58" s="1"/>
  <c r="S54" i="58"/>
  <c r="T54" i="58" s="1"/>
  <c r="S53" i="58"/>
  <c r="T53" i="58" s="1"/>
  <c r="S52" i="58"/>
  <c r="T52" i="58" s="1"/>
  <c r="S51" i="58"/>
  <c r="T51" i="58" s="1"/>
  <c r="S50" i="58"/>
  <c r="T50" i="58" s="1"/>
  <c r="S49" i="58"/>
  <c r="T49" i="58" s="1"/>
  <c r="S48" i="58"/>
  <c r="T48" i="58" s="1"/>
  <c r="S47" i="58"/>
  <c r="T47" i="58" s="1"/>
  <c r="S46" i="58"/>
  <c r="T46" i="58" s="1"/>
  <c r="S45" i="58"/>
  <c r="T45" i="58" s="1"/>
  <c r="S44" i="58"/>
  <c r="T44" i="58" s="1"/>
  <c r="S43" i="58"/>
  <c r="T43" i="58" s="1"/>
  <c r="S42" i="58"/>
  <c r="T42" i="58" s="1"/>
  <c r="S41" i="58"/>
  <c r="T41" i="58" s="1"/>
  <c r="S40" i="58"/>
  <c r="T40" i="58" s="1"/>
  <c r="S39" i="58"/>
  <c r="T39" i="58" s="1"/>
  <c r="S38" i="58"/>
  <c r="T38" i="58" s="1"/>
  <c r="S37" i="58"/>
  <c r="T37" i="58" s="1"/>
  <c r="S36" i="58"/>
  <c r="T36" i="58" s="1"/>
  <c r="S35" i="58"/>
  <c r="T35" i="58" s="1"/>
  <c r="S34" i="58"/>
  <c r="T34" i="58" s="1"/>
  <c r="S33" i="58"/>
  <c r="T33" i="58" s="1"/>
  <c r="S32" i="58"/>
  <c r="T32" i="58" s="1"/>
  <c r="S31" i="58"/>
  <c r="T31" i="58" s="1"/>
  <c r="S30" i="58"/>
  <c r="T30" i="58" s="1"/>
  <c r="S29" i="58"/>
  <c r="T29" i="58" s="1"/>
  <c r="S28" i="58"/>
  <c r="T28" i="58" s="1"/>
  <c r="S27" i="58"/>
  <c r="T27" i="58" s="1"/>
  <c r="S26" i="58"/>
  <c r="T26" i="58" s="1"/>
  <c r="S25" i="58"/>
  <c r="T25" i="58" s="1"/>
  <c r="S24" i="58"/>
  <c r="T24" i="58" s="1"/>
  <c r="S23" i="58"/>
  <c r="T23" i="58" s="1"/>
  <c r="S22" i="58"/>
  <c r="T22" i="58" s="1"/>
  <c r="S21" i="58"/>
  <c r="T21" i="58" s="1"/>
  <c r="S20" i="58"/>
  <c r="T20" i="58" s="1"/>
  <c r="S19" i="58"/>
  <c r="T19" i="58" s="1"/>
  <c r="S18" i="58"/>
  <c r="T18" i="58" s="1"/>
  <c r="S17" i="58"/>
  <c r="T17" i="58" s="1"/>
  <c r="S16" i="58"/>
  <c r="T16" i="58" s="1"/>
  <c r="S15" i="58"/>
  <c r="T15" i="58" s="1"/>
  <c r="S13" i="58"/>
  <c r="T13" i="58" s="1"/>
  <c r="S12" i="58"/>
  <c r="T12" i="58" s="1"/>
  <c r="S11" i="58"/>
  <c r="T11" i="58" s="1"/>
  <c r="S10" i="58"/>
  <c r="T10" i="58" s="1"/>
  <c r="S9" i="58"/>
  <c r="T9" i="58" s="1"/>
  <c r="S8" i="58"/>
  <c r="T8" i="58" s="1"/>
  <c r="S7" i="58"/>
  <c r="T7" i="58" s="1"/>
  <c r="S6" i="58"/>
  <c r="T6" i="58" s="1"/>
  <c r="S5" i="58"/>
  <c r="T5" i="58" s="1"/>
  <c r="S4" i="58"/>
  <c r="T4" i="58" s="1"/>
  <c r="S5" i="56"/>
  <c r="T5" i="56" s="1"/>
  <c r="S4" i="56"/>
  <c r="T4" i="56" s="1"/>
  <c r="AI64" i="57"/>
  <c r="AJ64" i="57"/>
  <c r="BJ64" i="55"/>
  <c r="AB64" i="57"/>
  <c r="BL64" i="55"/>
  <c r="AY64" i="55"/>
  <c r="AP64" i="55"/>
  <c r="AG64" i="55"/>
  <c r="AC64" i="57"/>
  <c r="AU64" i="55"/>
  <c r="AL64" i="55"/>
  <c r="BG64" i="55"/>
  <c r="AD64" i="57"/>
  <c r="AT64" i="55"/>
  <c r="BF64" i="55"/>
  <c r="AB64" i="55"/>
  <c r="AZ64" i="55"/>
  <c r="BK64" i="55"/>
  <c r="AO64" i="55"/>
  <c r="AH64" i="57"/>
  <c r="BD64" i="55"/>
  <c r="BE64" i="55"/>
  <c r="BI64" i="55"/>
  <c r="AJ64" i="55"/>
  <c r="AX64" i="55"/>
  <c r="BA64" i="55"/>
  <c r="AE64" i="55"/>
  <c r="AE64" i="57"/>
  <c r="AK64" i="57"/>
  <c r="AH64" i="55"/>
  <c r="BH64" i="55"/>
  <c r="AV64" i="55"/>
  <c r="AK64" i="55"/>
  <c r="BB64" i="55"/>
  <c r="AF64" i="55"/>
  <c r="AM64" i="55"/>
  <c r="AD64" i="55"/>
  <c r="AR64" i="55"/>
  <c r="AW64" i="55"/>
  <c r="AN64" i="55"/>
  <c r="AI64" i="55"/>
  <c r="AF64" i="57"/>
  <c r="AC64" i="55"/>
  <c r="AS64" i="55"/>
  <c r="AQ64" i="55"/>
  <c r="AG64" i="57"/>
  <c r="BC64" i="55"/>
  <c r="T233" i="58" l="1"/>
  <c r="S8" i="56"/>
  <c r="T8" i="56" s="1"/>
  <c r="S23" i="56"/>
  <c r="T23" i="56" s="1"/>
  <c r="S36" i="56"/>
  <c r="T36" i="56" s="1"/>
  <c r="S7" i="56"/>
  <c r="T7" i="56" s="1"/>
  <c r="S18" i="56"/>
  <c r="T18" i="56" s="1"/>
  <c r="S30" i="56"/>
  <c r="T30" i="56" s="1"/>
  <c r="S6" i="56"/>
  <c r="T6" i="56" s="1"/>
  <c r="S47" i="56"/>
  <c r="T47" i="56" s="1"/>
  <c r="S51" i="56"/>
  <c r="T51" i="56" s="1"/>
  <c r="S55" i="56"/>
  <c r="T55" i="56" s="1"/>
  <c r="S63" i="56"/>
  <c r="T63" i="56" s="1"/>
  <c r="S71" i="56"/>
  <c r="T71" i="56" s="1"/>
  <c r="S79" i="56"/>
  <c r="T79" i="56" s="1"/>
  <c r="S19" i="56" l="1"/>
  <c r="T19" i="56" s="1"/>
  <c r="S34" i="56"/>
  <c r="T34" i="56" s="1"/>
  <c r="S39" i="56"/>
  <c r="T39" i="56" s="1"/>
  <c r="S41" i="56"/>
  <c r="T41" i="56" s="1"/>
  <c r="S37" i="56"/>
  <c r="T37" i="56" s="1"/>
  <c r="S81" i="56"/>
  <c r="T81" i="56" s="1"/>
  <c r="S73" i="56"/>
  <c r="T73" i="56" s="1"/>
  <c r="S65" i="56"/>
  <c r="T65" i="56" s="1"/>
  <c r="S57" i="56"/>
  <c r="T57" i="56" s="1"/>
  <c r="S49" i="56"/>
  <c r="T49" i="56" s="1"/>
  <c r="S11" i="56"/>
  <c r="T11" i="56" s="1"/>
  <c r="S13" i="56"/>
  <c r="T13" i="56" s="1"/>
  <c r="S24" i="56"/>
  <c r="T24" i="56" s="1"/>
  <c r="S33" i="56"/>
  <c r="T33" i="56" s="1"/>
  <c r="S28" i="56"/>
  <c r="T28" i="56" s="1"/>
  <c r="S83" i="56"/>
  <c r="T83" i="56" s="1"/>
  <c r="S75" i="56"/>
  <c r="T75" i="56" s="1"/>
  <c r="S67" i="56"/>
  <c r="T67" i="56" s="1"/>
  <c r="S43" i="56"/>
  <c r="T43" i="56" s="1"/>
  <c r="S29" i="56"/>
  <c r="T29" i="56" s="1"/>
  <c r="S9" i="56"/>
  <c r="T9" i="56" s="1"/>
  <c r="S22" i="56"/>
  <c r="T22" i="56" s="1"/>
  <c r="S31" i="56"/>
  <c r="T31" i="56" s="1"/>
  <c r="S15" i="56"/>
  <c r="T15" i="56" s="1"/>
  <c r="S17" i="56"/>
  <c r="T17" i="56" s="1"/>
  <c r="S21" i="56"/>
  <c r="T21" i="56" s="1"/>
  <c r="S85" i="56"/>
  <c r="T85" i="56" s="1"/>
  <c r="S77" i="56"/>
  <c r="T77" i="56" s="1"/>
  <c r="S69" i="56"/>
  <c r="T69" i="56" s="1"/>
  <c r="S61" i="56"/>
  <c r="T61" i="56" s="1"/>
  <c r="S53" i="56"/>
  <c r="T53" i="56" s="1"/>
  <c r="S45" i="56"/>
  <c r="T45" i="56" s="1"/>
  <c r="S32" i="56"/>
  <c r="T32" i="56" s="1"/>
  <c r="S72" i="56"/>
  <c r="T72" i="56" s="1"/>
  <c r="S80" i="56"/>
  <c r="T80" i="56" s="1"/>
  <c r="S35" i="56"/>
  <c r="T35" i="56" s="1"/>
  <c r="S40" i="56"/>
  <c r="T40" i="56" s="1"/>
  <c r="S48" i="56"/>
  <c r="T48" i="56" s="1"/>
  <c r="S59" i="56"/>
  <c r="T59" i="56" s="1"/>
  <c r="S60" i="56"/>
  <c r="T60" i="56" s="1"/>
  <c r="S20" i="56"/>
  <c r="T20" i="56" s="1"/>
  <c r="S26" i="56"/>
  <c r="T26" i="56" s="1"/>
  <c r="S54" i="56"/>
  <c r="T54" i="56" s="1"/>
  <c r="S68" i="56"/>
  <c r="T68" i="56" s="1"/>
  <c r="S62" i="56"/>
  <c r="T62" i="56" s="1"/>
  <c r="S42" i="56"/>
  <c r="T42" i="56" s="1"/>
  <c r="S74" i="56"/>
  <c r="T74" i="56" s="1"/>
  <c r="S10" i="56"/>
  <c r="T10" i="56" s="1"/>
  <c r="S25" i="56"/>
  <c r="T25" i="56" s="1"/>
  <c r="S70" i="56"/>
  <c r="T70" i="56" s="1"/>
  <c r="S52" i="56"/>
  <c r="T52" i="56" s="1"/>
  <c r="S78" i="56"/>
  <c r="T78" i="56" s="1"/>
  <c r="S46" i="56"/>
  <c r="T46" i="56" s="1"/>
  <c r="S38" i="56"/>
  <c r="T38" i="56" s="1"/>
  <c r="S58" i="56"/>
  <c r="T58" i="56" s="1"/>
  <c r="S66" i="56"/>
  <c r="T66" i="56" s="1"/>
  <c r="S84" i="56"/>
  <c r="T84" i="56" s="1"/>
  <c r="S86" i="56"/>
  <c r="T86" i="56" s="1"/>
  <c r="S12" i="56"/>
  <c r="T12" i="56" s="1"/>
  <c r="S27" i="56"/>
  <c r="T27" i="56" s="1"/>
  <c r="S56" i="56"/>
  <c r="T56" i="56" s="1"/>
  <c r="S82" i="56"/>
  <c r="T82" i="56" s="1"/>
  <c r="S16" i="56"/>
  <c r="T16" i="56" s="1"/>
  <c r="S64" i="56"/>
  <c r="T64" i="56" s="1"/>
  <c r="S44" i="56"/>
  <c r="T44" i="56" s="1"/>
  <c r="S76" i="56"/>
  <c r="T76" i="56" s="1"/>
  <c r="S50" i="56"/>
  <c r="T50" i="56" s="1"/>
  <c r="T232" i="56" l="1"/>
</calcChain>
</file>

<file path=xl/sharedStrings.xml><?xml version="1.0" encoding="utf-8"?>
<sst xmlns="http://schemas.openxmlformats.org/spreadsheetml/2006/main" count="3416" uniqueCount="667">
  <si>
    <t xml:space="preserve">Summe für Mängelbeseitigung  </t>
  </si>
  <si>
    <t>Tür einschl. Komponenten in ordendlicher Funktion</t>
  </si>
  <si>
    <t>Vollpanik (Standflügel)</t>
  </si>
  <si>
    <t>Fluchtrichtung eingehalten</t>
  </si>
  <si>
    <t>Panikfunktion B / E / usw.</t>
  </si>
  <si>
    <t>Garnitur D / D - K / D</t>
  </si>
  <si>
    <t>PZ-Zylinder</t>
  </si>
  <si>
    <t>Blindzylinder</t>
  </si>
  <si>
    <t>Fluchwegbeschilderung vorhanden?</t>
  </si>
  <si>
    <t>Fluchtwegsituation</t>
  </si>
  <si>
    <t>Zutrittskontrolle</t>
  </si>
  <si>
    <t>Fluchtürsteuerung 
Türwächter</t>
  </si>
  <si>
    <t>Sturzhöhe unter 1 Meter</t>
  </si>
  <si>
    <t>Türschließer auf Bandgegenseite</t>
  </si>
  <si>
    <t>Türschließer auf Bandseite</t>
  </si>
  <si>
    <t>DIN L/R
Standflügel/Gangflügel
Standflügelverriegelung</t>
  </si>
  <si>
    <t>Türhersteller 
Türsystem
Profilsystem</t>
  </si>
  <si>
    <t>Flügelanzahl</t>
  </si>
  <si>
    <t>Raumbezeichnung</t>
  </si>
  <si>
    <t>Raum Nr.</t>
  </si>
  <si>
    <t>Etage</t>
  </si>
  <si>
    <t>Tür Nr.</t>
  </si>
  <si>
    <t>Pos.</t>
  </si>
  <si>
    <t>okay</t>
  </si>
  <si>
    <t>Kontrolle Panikfunktion</t>
  </si>
  <si>
    <t>Zubehörbeschreibung</t>
  </si>
  <si>
    <t>Türbeschreibung</t>
  </si>
  <si>
    <t>Türtyp (T30/RS/T90/Panik P/Einbruchschutz WK/usw.)</t>
  </si>
  <si>
    <t xml:space="preserve">Türschließer
Automatikantrieb
Do = Dorma, Ge = Geze
 </t>
  </si>
  <si>
    <t>GSR = Gleitschienen Schließfolgeregelung 
EMF = elektromech. Feststellung 
EMR = elektromech. Feststellung mit Rauchmeldezentrale</t>
  </si>
  <si>
    <t>Legende für Mängelbeseitigung</t>
  </si>
  <si>
    <t>Türtyp</t>
  </si>
  <si>
    <t>Türmaterial / Türart</t>
  </si>
  <si>
    <t>Türhersteller / Türsystem / Profilsystem</t>
  </si>
  <si>
    <t>DIN L/R StandFlügel / GangFlügel / Standflügelverriegelung</t>
  </si>
  <si>
    <t>Türschließer</t>
  </si>
  <si>
    <t>GSR / EMF / EMR</t>
  </si>
  <si>
    <t>Fluchtürsteuerung / Türwächter</t>
  </si>
  <si>
    <t>Stahlrohrrahmen</t>
  </si>
  <si>
    <t>Holzblatt</t>
  </si>
  <si>
    <t>DORMA</t>
  </si>
  <si>
    <t>Anmerkung</t>
  </si>
  <si>
    <t>Schloßmaße</t>
  </si>
  <si>
    <t>Forster Fuego</t>
  </si>
  <si>
    <t>DIN L auswärts</t>
  </si>
  <si>
    <t>KABA Evolo</t>
  </si>
  <si>
    <t>CES</t>
  </si>
  <si>
    <t>Garnitur</t>
  </si>
  <si>
    <t>PanikFunktion</t>
  </si>
  <si>
    <t>D</t>
  </si>
  <si>
    <t>B</t>
  </si>
  <si>
    <t>E</t>
  </si>
  <si>
    <t>Stück</t>
  </si>
  <si>
    <t>Beschreibung</t>
  </si>
  <si>
    <t>Material
Einkauf</t>
  </si>
  <si>
    <t>Zubehör
Einkauf</t>
  </si>
  <si>
    <t>Einkauf
gesamt</t>
  </si>
  <si>
    <t>Zuschlag
35%</t>
  </si>
  <si>
    <t>Material
Verkauf</t>
  </si>
  <si>
    <t>Lohn
Aufmass+AV</t>
  </si>
  <si>
    <t>Wegezeit</t>
  </si>
  <si>
    <t>Montage</t>
  </si>
  <si>
    <t>Prüfung Abnahme</t>
  </si>
  <si>
    <t>Stückpreis</t>
  </si>
  <si>
    <t>Gesamt</t>
  </si>
  <si>
    <t>Gesamtpreis Netto</t>
  </si>
  <si>
    <t>Summe EUR</t>
  </si>
  <si>
    <t>Schüco</t>
  </si>
  <si>
    <t>?</t>
  </si>
  <si>
    <t>Nein</t>
  </si>
  <si>
    <t>Stahlblech</t>
  </si>
  <si>
    <t>Holz/Glas</t>
  </si>
  <si>
    <t>Stahlblech/Glas</t>
  </si>
  <si>
    <t>Kunststoff</t>
  </si>
  <si>
    <t>Schüco Jansen</t>
  </si>
  <si>
    <t>MBB</t>
  </si>
  <si>
    <t>Novoferm</t>
  </si>
  <si>
    <t>Hörmann</t>
  </si>
  <si>
    <t>Teckentrup</t>
  </si>
  <si>
    <t>DIN R auswärts</t>
  </si>
  <si>
    <t>DIN L einwärts</t>
  </si>
  <si>
    <t>DIN R einwärts</t>
  </si>
  <si>
    <t>DIN L auswärts Standflg. Ver.</t>
  </si>
  <si>
    <t>DIN R auswärts Standflg. Ver.</t>
  </si>
  <si>
    <t>DIN L einwärts Gangflg. Ver.</t>
  </si>
  <si>
    <t>DIN R einwärts Gangflg. Ver.</t>
  </si>
  <si>
    <t>EMF</t>
  </si>
  <si>
    <t>EMR</t>
  </si>
  <si>
    <t>GSR/BG</t>
  </si>
  <si>
    <t>GSR-RF1</t>
  </si>
  <si>
    <t>G-N</t>
  </si>
  <si>
    <t>G-EMF</t>
  </si>
  <si>
    <t>G-EMR</t>
  </si>
  <si>
    <t>D-D</t>
  </si>
  <si>
    <t>D-K</t>
  </si>
  <si>
    <t>Blind</t>
  </si>
  <si>
    <t>GFS Einhand</t>
  </si>
  <si>
    <t>GFS schwenk</t>
  </si>
  <si>
    <t>FSB</t>
  </si>
  <si>
    <t>U&amp;Z</t>
  </si>
  <si>
    <t>SVP2000</t>
  </si>
  <si>
    <t>M-SVP2200</t>
  </si>
  <si>
    <t>M-SVP2000</t>
  </si>
  <si>
    <t>Forster Presto</t>
  </si>
  <si>
    <t>Schüco ADS 80</t>
  </si>
  <si>
    <t>effeff</t>
  </si>
  <si>
    <t>GEZE</t>
  </si>
  <si>
    <t>SVP5000</t>
  </si>
  <si>
    <t>SVP6000</t>
  </si>
  <si>
    <t>GSR-EMF 2/BG</t>
  </si>
  <si>
    <t>GSR-EMR 2/BG</t>
  </si>
  <si>
    <t>GSR-EMR 1G</t>
  </si>
  <si>
    <t>GSR-EMR 2</t>
  </si>
  <si>
    <t>GSR-EMR 1</t>
  </si>
  <si>
    <t>GSR-EMF 1G</t>
  </si>
  <si>
    <t>GSR-EMF 2</t>
  </si>
  <si>
    <t>GSR-EMF 1</t>
  </si>
  <si>
    <t>GSR-RF 1</t>
  </si>
  <si>
    <t>EMR DCW</t>
  </si>
  <si>
    <t>GSR-EMR 2/DCW</t>
  </si>
  <si>
    <t>GSR-EMR 2/DCW/B</t>
  </si>
  <si>
    <t>Normalgestänge</t>
  </si>
  <si>
    <t>Flachformgestänge</t>
  </si>
  <si>
    <t>DIN R</t>
  </si>
  <si>
    <t>DIN L</t>
  </si>
  <si>
    <t>Alurohrrahmen</t>
  </si>
  <si>
    <t>Türmaterial / Türart (Alurohrrahmen RRAL / Stahlrohrrahmen RRST / Holzblatt H / Stahlblech ST)</t>
  </si>
  <si>
    <t>Do TS 89</t>
  </si>
  <si>
    <t>Federband</t>
  </si>
  <si>
    <t>Do TS 93</t>
  </si>
  <si>
    <t>Do TS 83</t>
  </si>
  <si>
    <t>Do TS 98</t>
  </si>
  <si>
    <t>Do TS 99</t>
  </si>
  <si>
    <t>Do TS 92</t>
  </si>
  <si>
    <t>Do TS 73V</t>
  </si>
  <si>
    <t>Do TS 72</t>
  </si>
  <si>
    <t>Do TS 71</t>
  </si>
  <si>
    <t>Do BTS 75 V</t>
  </si>
  <si>
    <t>Do BTS 80</t>
  </si>
  <si>
    <t>Do TS 97 contur</t>
  </si>
  <si>
    <t>Do TS92 basic</t>
  </si>
  <si>
    <t>Ge TS 4000</t>
  </si>
  <si>
    <t>Ge TS 5000</t>
  </si>
  <si>
    <t>Ge TS 5000 ISM</t>
  </si>
  <si>
    <t>Ge TS 5000 L</t>
  </si>
  <si>
    <t>Ge TS 5000 L-ISM</t>
  </si>
  <si>
    <t>GSR mech.</t>
  </si>
  <si>
    <t>Ja ?</t>
  </si>
  <si>
    <t>EFS</t>
  </si>
  <si>
    <t>RFS</t>
  </si>
  <si>
    <t>E-ISM</t>
  </si>
  <si>
    <t>L-E-ISM</t>
  </si>
  <si>
    <t>R-ISM</t>
  </si>
  <si>
    <t>L-R-ISM</t>
  </si>
  <si>
    <t>Schörghuber</t>
  </si>
  <si>
    <t>SR mech.</t>
  </si>
  <si>
    <t>Ge TS 3000</t>
  </si>
  <si>
    <t>Specht</t>
  </si>
  <si>
    <t>BKS</t>
  </si>
  <si>
    <t>Lohn Gesamt</t>
  </si>
  <si>
    <t>Stand</t>
  </si>
  <si>
    <t xml:space="preserve">Beschreibung Neu </t>
  </si>
  <si>
    <t>Fehlernr.</t>
  </si>
  <si>
    <t>Artikelnr.</t>
  </si>
  <si>
    <t>LAN Nr.</t>
  </si>
  <si>
    <t>MZT-1</t>
  </si>
  <si>
    <t>T30-1</t>
  </si>
  <si>
    <t>T30-1 RS</t>
  </si>
  <si>
    <t>T90-1</t>
  </si>
  <si>
    <t>T90-1 RS</t>
  </si>
  <si>
    <t>RS-1</t>
  </si>
  <si>
    <t>RS-2</t>
  </si>
  <si>
    <t>MZT-2</t>
  </si>
  <si>
    <t>T30-2</t>
  </si>
  <si>
    <t>T90-2</t>
  </si>
  <si>
    <t>T30-2 RS</t>
  </si>
  <si>
    <t>T90-2 RS</t>
  </si>
  <si>
    <t>RP</t>
  </si>
  <si>
    <t>Herholz</t>
  </si>
  <si>
    <t>Schwarze</t>
  </si>
  <si>
    <t>Hoba</t>
  </si>
  <si>
    <t>Do ITS 96 integr.</t>
  </si>
  <si>
    <t>Do ED 200</t>
  </si>
  <si>
    <t>Do ED 250</t>
  </si>
  <si>
    <t>Ge TSA 160NT</t>
  </si>
  <si>
    <t>Ge Slimdrive EMD</t>
  </si>
  <si>
    <t>Schloßmaße/Stulp
DM/Abst./Nuß-Stulp</t>
  </si>
  <si>
    <t>D-Stoßgriff</t>
  </si>
  <si>
    <t>WK-1</t>
  </si>
  <si>
    <t>Beschuss-1</t>
  </si>
  <si>
    <t>WK-2</t>
  </si>
  <si>
    <t>Beschuss-2</t>
  </si>
  <si>
    <t>Schüco ADS 65.Ni SP</t>
  </si>
  <si>
    <t>ABUS</t>
  </si>
  <si>
    <t>R</t>
  </si>
  <si>
    <t>Riegelschloß</t>
  </si>
  <si>
    <t>FH-Fallenriegelschloß</t>
  </si>
  <si>
    <t>Bosch</t>
  </si>
  <si>
    <t>Ge TS 2000</t>
  </si>
  <si>
    <t>Fallenschloß</t>
  </si>
  <si>
    <t>Isselwerk</t>
  </si>
  <si>
    <t>Jeld Wen</t>
  </si>
  <si>
    <t>2x Stoßgriff</t>
  </si>
  <si>
    <t>0 Warum ist Stangengriff und aber kein AP Schloss verbaut?</t>
  </si>
  <si>
    <t>0 Zarge lose im untere Bereich von Türband</t>
  </si>
  <si>
    <t>0.1 Bodenbelag nicht gemäß Brandschutzanforderungen</t>
  </si>
  <si>
    <t>0.10 Kein Zugang / Keine Prüfung</t>
  </si>
  <si>
    <t>0.11 Fußboden steigt an</t>
  </si>
  <si>
    <t>0.12 Türspalt unten größer als 10 mm</t>
  </si>
  <si>
    <t>0.13 Türspalt unten größer als 20 mm</t>
  </si>
  <si>
    <t>0.14 Fluchtwegsituation sollte überprüft werden</t>
  </si>
  <si>
    <t>0.15 Kein Kennzeichnungsschild an der Tür</t>
  </si>
  <si>
    <t>0.16 Unzulässige Feststelllung der Brand- und/oder Rauchschutztür</t>
  </si>
  <si>
    <t>0.2 Abnahmeschild der Feststellanlage fehlt</t>
  </si>
  <si>
    <t>0.3 Die Rauchschalter sind ohne Funktion</t>
  </si>
  <si>
    <t>0.4 Keine Zentrale einer Feststellanlage an der Tür erkennbar</t>
  </si>
  <si>
    <t>0.5 Falsches Kennzeichnungsschild der Tür</t>
  </si>
  <si>
    <t>0.6 Parkettboden unter der Bodendichtung der Tür</t>
  </si>
  <si>
    <t>0.7 Laminatbelag unter der Bodendichtung der Tür</t>
  </si>
  <si>
    <t>0.8 Standflügel lässt sich nicht öffnen</t>
  </si>
  <si>
    <t>0.9 EMF ohne Funktion und Strom</t>
  </si>
  <si>
    <t>1.1 Türflügel/Bänder richten und einstellen (2 Mann)</t>
  </si>
  <si>
    <t>1.10 Bodenhülse ersetzen</t>
  </si>
  <si>
    <t>1.12 Kennzeichnungsschild Neubefestigung</t>
  </si>
  <si>
    <t>1.13 Unteren Türanschluss fachgerecht herstellen</t>
  </si>
  <si>
    <t>1.14 Türflügel/Bänder richten und einstellen (2 Mann)</t>
  </si>
  <si>
    <t>1.16 Standflügelverriegelung austauschen (2 Mann)</t>
  </si>
  <si>
    <t>1.2 Standflügelverriegelung reparieren (2 Mann)</t>
  </si>
  <si>
    <t>1.3 Schließblech/ Beschlag reparieren bzw. befestigen</t>
  </si>
  <si>
    <t>1.6 Mitnehmerklappe für Vollpanik Nachrüsten</t>
  </si>
  <si>
    <t>1.7.1 Bodendichtung L-15/30 WS 960 erneuern</t>
  </si>
  <si>
    <t>1.7.10 Schüco Bodendichtung 1270 erneuern</t>
  </si>
  <si>
    <t>1.7.11 BD Athmer BRB-52 L=1011(Kürzb666mm)</t>
  </si>
  <si>
    <t>1.7.2 Bodendichtung L-15 WS 1085 erneuern</t>
  </si>
  <si>
    <t>1.7.3 Schüco Bodendichtung 1470 erneuern</t>
  </si>
  <si>
    <t>1.7.4 Automatische Bodendichtung (unbekanntes Modell) erneuern</t>
  </si>
  <si>
    <t>1.7.5 Schüco Bodendichtung 325 erneuern</t>
  </si>
  <si>
    <t>1.7.6 Schüco Bodendichtung 405 erneuern</t>
  </si>
  <si>
    <t>1.7.7 Schüco Bodendichtung 470 erneuern</t>
  </si>
  <si>
    <t>1.7.8 Schüco Bodendichtung 670 erneuern</t>
  </si>
  <si>
    <t>1.7.9 Schüco Bodendichtung 1070 erneuern</t>
  </si>
  <si>
    <t>1.8.1 Bodendichtung L-15/30 WS 1210 erneuern (2 Mann)</t>
  </si>
  <si>
    <t>1.8.2 Bodendichtung L-24/20 WS 1050 erneuern (2 Mann)</t>
  </si>
  <si>
    <t>1.8.3 Automatische Bodendichtung (unbekanntes Modell) erneuern (2 Mann)</t>
  </si>
  <si>
    <t>1.8.4 BD Athmer BRB-52 L=1011(Kürzb666mm)(2Mann)</t>
  </si>
  <si>
    <t>1.9.1 Schließfolgeregelung dormakaba Austausch</t>
  </si>
  <si>
    <t>10.1 Anschlagdichtung für FH-Stahlblechtüren Z7511</t>
  </si>
  <si>
    <t>10.1xAnschlagdichtung für FH-Stahlblechtüren  Austausch/Ergänzung</t>
  </si>
  <si>
    <t>10.2.1 Anschlagdichtung für RR-Türen (unbekannter Typ) Austausch/Ergänzung</t>
  </si>
  <si>
    <t>10.2.2 Anschlagdichtung für SCHÜCO RR-Türen Austausch/Ergänzung</t>
  </si>
  <si>
    <t>10.3.x Anschlagdichtung für FH-Holztüren Austausch/Ergänzung</t>
  </si>
  <si>
    <t>10.4.x Brandschutzstreifen je Flügel Austausch/Ergänzung</t>
  </si>
  <si>
    <t>10.5x Wandanschluss wiederherstellen</t>
  </si>
  <si>
    <t>11.1 ED 250 für 1 flügelige Türen bis 400 kg oder 1.100 mm Breite, Brandschutz Montageart Gleitschiene Bandgegenseite</t>
  </si>
  <si>
    <t>11.2 ED 250 für 1 flügelige Türen bis 400 kg oder 1.600 mm Breite, Brandschutz Montageart Bandgegenseite</t>
  </si>
  <si>
    <t>11.5 Fingerschutzrollo Nachrüstung</t>
  </si>
  <si>
    <t>11.6 Sensorleisten 1100 Nachrüstung</t>
  </si>
  <si>
    <t>12.2 GEZE Nottaster Nachrüstung</t>
  </si>
  <si>
    <t>12.3 GEZE Schiebetür Steuerung Austausch</t>
  </si>
  <si>
    <t>12.4 GEZE Displayprogrammschalter Austausch</t>
  </si>
  <si>
    <t>13.1 Abnahme mit Prüfbuch und Zulassungsetikett</t>
  </si>
  <si>
    <t>14.1 RWA Notstromakku Austausch</t>
  </si>
  <si>
    <t>2.1.x Türband Reparatur (1 Mann)</t>
  </si>
  <si>
    <t>2.2.x Türband für RR Tür Neu (2 Mann)</t>
  </si>
  <si>
    <t>2.3.x Federband Stahlblechtür Austausch</t>
  </si>
  <si>
    <t>3.1.x FH Fallen-Riegelschloss ersetzen</t>
  </si>
  <si>
    <t xml:space="preserve">3.2.1 FH-Anti-Panikschloss-B 65/72/9/20/235/FR/R </t>
  </si>
  <si>
    <t>3.2.2 RR Schloss Funktion B Schüco ersetzen (Sonderbeschaffung)</t>
  </si>
  <si>
    <t xml:space="preserve">3.2.3 x FH-Anti-Panikschloss-B 55/72/9/20/235/FR/L </t>
  </si>
  <si>
    <t>3.2.x FH Antipanikschloss "B" ersetzen</t>
  </si>
  <si>
    <t>3.3.2 RR Schloss Funktion E Schüco ersetzen (Sonderbeschaffung)</t>
  </si>
  <si>
    <t>3.3.x FH Antipanikschloss "E" ersetzen</t>
  </si>
  <si>
    <t>3.4.x FH Antipanikschloss "D" ersetzen</t>
  </si>
  <si>
    <t>3.5 E-Öffner Schüco ersetzen</t>
  </si>
  <si>
    <t>4.1 Türbeschlag neu befestigen</t>
  </si>
  <si>
    <t>4.10 Drücker mit Einnietmuttern M5 neu befestigen</t>
  </si>
  <si>
    <t>4.11 PZ Rosetten Edelstahl oval</t>
  </si>
  <si>
    <t>4.12 Drückergarnitur Edelstahl oval RR 9 im Austausch</t>
  </si>
  <si>
    <t>4.13 Drückergarnitur Aluminium oval RR 9 im Austausch</t>
  </si>
  <si>
    <t>4.14 Wechselgarnitur Edelstahl oval RR 9 im Austausch</t>
  </si>
  <si>
    <t>4.15 Wechselgarnitur Aluminium oval RR 9 im Austausch</t>
  </si>
  <si>
    <t>4.17 AP Pushbar reparieren</t>
  </si>
  <si>
    <t>4.18 x FH Wechsel-Kurzschild-Garnitur KS Schwarz</t>
  </si>
  <si>
    <t>4.2 FH Drücker-Kurzschild-Garnitur KS schwarz ersetzen</t>
  </si>
  <si>
    <t>4.3 FH  Drücker-Kurzschild-Garnitur Alu ersetzen</t>
  </si>
  <si>
    <t>4.4.1 Blindzylinder variabel 52-90 BS/RS</t>
  </si>
  <si>
    <t>4.4.2 Blindzylinder variabel 84-144 BS/RS</t>
  </si>
  <si>
    <t>4.5 x FH Wechsel-Kurzschild-Garnitur Edelstahl</t>
  </si>
  <si>
    <t>4.6 FH Wechsel-Kurzschild-Garnitur Alu</t>
  </si>
  <si>
    <t>4.7 BS Drücker-Langschild-Garnitur Edelstahl</t>
  </si>
  <si>
    <t>4.8 PZ Rosetten Alu</t>
  </si>
  <si>
    <t>4.9 x Panik Griffstange</t>
  </si>
  <si>
    <t>5.1 Obentürschließer neu befestigen</t>
  </si>
  <si>
    <t>5.10 TS 83 B/N Austausch</t>
  </si>
  <si>
    <t>5.11 TS 83 B/N Neumontage</t>
  </si>
  <si>
    <t>5.12 TS 89F B/N Austausch (Sonderbeschaffung)</t>
  </si>
  <si>
    <t>5.3 TS GEZE 4000 mit Gestänge Neumontage</t>
  </si>
  <si>
    <t>5.4 TS GEZE 5000 mit Gleitschiene Neumontage</t>
  </si>
  <si>
    <t>5.5 TS 93 mit Gleitschiene Neumontage</t>
  </si>
  <si>
    <t>5.6 TS 73 B/N Austausch</t>
  </si>
  <si>
    <t>5.7 TS 73 B/N Neumontage</t>
  </si>
  <si>
    <t>5.8 ECO TS 61 B-N 2-5 Silberfarbig Austausch</t>
  </si>
  <si>
    <t>5.9 ECO TS 61 B-N 2-5 Silberfarbig Neumontage</t>
  </si>
  <si>
    <t>6.1 Feststellanlage G-EMR 80-140°, 1-flg. Austausch</t>
  </si>
  <si>
    <t>6.10 GSR-EMR(ohne EMF) Austausch</t>
  </si>
  <si>
    <t>6.11 GEZE E-Feststelleinheit für R-ISM</t>
  </si>
  <si>
    <t>6.12x DORMA E-Feststelleinheit für Gleitschiene</t>
  </si>
  <si>
    <t>6.2 Feststellanlage GSR-EMR 2, 2 flgl. , Austausch</t>
  </si>
  <si>
    <t>6.4 Feststellanlage GSR-EMR 2, 2 flgl. , Neumontage/Umbau</t>
  </si>
  <si>
    <t>6.6 Feststellanlage G-EMR 80-120°, 1-flg. Austausch</t>
  </si>
  <si>
    <t>6.7 Feststellanlage G-EMR 80-140°, 1-flg. Neumontage/Umbau</t>
  </si>
  <si>
    <t>6.8 Feststellanlage G-EMR 80-120°, 1-flg. Neumontage/Umbau</t>
  </si>
  <si>
    <t>6.9 Feststellanlage G-EMR 80-120°, BG, 1-flg. Neumontage/Umbau</t>
  </si>
  <si>
    <t>7. 1 Rauchmeldezentrale Contur silber im Austausch</t>
  </si>
  <si>
    <t>7.2 Sturz-Rauchmelder RM-ED Contur silber im Austausch</t>
  </si>
  <si>
    <t>7.3 Deckenrauchmelder ORS 142 im Austausch</t>
  </si>
  <si>
    <t>7.4 Deckenrauchmelder ORS 142 Paar im Austausch</t>
  </si>
  <si>
    <t>7.5 Rauchschaltzentrale RSZ 6 im Austausch</t>
  </si>
  <si>
    <t>7.6 Raucherkennungsteil für RSZ 6 im Austausch</t>
  </si>
  <si>
    <t>7.7 Stromversorgungsteil für RSZ 6 im Austausch</t>
  </si>
  <si>
    <t>7.8 Rauchschalterplatine für G-EMR im Austausch</t>
  </si>
  <si>
    <t>7.9 Deckenrauchmelder ORS 142 Paar Neumontage</t>
  </si>
  <si>
    <t>8.1 EH-Türwächter Neumontage</t>
  </si>
  <si>
    <t>9.1 Öffnungssperre für Drehfenster Neumontage</t>
  </si>
  <si>
    <t>9.2 Drehlager unten SCHÜCO Austausch</t>
  </si>
  <si>
    <t>9.3x Drehkippschere SCHÜCO Austausch</t>
  </si>
  <si>
    <t>9.4x Fenstergriff abschließbar F1 SCHÜCO Austausch</t>
  </si>
  <si>
    <t>Antrieb+RMZ</t>
  </si>
  <si>
    <t>Antrrieb+RMZ+2RM</t>
  </si>
  <si>
    <t>Antrieb+RMZintegriert</t>
  </si>
  <si>
    <t>Antrieb+RMZintegriert+2RM</t>
  </si>
  <si>
    <t>0.17 Sturz über 1  Meter. Zusätzliche Deckenrauchschalter erforderlich</t>
  </si>
  <si>
    <t>0.18 Sturzmelder ist falsch montiert. RM ist verdeckt bzw. hat weniger als 10 mm Luft nach oben.</t>
  </si>
  <si>
    <t>0.19 Fluchtwegbeschilderung höher setzen</t>
  </si>
  <si>
    <t>1.8.5 Bodendichtung L-24/20 WS 1350 erneuern (2 Mann)</t>
  </si>
  <si>
    <t>6.13 Feststellanlage TS 73 EMF, Kopfm, mit Gestänge, BGS, RMZ, Neumontage/Umbau</t>
  </si>
  <si>
    <t>6.14 Feststellanlage TS 93 EMF, mit Gleitschiene, BS, RMZ, Neumontage/Umbau</t>
  </si>
  <si>
    <t>7.10 Korrektur der Montagehöhe des Handauslösetaster</t>
  </si>
  <si>
    <t>16.4 Erstwartung und Datenaufnahme weiterer Türen zum Stundennachweis</t>
  </si>
  <si>
    <t>1.8.6 Schüco Bodendichtung 670 erneuern (2 Mann)</t>
  </si>
  <si>
    <t>1.8.7 Schüco Bodendichtung 1070 erneuern (2 Mann)</t>
  </si>
  <si>
    <t>1.8.8 Bodendichtung L-15/30 WS 1085 erneuern (2 Mann)</t>
  </si>
  <si>
    <t>3.2.3 FH-Antipanikschloss 65/72/24/9 ersetzen</t>
  </si>
  <si>
    <t>0.20 Fluchtwegbeschilderung/Fluchtwegplan nicht vorhanden bzw. unvollständig</t>
  </si>
  <si>
    <t>3.3.4 FH Antipanikschloss "E" L/R ersetzen</t>
  </si>
  <si>
    <t>1.18 Türzarge ist lose. Neubefestigen und vermörteln.</t>
  </si>
  <si>
    <t>3.3.5 Schloss mit Schrägstulp mit Panikfunktion E Neumontage</t>
  </si>
  <si>
    <t>10.1.1 Anschlagdichtung für FH-Stahlblechtüren (Hörmann) Austausch/Ergänzung</t>
  </si>
  <si>
    <t>10.3.1 Anschlagdichtung für FH-Holzüren (Novoferm) Austausch/Ergänzung</t>
  </si>
  <si>
    <t>10.3.2 Anschlagdichtung für FH-Holzüren (Schörghuber) Austausch/Ergänzung</t>
  </si>
  <si>
    <t>1.7.11 Hörmann Bodendichtung 1011 erneuern</t>
  </si>
  <si>
    <t>1.7.13 Wirus Bodendichtung 835 erneuern</t>
  </si>
  <si>
    <t>1.7.14 Wirus Bodendichtung 960 erneuern</t>
  </si>
  <si>
    <t>1.7.15 Wirus Bodendichtung 1085 erneuern</t>
  </si>
  <si>
    <t>1.7.16 Wirus Bodendichtung 1210 erneuern</t>
  </si>
  <si>
    <t>5.13 TS GEZE 5000 mit Gleitschiene ISM Neumontage</t>
  </si>
  <si>
    <t>3.2.3 FH-Antipanikschloss B/65/72/24/9/DL ersetzen</t>
  </si>
  <si>
    <t>1.17 Treibriegelschloss (Vollpanik) austauschen (2 Mann)</t>
  </si>
  <si>
    <t>5.14 TS GEZE 4000 mit Gestänge Austausch</t>
  </si>
  <si>
    <t>5.15 TS GEZE 5000 mit Gleitschiene Austausch</t>
  </si>
  <si>
    <t>2.4 Türband Neubefestigung (2 Mann</t>
  </si>
  <si>
    <t>Schiebetür-1</t>
  </si>
  <si>
    <t>Schiebetür-2</t>
  </si>
  <si>
    <t>Glas mit Rahmen</t>
  </si>
  <si>
    <t>Glas</t>
  </si>
  <si>
    <t>Ge TSA 160 Gr. 2-5</t>
  </si>
  <si>
    <t>Do ES 200</t>
  </si>
  <si>
    <t>ohne</t>
  </si>
  <si>
    <t>Fluchtwegschiebetür-1</t>
  </si>
  <si>
    <t>Fluchtwegschiebetür-2</t>
  </si>
  <si>
    <t>2.4 Türband Neubefestigung (2 Mann)</t>
  </si>
  <si>
    <t>12.5 Dorma ES 200 Notstromakkutausch (2 Stück)</t>
  </si>
  <si>
    <t>0.22 Drehflügelantrieb entspricht nicht den aktuellen Richtlinien</t>
  </si>
  <si>
    <t>3.3.6 FH Antipanikschloss "E" Neumontage einschl.Wechselganitur</t>
  </si>
  <si>
    <t>11.3 ED 250 1 flügelige Türen bis 400 kg oder 1.400 mm Breite, Brandschutz Montageart Bandseite</t>
  </si>
  <si>
    <t>11.4 ED 250 für1 flügelige Türen bis 400 kg oder 1.600 mm Breite, Low Energy Montageart Bandseite</t>
  </si>
  <si>
    <t>11.7 ED 250 für1 flügelige Türen bis 400 kg oder 1.600 mm Breite, Low Energy Montageart Bandgegenseite</t>
  </si>
  <si>
    <t>11.8 ED 250 für 1 flügelige Türen bis 400 kg oder 1.600 mm Breite, Full Energy Montageart Bandseite</t>
  </si>
  <si>
    <t>11.9 ED 250 für 1 flügelige Türen bis 400 kg oder 1.600 mm Breite, Full Energy Montageart Bandgegenseite</t>
  </si>
  <si>
    <t>1.7.17 Automatische Bodendichtung 20/17 708 (ein) erneuern</t>
  </si>
  <si>
    <t>1.7.18 Automatische Bodendichtung 20/17 833 (ein) erneuern</t>
  </si>
  <si>
    <t>1.7.19 Automatische Bodendichtung 20/17 958 (ein) erneuern</t>
  </si>
  <si>
    <t>1.7.20 Automatische Bodendichtung 20/17 1083 (ein) erneuern</t>
  </si>
  <si>
    <t>1.7.21 Automatische Bodendichtung 20/17 1208 (ein) erneuern</t>
  </si>
  <si>
    <t>1.7.22 Automatische Bodendichtung 20/17 708 (zwei) erneuern</t>
  </si>
  <si>
    <t>1.7.23 Automatische Bodendichtung 20/17 833 (zwei) erneuern</t>
  </si>
  <si>
    <t>1.7.24 Automatische Bodendichtung 20/17 958 (zwei) erneuern</t>
  </si>
  <si>
    <t>1.7.25 Automatische Bodendichtung 20/17 1083 (zwei) erneuern</t>
  </si>
  <si>
    <t>1.7.26 Automatische Bodendichtung 20/17 1208 (zwei) erneuern</t>
  </si>
  <si>
    <t>1.8.9 Bodendichtung L-24/20 ES 708 erneuern (2 Mann)</t>
  </si>
  <si>
    <t>1.8.10 Bodendichtung L-24/20 ES 833 erneuern (2 Mann)</t>
  </si>
  <si>
    <t>1.8.11 Bodendichtung L-24/20 ES 958 erneuern (2 Mann)</t>
  </si>
  <si>
    <t>1.8.12 Bodendichtung L-24/20 ES 1083 erneuern (2 Mann)</t>
  </si>
  <si>
    <t>1.8.13 Bodendichtung L-24/20 ES 1208 erneuern (2 Mann)</t>
  </si>
  <si>
    <t>Pusbar-Stoßgriff</t>
  </si>
  <si>
    <t>Pushbar-Blind</t>
  </si>
  <si>
    <t>K-K</t>
  </si>
  <si>
    <t>Panikstange-Blind</t>
  </si>
  <si>
    <t>Panikstange-Stoßgriff</t>
  </si>
  <si>
    <t>Hekatron NAG02</t>
  </si>
  <si>
    <t>Hekatron NAG02+2RM</t>
  </si>
  <si>
    <t>0.23 Drehflügelantrieb ohne Funktion</t>
  </si>
  <si>
    <t>0.24 Verglasung defekt</t>
  </si>
  <si>
    <t>0.25 Brandschutzverglasung ist defekt</t>
  </si>
  <si>
    <t>0.26 Erstwartung und Datenaufnahme weiterer Türen zum Nachweis</t>
  </si>
  <si>
    <t>0.27 Teppichboden unter der Bodendichtung der Tür</t>
  </si>
  <si>
    <t>0.28 Keine Prüfung der Panikfunktion möglich</t>
  </si>
  <si>
    <t>0.29 Brand- und/oder Rauchschutztür ist defekt</t>
  </si>
  <si>
    <t>0.30 Fußboden ist uneben / Behinderung der Bodendichtung</t>
  </si>
  <si>
    <t>6.15 Freilauftürschließer TS 99 FLR-K, mit Gleitschiene, NM-BS, RMZ, Neumontage/Umbau</t>
  </si>
  <si>
    <t>6.16 Freilauftürschließer TS 99 FLR, mit Gleitschiene, KM-BS, RMZ, Neumontage/Umbau</t>
  </si>
  <si>
    <t>6.17 Feststellanlage RMZ im Contur Design , Neumontage/Umbau</t>
  </si>
  <si>
    <t>6.18 Feststellanlage G-Ubivis 80-140°, 1-flg. Neumontage/Umbau</t>
  </si>
  <si>
    <t>6.19 Feststellanlage GSR-EMR 1, 2 flgl., Neumontage/Umbau</t>
  </si>
  <si>
    <t>6.20 Feststellanlage GSR-EMR 1 G, 2 flgl., Neumontage/Umbau</t>
  </si>
  <si>
    <t>6.21 Feststellanlage GSR-EMF 1, 2 flgl., Neumontage/Umbau</t>
  </si>
  <si>
    <t>6.22 Feststellanlage GSR-EMF 1 G, 2 flgl., Neumontage/Umbau</t>
  </si>
  <si>
    <t>6.23 Feststellanlage GSR-EMF 2, 2 flgl., Neumontage/Umbau</t>
  </si>
  <si>
    <t>10.3.3 Anschlagdichtung für FH-Holzüren (Westag &amp; Getalit) Austausch/Ergänzung</t>
  </si>
  <si>
    <t>10.3.4 Anschlagdichtung für FH-Holzüren (Herholz 4) Austausch/Ergänzung</t>
  </si>
  <si>
    <t>11.10 Fehlersuche am Dorma ED 250 zum Material- und Stundenweis</t>
  </si>
  <si>
    <t>3.4.1 FH Antipanikschloss "D" ersetzen</t>
  </si>
  <si>
    <t>3.4.2 FH Antipanikschloss R/L "D" ersetzen</t>
  </si>
  <si>
    <t>3.1.1 FH Fallen-Riegelschloss ersetzen</t>
  </si>
  <si>
    <t>3.1.2 FH Fallen-Riegelschloss R/L ersetzen</t>
  </si>
  <si>
    <t>1.7.4 Auto Bodendichtung (unbekanntes Modell) erneuern</t>
  </si>
  <si>
    <t>1.8.3 Auto Bodendichtung (unbekanntes Modell) erneuern (2 Mann)</t>
  </si>
  <si>
    <t>1.7.17 Auto Bodendichtung 20/17 708 (ein) erneuern</t>
  </si>
  <si>
    <t>1.7.18 Auto Bodendichtung 20/17 833 (ein) erneuern</t>
  </si>
  <si>
    <t>1.7.19 Auto Bodendichtung 20/17 958 (ein) erneuern</t>
  </si>
  <si>
    <t>1.7.20 Auto Bodendichtung 20/17 1083 (ein) erneuern</t>
  </si>
  <si>
    <t>1.7.21 Auto Bodendichtung 20/17 1208 (ein) erneuern</t>
  </si>
  <si>
    <t>1.7.22 Auto Bodendichtung 20/17 708 (zwei) erneuern</t>
  </si>
  <si>
    <t>1.7.23 Auto Bodendichtung 20/17 833 (zwei) erneuern</t>
  </si>
  <si>
    <t>1.7.24 Auto Bodendichtung 20/17 958 (zwei) erneuern</t>
  </si>
  <si>
    <t>1.7.25 Auto Bodendichtung 20/17 1083 (zwei) erneuern</t>
  </si>
  <si>
    <t>1.7.26 Auto Bodendichtung 20/17 1208 (zwei) erneuern</t>
  </si>
  <si>
    <t>30/92/8/24x235/F</t>
  </si>
  <si>
    <t>30/92/9/20x235/F</t>
  </si>
  <si>
    <t>30/92/9/20x235/U</t>
  </si>
  <si>
    <t>34/92/9/24x235/U</t>
  </si>
  <si>
    <t>35/72/9/20x235/U</t>
  </si>
  <si>
    <t>35/92/9/20x235/F</t>
  </si>
  <si>
    <t>35/92/9/20x235/U</t>
  </si>
  <si>
    <t>35/92/9/24x235/F</t>
  </si>
  <si>
    <t>35/92/9/24x235/U</t>
  </si>
  <si>
    <t>35/92/9/28x235/F</t>
  </si>
  <si>
    <t>40/72/9/20x235/F</t>
  </si>
  <si>
    <t>40/92/9/20x235/F</t>
  </si>
  <si>
    <t>40/92/9/20x235/U</t>
  </si>
  <si>
    <t>45/72/9/24x235/FR</t>
  </si>
  <si>
    <t>45/92/9/24x235/F</t>
  </si>
  <si>
    <t>50/72/9/24x235/FR</t>
  </si>
  <si>
    <t>55/72/8/20x235/FR</t>
  </si>
  <si>
    <t>55/72/9/20x235/FR</t>
  </si>
  <si>
    <t>55/72/9/24x235/FR</t>
  </si>
  <si>
    <t>60/72/9/24x235/FR</t>
  </si>
  <si>
    <t>65/72/8/20x235/FR</t>
  </si>
  <si>
    <t>65/72/9/20x235/FR</t>
  </si>
  <si>
    <t>65/72/9/24x235/FR</t>
  </si>
  <si>
    <t>Nemef/65/72/9/24x235/FR</t>
  </si>
  <si>
    <t>4.9 x BKS Panik Griffstange erneuern</t>
  </si>
  <si>
    <t>5.16 DORMA Gleitschiene G-N Erneuerung</t>
  </si>
  <si>
    <t>5.17 DORMA Hebel 375 mm für G-N, G-EMF, G-EMR, GSR Erneuerung</t>
  </si>
  <si>
    <t>5.18 DORMA G-N Gleitstück inkl. Schraube Erneuerung</t>
  </si>
  <si>
    <t>7.1 Rauchmeldezentrale Contur silber im Austausch</t>
  </si>
  <si>
    <t>11.11 ED 250 Normalgestänge ersetzen</t>
  </si>
  <si>
    <t>1.19 Bodentürstopper 1070 Edelstahl matt Neumontage</t>
  </si>
  <si>
    <t>6.24 Batterietausch Feststellanlage G-Ubivis</t>
  </si>
  <si>
    <t>7.11 Deckenrauchmelder ORS 142 Stück Neumontage</t>
  </si>
  <si>
    <t>16.3 Gerüststellung für De- und Montagearbeiten</t>
  </si>
  <si>
    <t>5.19 TS 93 mit Gleitschiene Austausch ( 5-7)</t>
  </si>
  <si>
    <t>4.19 Antipanik Drückergarnitur Edelstahl rund VB 9 im Austausch</t>
  </si>
  <si>
    <t>4.20 Drückergarnitur Edelstahl rund VB 9 im Austausch</t>
  </si>
  <si>
    <t>4.21 Wechselgarnitur Edelstahl rund VB 9 im Austausch</t>
  </si>
  <si>
    <t>4.22 Antipanik Drückergarnitur Aluminium rund VB 9 im Austausch</t>
  </si>
  <si>
    <t>4.23 Drückergarnitur Aluminium rund VB 9 im Austausch</t>
  </si>
  <si>
    <t>4.24 Wechselgarnitur Aluminium rund VB 9 im Austausch</t>
  </si>
  <si>
    <t>3.2.4 FH-Antipanikschloss B/65/72/24/9/DLE ersetzen</t>
  </si>
  <si>
    <t>3.2.5 FH-Antipanikschloss B/65/72/24/9/DR ersetzen</t>
  </si>
  <si>
    <t>3.2.6 FH-Antipanikschloss B/65/72/24/9/DRE ersetzen</t>
  </si>
  <si>
    <r>
      <t>Kunde:</t>
    </r>
    <r>
      <rPr>
        <sz val="10"/>
        <rFont val="Arial"/>
        <family val="2"/>
      </rPr>
      <t xml:space="preserve"> Schulbau Hamburg </t>
    </r>
    <r>
      <rPr>
        <b/>
        <sz val="10"/>
        <rFont val="Arial"/>
        <family val="2"/>
      </rPr>
      <t>Objekt:</t>
    </r>
    <r>
      <rPr>
        <sz val="10"/>
        <rFont val="Arial"/>
        <family val="2"/>
      </rPr>
      <t xml:space="preserve"> Luisen-Gymnasium </t>
    </r>
    <r>
      <rPr>
        <b/>
        <sz val="10"/>
        <rFont val="Arial"/>
        <family val="2"/>
      </rPr>
      <t>Datum:</t>
    </r>
    <r>
      <rPr>
        <sz val="10"/>
        <rFont val="Arial"/>
        <family val="2"/>
      </rPr>
      <t xml:space="preserve"> 26.05.2021 </t>
    </r>
    <r>
      <rPr>
        <b/>
        <sz val="10"/>
        <rFont val="Arial"/>
        <family val="2"/>
      </rPr>
      <t>Ansprechpartner:</t>
    </r>
    <r>
      <rPr>
        <sz val="10"/>
        <rFont val="Arial"/>
        <family val="2"/>
      </rPr>
      <t xml:space="preserve"> Herr Stöckling / Herr Günther </t>
    </r>
    <r>
      <rPr>
        <b/>
        <sz val="10"/>
        <rFont val="Arial"/>
        <family val="2"/>
      </rPr>
      <t>Monteur:</t>
    </r>
    <r>
      <rPr>
        <sz val="10"/>
        <rFont val="Arial"/>
        <family val="2"/>
      </rPr>
      <t xml:space="preserve"> Barcello </t>
    </r>
    <r>
      <rPr>
        <b/>
        <sz val="10"/>
        <rFont val="Arial"/>
        <family val="2"/>
      </rPr>
      <t>Auftragsnummer:</t>
    </r>
    <r>
      <rPr>
        <sz val="10"/>
        <rFont val="Arial"/>
        <family val="2"/>
      </rPr>
      <t xml:space="preserve"> 21-04184-AB</t>
    </r>
  </si>
  <si>
    <t>4.OG</t>
  </si>
  <si>
    <t>TH-1</t>
  </si>
  <si>
    <t>X</t>
  </si>
  <si>
    <t>J</t>
  </si>
  <si>
    <t>Brand- und Rauchschutzkonzept überprüfen</t>
  </si>
  <si>
    <t>FH Nemef-Antipanikschloss "E" ersetzen</t>
  </si>
  <si>
    <t>3.OG</t>
  </si>
  <si>
    <t>N</t>
  </si>
  <si>
    <t>ISM</t>
  </si>
  <si>
    <t>Sporthalle</t>
  </si>
  <si>
    <t>2-flgl breite: 1385mm; D-Panikstange;</t>
  </si>
  <si>
    <t>2.OG</t>
  </si>
  <si>
    <t>D-Panikstange;</t>
  </si>
  <si>
    <t>GSR-EMR+RMZ+2xDM+2xHFM</t>
  </si>
  <si>
    <t>GSR+RMZ+2xDM+2xHFM</t>
  </si>
  <si>
    <t>45/92/9-24/270 F</t>
  </si>
  <si>
    <t>Haus A</t>
  </si>
  <si>
    <t>Flur</t>
  </si>
  <si>
    <t>220 Labor</t>
  </si>
  <si>
    <t>222 TH-1</t>
  </si>
  <si>
    <t>Boden ungerade, BD senkt nicht vollständig ab</t>
  </si>
  <si>
    <t>Haftmagnet EM 500; RMZ Baujahr: 2001 muss erneuert werden; DM Baujahr: 2014</t>
  </si>
  <si>
    <t>60/72/9-24/320 FR</t>
  </si>
  <si>
    <t>A 210</t>
  </si>
  <si>
    <t>Transponder nicht im Funktion</t>
  </si>
  <si>
    <t>Handtaster nicht nach DiBt, erneuern</t>
  </si>
  <si>
    <t>TH-2</t>
  </si>
  <si>
    <t>Haftmagnet Dorma EM 500 erneuern</t>
  </si>
  <si>
    <t>2x Haftmagnet EM 500 defekt; GSR defekt, GSR-EMR neumontage+ OTS; RMZ Baujahr: 2001 muss erneuert werden; DM Baujahr: 2014; 2-flgl. breite: 2035mm;</t>
  </si>
  <si>
    <t>1.OG</t>
  </si>
  <si>
    <t>60/92/9-24/320 FR</t>
  </si>
  <si>
    <t>Türdrücker inkl. Schild defekt; Schloss defekt, muss getauscht werden; Schlüssel für PZ nicht vorhanden.</t>
  </si>
  <si>
    <t>Abnahme nicht möglich, Haftmagnet effeff mod.838; Geze RMZ Baujahr: 2004; DM Baujahr: 2014;</t>
  </si>
  <si>
    <t>EG</t>
  </si>
  <si>
    <t>033 TH-1</t>
  </si>
  <si>
    <t>Größerer Ts 93 benötigt, 2-5 zu schwach;</t>
  </si>
  <si>
    <t>ISM nicht in Betrieb (kein Strom);</t>
  </si>
  <si>
    <t>028-031</t>
  </si>
  <si>
    <t xml:space="preserve">Abnahme nicht möglich, Haftmagnet effeff mod.838; Geze RMZ Baujahr: 2004; </t>
  </si>
  <si>
    <t>GSR+RMZ+2xHFM</t>
  </si>
  <si>
    <t>TH-2 Flur</t>
  </si>
  <si>
    <t>Strom besorgen; oder mit Batterie (Ubivis); Flügelbreite: 1020mm;</t>
  </si>
  <si>
    <t>Abnahme nicht möglich, Haftmagnet effeff mod.838; Rauchschutzschalter Eff Eff 24025 Baujahr 2005; DM (am Sturz montiert) Baujahr 2009</t>
  </si>
  <si>
    <t>Wirus</t>
  </si>
  <si>
    <t>14 Kopirerraum</t>
  </si>
  <si>
    <t>13 Technik</t>
  </si>
  <si>
    <t>UG</t>
  </si>
  <si>
    <t>013 Noitausgang</t>
  </si>
  <si>
    <t>Zargenanschlag beschädigt</t>
  </si>
  <si>
    <t xml:space="preserve">Abnahme nicht möglich, Haftmagnet effeff mod.838; Geze RMZ Baujahr: 2017; </t>
  </si>
  <si>
    <t>60/72/9/20x235 FR</t>
  </si>
  <si>
    <t>Fingerschutzrollo 1900mm (von Boden bis Sensorleiste)</t>
  </si>
  <si>
    <t>FSA Abnahme: 2009; (DM mussen neu verdrahtet werden (Alte Anschluss vorhanden)); Fingerschutzrollo 2000mm (von Boden bis Sensorleiste)</t>
  </si>
  <si>
    <t>TH-3</t>
  </si>
  <si>
    <t>D-D mit Panik-E ist Verbaut</t>
  </si>
  <si>
    <t>TH-3 129</t>
  </si>
  <si>
    <t xml:space="preserve">TH-3 </t>
  </si>
  <si>
    <t>Haus B</t>
  </si>
  <si>
    <t>TH-1 201</t>
  </si>
  <si>
    <t>35/92/9/30x305 F</t>
  </si>
  <si>
    <t>GSR-EMR-2+2xDM</t>
  </si>
  <si>
    <t>TH-Flur</t>
  </si>
  <si>
    <t>TH-3 Notbeleuchtung</t>
  </si>
  <si>
    <t>TH 102</t>
  </si>
  <si>
    <t>35/92/9/24x305 F</t>
  </si>
  <si>
    <t>TH Flur</t>
  </si>
  <si>
    <t>FSA Abnahme: 2020;</t>
  </si>
  <si>
    <t>Fingerschutzrollo 2000mm (von Boden bis Sensorleiste)</t>
  </si>
  <si>
    <t>Fingerschutzrollo 2000mm (von boden bis Sensorleiste)</t>
  </si>
  <si>
    <t>003 Reinigung</t>
  </si>
  <si>
    <t>000 Lagerraum</t>
  </si>
  <si>
    <t>G-EMR+2xDM</t>
  </si>
  <si>
    <t>35/92/9/28x270 F</t>
  </si>
  <si>
    <t>Haus C</t>
  </si>
  <si>
    <t>FSA Abnahme 2019</t>
  </si>
  <si>
    <t>G-Ubivis XEA</t>
  </si>
  <si>
    <t>FSA Abnahme 09.2020</t>
  </si>
  <si>
    <t xml:space="preserve">FSA Abnahme 2019_x000D_
DM Montagesituation überprüfen (ca 1800mm zur Tür + an der decke 2.OG)_x000D_
</t>
  </si>
  <si>
    <t>002 Mensa</t>
  </si>
  <si>
    <t>205 Technikraum</t>
  </si>
  <si>
    <t>GSR-EMR-1+2xDM</t>
  </si>
  <si>
    <t>004 Küche</t>
  </si>
  <si>
    <t>TH-2 004</t>
  </si>
  <si>
    <t>TH-2 011</t>
  </si>
  <si>
    <t>TH-2 013</t>
  </si>
  <si>
    <t>013 Technik</t>
  </si>
  <si>
    <t>G-N+RMZ+1xHM</t>
  </si>
  <si>
    <t>Assa Abloy SW 300</t>
  </si>
  <si>
    <t>35/92/9/24x1760 U</t>
  </si>
  <si>
    <t>Eingang</t>
  </si>
  <si>
    <t>Do Antrieb Porteo</t>
  </si>
  <si>
    <t>BD Athmer JW Schall-EX Large 958mm 30/15</t>
  </si>
  <si>
    <t>Angebotsposition</t>
  </si>
  <si>
    <t>TS GEZE 5000 Neumontage</t>
  </si>
  <si>
    <t>Baustelleneinrichtung</t>
  </si>
  <si>
    <t>Abnahme mit Prüfbuch</t>
  </si>
  <si>
    <r>
      <t xml:space="preserve">Abnahme nicht möglich, Haftmagnet effeff mod.838; Geze RMZ Baujahr: 2004; DM Baujahr: 2011; </t>
    </r>
    <r>
      <rPr>
        <sz val="10"/>
        <color rgb="FFFF0000"/>
        <rFont val="Arial"/>
        <family val="2"/>
      </rPr>
      <t>+ insg. 6 Deckenmelder</t>
    </r>
  </si>
  <si>
    <t xml:space="preserve">FSA Abnahme 2019
DM Montagesituation überprüfen (ca 1800mm zur Tür + an der decke 2.OG) Bodenschwelle: 55x2030 mm
</t>
  </si>
  <si>
    <t>Dorma TS 98 XEA Neumontage</t>
  </si>
  <si>
    <t>XEA wegen Luftzugprobleme</t>
  </si>
  <si>
    <t>25a</t>
  </si>
  <si>
    <t>Abnahme 2022</t>
  </si>
  <si>
    <t>Abnahme nicht möglich, Haftmagnet effeff mod.838; (HM erneuern, Zulassung) Bodenschwelle: 55x2030 mm</t>
  </si>
  <si>
    <t>Haftmagnet EM 500; RMZ Baujahr: 2001 muss erneuert werden; (FSA zu alt) DM Baujahr: 2014</t>
  </si>
  <si>
    <t>Standflügel reparieren</t>
  </si>
  <si>
    <t>FSA Abnahme 09.2020
Anschlagdichtung 224683 x 3m</t>
  </si>
  <si>
    <t>3,4,7,8,10,12,13,15,17,18,19,21,22,23,25,24,26,27,30,51</t>
  </si>
  <si>
    <t>Montageart erklären,kaum Platz füt die OTS 
GRAPP: FUNKSET BENÖTIGT</t>
  </si>
  <si>
    <t>Altes Model G-EMR ohne Funktion (nicht angeschlossen als OTS nur verwendet)) ; Türdrücker nicht vorhanden; Schloss defekt, muss getauscht werden;
GRAPP: zusätzlich Schloss defekt</t>
  </si>
  <si>
    <t>Demontage Antrieb und Zubehör</t>
  </si>
  <si>
    <t>nach Batterietausch auf störung</t>
  </si>
  <si>
    <t>5 Jahre Gewährleistung seit 2019</t>
  </si>
  <si>
    <r>
      <t>Kunde:</t>
    </r>
    <r>
      <rPr>
        <sz val="10"/>
        <rFont val="Arial"/>
        <family val="2"/>
      </rPr>
      <t xml:space="preserve"> Schulbau Hamburg </t>
    </r>
    <r>
      <rPr>
        <b/>
        <sz val="10"/>
        <rFont val="Arial"/>
        <family val="2"/>
      </rPr>
      <t>Objekt:</t>
    </r>
    <r>
      <rPr>
        <sz val="10"/>
        <rFont val="Arial"/>
        <family val="2"/>
      </rPr>
      <t xml:space="preserve"> Reinbeker Weg 76, 21029 Hamburg, Luisen-Gymnasium </t>
    </r>
    <r>
      <rPr>
        <b/>
        <sz val="10"/>
        <rFont val="Arial"/>
        <family val="2"/>
      </rPr>
      <t>Datum:</t>
    </r>
    <r>
      <rPr>
        <sz val="10"/>
        <rFont val="Arial"/>
        <family val="2"/>
      </rPr>
      <t xml:space="preserve"> 15.05.2025 </t>
    </r>
    <r>
      <rPr>
        <b/>
        <sz val="10"/>
        <rFont val="Arial"/>
        <family val="2"/>
      </rPr>
      <t>Ansprechpartner:</t>
    </r>
    <r>
      <rPr>
        <sz val="10"/>
        <rFont val="Arial"/>
        <family val="2"/>
      </rPr>
      <t xml:space="preserve"> Herr Stöckling </t>
    </r>
    <r>
      <rPr>
        <b/>
        <sz val="10"/>
        <rFont val="Arial"/>
        <family val="2"/>
      </rPr>
      <t>Monteur:</t>
    </r>
    <r>
      <rPr>
        <sz val="10"/>
        <rFont val="Arial"/>
        <family val="2"/>
      </rPr>
      <t xml:space="preserve"> Zuncke </t>
    </r>
    <r>
      <rPr>
        <b/>
        <sz val="10"/>
        <rFont val="Arial"/>
        <family val="2"/>
      </rPr>
      <t>Auftragsnummer:</t>
    </r>
    <r>
      <rPr>
        <sz val="10"/>
        <rFont val="Arial"/>
        <family val="2"/>
      </rPr>
      <t xml:space="preserve"> 25-12686-AB</t>
    </r>
  </si>
  <si>
    <t>23-</t>
  </si>
  <si>
    <t>24-</t>
  </si>
  <si>
    <t>26-</t>
  </si>
  <si>
    <t>25-</t>
  </si>
  <si>
    <t>30-</t>
  </si>
  <si>
    <t>14-</t>
  </si>
  <si>
    <t>17-</t>
  </si>
  <si>
    <t>18-</t>
  </si>
  <si>
    <t>FSA ohne Strom</t>
  </si>
  <si>
    <t>19-</t>
  </si>
  <si>
    <t>Man kann nicht erkennen wo die Stromleitung der FSA hinführen da es unter Putz sein wird!</t>
  </si>
  <si>
    <t>20-</t>
  </si>
  <si>
    <t>27-</t>
  </si>
  <si>
    <t>28-</t>
  </si>
  <si>
    <t>29-</t>
  </si>
  <si>
    <t>33-</t>
  </si>
  <si>
    <t>34-</t>
  </si>
  <si>
    <t>15-</t>
  </si>
  <si>
    <t>6-</t>
  </si>
  <si>
    <t>7-</t>
  </si>
  <si>
    <t>10-</t>
  </si>
  <si>
    <t>8-</t>
  </si>
  <si>
    <t>11-</t>
  </si>
  <si>
    <t>13-</t>
  </si>
  <si>
    <t>12-</t>
  </si>
  <si>
    <t>4-</t>
  </si>
  <si>
    <t>3-</t>
  </si>
  <si>
    <t>2-</t>
  </si>
  <si>
    <t>1-</t>
  </si>
  <si>
    <t>31-</t>
  </si>
  <si>
    <t>32-</t>
  </si>
  <si>
    <t>22-</t>
  </si>
  <si>
    <t>21-</t>
  </si>
  <si>
    <t>59-</t>
  </si>
  <si>
    <t>51-</t>
  </si>
  <si>
    <t>Kabel ist unter Putz!!!</t>
  </si>
  <si>
    <t>58-</t>
  </si>
  <si>
    <t>56-</t>
  </si>
  <si>
    <t>Löcher sind durchgehend von der PZ Rossette gebohrt! Zulassung erloschen?!</t>
  </si>
  <si>
    <t>57-</t>
  </si>
  <si>
    <t>54-</t>
  </si>
  <si>
    <t>BD 15x30mm Länge 960mm Zulassung beachten!</t>
  </si>
  <si>
    <t>55-</t>
  </si>
  <si>
    <t>52-</t>
  </si>
  <si>
    <t>53-</t>
  </si>
  <si>
    <t>9-</t>
  </si>
  <si>
    <t>5-</t>
  </si>
  <si>
    <t>16-</t>
  </si>
  <si>
    <t>60-</t>
  </si>
  <si>
    <t>Scheibe defefekt wird aber von einen Glaser getauscht!</t>
  </si>
  <si>
    <t>Falle wurde demontiert vom Hausmeister!_x000D_
Der Hausmeister möchte für diese Tür ein Angebot für eine FSA haben!</t>
  </si>
  <si>
    <t>50-</t>
  </si>
  <si>
    <t>Sturzhöhe unter einen Meter daher werden keine Deckenmelder benötigt. Die vorhandenen Deckenmelder sind so wie sie montiert sind nicht zulässig da ein Deckenmelder im 1.OG montiert ist und der andere im 2.OG(Sturzhöhe 950)</t>
  </si>
  <si>
    <t>46-</t>
  </si>
  <si>
    <t>48-</t>
  </si>
  <si>
    <t>47-</t>
  </si>
  <si>
    <t>wie Tür 56</t>
  </si>
  <si>
    <t>49-</t>
  </si>
  <si>
    <t>45-</t>
  </si>
  <si>
    <t>41-</t>
  </si>
  <si>
    <t>44-</t>
  </si>
  <si>
    <t>43-</t>
  </si>
  <si>
    <t>42-</t>
  </si>
  <si>
    <t>40-</t>
  </si>
  <si>
    <t>38-</t>
  </si>
  <si>
    <t>Bei den Gangflügel ist das obere Band gerissen! siehe Foto!</t>
  </si>
  <si>
    <t>37-</t>
  </si>
  <si>
    <t>35-</t>
  </si>
  <si>
    <t>36-</t>
  </si>
  <si>
    <t>Beim Gangflügel ist das obere Band gerissen!</t>
  </si>
  <si>
    <t>39-</t>
  </si>
  <si>
    <t>Angebot 25-25318-AN, Position: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</si>
</sst>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8" formatCode="#,##0.00\ &quot;€&quot;;[Red]\-#,##0.00\ &quot;€&quot;"/>
    <numFmt numFmtId="164" formatCode="d/m/yyyy;@"/>
  </numFmts>
  <fonts count="11" x14ac:knownFonts="1">
    <font>
      <sz val="11"/>
      <color theme="1"/>
      <name val="Calibri"/>
      <family val="2"/>
      <scheme val="minor"/>
    </font>
    <font>
      <sz val="10"/>
      <name val="Arial"/>
      <family val="2"/>
    </font>
    <font>
      <b/>
      <sz val="10"/>
      <name val="Arial"/>
      <family val="2"/>
    </font>
    <font>
      <b/>
      <sz val="12"/>
      <name val="Arial"/>
      <family val="2"/>
    </font>
    <font>
      <b/>
      <sz val="11"/>
      <color theme="1"/>
      <name val="Arial"/>
      <family val="2"/>
    </font>
    <font>
      <b/>
      <sz val="11"/>
      <color theme="1"/>
      <name val="Calibri"/>
      <family val="2"/>
      <scheme val="minor"/>
    </font>
    <font>
      <sz val="10"/>
      <color theme="1"/>
      <name val="Calibri"/>
      <family val="2"/>
      <scheme val="minor"/>
    </font>
    <font>
      <sz val="10"/>
      <color theme="1"/>
      <name val="Arial"/>
      <family val="2"/>
    </font>
    <font>
      <b/>
      <sz val="12"/>
      <color rgb="FFFF0000"/>
      <name val="Arial"/>
      <family val="2"/>
    </font>
    <font>
      <sz val="10"/>
      <color rgb="FFFF0000"/>
      <name val="Arial"/>
      <family val="2"/>
    </font>
    <font>
      <sz val="11"/>
      <color rgb="FF000000"/>
      <name val="Calibri"/>
      <family val="2"/>
    </font>
  </fonts>
  <fills count="12">
    <fill>
      <patternFill patternType="none"/>
    </fill>
    <fill>
      <patternFill patternType="gray125"/>
    </fill>
    <fill>
      <patternFill patternType="solid">
        <fgColor rgb="FFFFFFFF"/>
        <bgColor rgb="FF000000"/>
      </patternFill>
    </fill>
    <fill>
      <patternFill patternType="solid">
        <fgColor rgb="FFEBF1DE"/>
        <bgColor rgb="FF000000"/>
      </patternFill>
    </fill>
    <fill>
      <patternFill patternType="solid">
        <fgColor rgb="FFC4D79B"/>
        <bgColor rgb="FF000000"/>
      </patternFill>
    </fill>
    <fill>
      <patternFill patternType="solid">
        <fgColor theme="0" tint="-0.14999847407452621"/>
        <bgColor indexed="64"/>
      </patternFill>
    </fill>
    <fill>
      <patternFill patternType="solid">
        <fgColor theme="3" tint="0.7999816888943144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00"/>
        <bgColor indexed="64"/>
      </patternFill>
    </fill>
    <fill>
      <patternFill patternType="solid">
        <fgColor rgb="FFFFC000"/>
        <bgColor indexed="64"/>
      </patternFill>
    </fill>
    <fill>
      <patternFill patternType="solid">
        <fgColor theme="0"/>
        <bgColor indexed="64"/>
      </patternFill>
    </fill>
  </fills>
  <borders count="52">
    <border>
      <left/>
      <right/>
      <top/>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medium">
        <color indexed="64"/>
      </bottom>
      <diagonal/>
    </border>
    <border>
      <left/>
      <right style="medium">
        <color indexed="64"/>
      </right>
      <top style="medium">
        <color indexed="64"/>
      </top>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bottom/>
      <diagonal/>
    </border>
    <border>
      <left/>
      <right style="medium">
        <color rgb="FF000000"/>
      </right>
      <top style="thin">
        <color rgb="FF000000"/>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medium">
        <color indexed="64"/>
      </left>
      <right style="medium">
        <color indexed="64"/>
      </right>
      <top style="medium">
        <color indexed="64"/>
      </top>
      <bottom/>
      <diagonal/>
    </border>
    <border>
      <left style="thin">
        <color rgb="FF000000"/>
      </left>
      <right style="medium">
        <color rgb="FF000000"/>
      </right>
      <top style="thin">
        <color rgb="FF000000"/>
      </top>
      <bottom/>
      <diagonal/>
    </border>
    <border>
      <left style="thin">
        <color rgb="FF000000"/>
      </left>
      <right style="medium">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right style="thin">
        <color rgb="FF000000"/>
      </right>
      <top style="thin">
        <color rgb="FF000000"/>
      </top>
      <bottom style="medium">
        <color rgb="FF000000"/>
      </bottom>
      <diagonal/>
    </border>
    <border>
      <left style="thin">
        <color rgb="FF000000"/>
      </left>
      <right/>
      <top style="thin">
        <color rgb="FF000000"/>
      </top>
      <bottom style="medium">
        <color rgb="FF000000"/>
      </bottom>
      <diagonal/>
    </border>
    <border>
      <left style="medium">
        <color rgb="FF000000"/>
      </left>
      <right style="thin">
        <color rgb="FF000000"/>
      </right>
      <top style="thin">
        <color rgb="FF000000"/>
      </top>
      <bottom style="medium">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style="thin">
        <color rgb="FF000000"/>
      </left>
      <right style="thin">
        <color rgb="FF000000"/>
      </right>
      <top/>
      <bottom style="thin">
        <color rgb="FF000000"/>
      </bottom>
      <diagonal/>
    </border>
    <border>
      <left style="medium">
        <color rgb="FF000000"/>
      </left>
      <right style="thin">
        <color rgb="FF000000"/>
      </right>
      <top style="thin">
        <color rgb="FF000000"/>
      </top>
      <bottom/>
      <diagonal/>
    </border>
    <border>
      <left/>
      <right style="thin">
        <color rgb="FF000000"/>
      </right>
      <top style="thin">
        <color rgb="FF000000"/>
      </top>
      <bottom/>
      <diagonal/>
    </border>
    <border>
      <left style="medium">
        <color rgb="FF000000"/>
      </left>
      <right style="medium">
        <color rgb="FF000000"/>
      </right>
      <top/>
      <bottom style="medium">
        <color rgb="FF000000"/>
      </bottom>
      <diagonal/>
    </border>
    <border>
      <left style="thin">
        <color indexed="64"/>
      </left>
      <right style="medium">
        <color indexed="64"/>
      </right>
      <top style="medium">
        <color indexed="64"/>
      </top>
      <bottom/>
      <diagonal/>
    </border>
    <border>
      <left style="medium">
        <color indexed="64"/>
      </left>
      <right style="thin">
        <color rgb="FF000000"/>
      </right>
      <top style="thin">
        <color rgb="FF000000"/>
      </top>
      <bottom/>
      <diagonal/>
    </border>
    <border>
      <left style="thin">
        <color rgb="FF000000"/>
      </left>
      <right style="medium">
        <color indexed="64"/>
      </right>
      <top style="thin">
        <color rgb="FF000000"/>
      </top>
      <bottom/>
      <diagonal/>
    </border>
    <border>
      <left style="medium">
        <color indexed="64"/>
      </left>
      <right style="thin">
        <color rgb="FF000000"/>
      </right>
      <top style="thin">
        <color rgb="FF000000"/>
      </top>
      <bottom style="medium">
        <color indexed="64"/>
      </bottom>
      <diagonal/>
    </border>
    <border>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style="medium">
        <color indexed="64"/>
      </right>
      <top style="thin">
        <color rgb="FF000000"/>
      </top>
      <bottom style="medium">
        <color indexed="64"/>
      </bottom>
      <diagonal/>
    </border>
    <border>
      <left style="medium">
        <color indexed="64"/>
      </left>
      <right style="medium">
        <color indexed="64"/>
      </right>
      <top style="thin">
        <color rgb="FF000000"/>
      </top>
      <bottom/>
      <diagonal/>
    </border>
    <border>
      <left style="medium">
        <color indexed="64"/>
      </left>
      <right style="medium">
        <color indexed="64"/>
      </right>
      <top style="thin">
        <color rgb="FF000000"/>
      </top>
      <bottom style="medium">
        <color indexed="64"/>
      </bottom>
      <diagonal/>
    </border>
    <border>
      <left style="medium">
        <color indexed="64"/>
      </left>
      <right style="medium">
        <color indexed="64"/>
      </right>
      <top/>
      <bottom/>
      <diagonal/>
    </border>
    <border>
      <left style="medium">
        <color rgb="FF000000"/>
      </left>
      <right style="medium">
        <color rgb="FF000000"/>
      </right>
      <top style="medium">
        <color rgb="FF000000"/>
      </top>
      <bottom/>
      <diagonal/>
    </border>
    <border>
      <left style="medium">
        <color indexed="64"/>
      </left>
      <right style="thin">
        <color rgb="FF000000"/>
      </right>
      <top style="medium">
        <color indexed="64"/>
      </top>
      <bottom style="medium">
        <color indexed="64"/>
      </bottom>
      <diagonal/>
    </border>
    <border>
      <left style="thin">
        <color rgb="FF000000"/>
      </left>
      <right style="thin">
        <color rgb="FF000000"/>
      </right>
      <top style="medium">
        <color indexed="64"/>
      </top>
      <bottom style="medium">
        <color indexed="64"/>
      </bottom>
      <diagonal/>
    </border>
    <border>
      <left style="thin">
        <color rgb="FF000000"/>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s>
  <cellStyleXfs count="3">
    <xf numFmtId="0" fontId="0" fillId="0" borderId="0"/>
    <xf numFmtId="0" fontId="1" fillId="0" borderId="0"/>
    <xf numFmtId="0" fontId="7" fillId="0" borderId="0"/>
  </cellStyleXfs>
  <cellXfs count="164">
    <xf numFmtId="0" fontId="0" fillId="0" borderId="0" xfId="0"/>
    <xf numFmtId="0" fontId="2" fillId="0" borderId="2" xfId="0" applyFont="1" applyBorder="1" applyAlignment="1">
      <alignment horizontal="center" vertical="center" wrapText="1"/>
    </xf>
    <xf numFmtId="0" fontId="6" fillId="0" borderId="0" xfId="0" applyFont="1" applyAlignment="1">
      <alignment wrapText="1"/>
    </xf>
    <xf numFmtId="0" fontId="4" fillId="0" borderId="0" xfId="0" applyFont="1" applyAlignment="1">
      <alignment horizontal="left" wrapText="1"/>
    </xf>
    <xf numFmtId="0" fontId="0" fillId="0" borderId="0" xfId="0" applyAlignment="1">
      <alignment horizontal="left"/>
    </xf>
    <xf numFmtId="0" fontId="5" fillId="0" borderId="0" xfId="0" applyFont="1" applyAlignment="1">
      <alignment horizontal="left" wrapText="1"/>
    </xf>
    <xf numFmtId="1" fontId="2" fillId="0" borderId="4" xfId="0" applyNumberFormat="1" applyFont="1" applyBorder="1"/>
    <xf numFmtId="0" fontId="2" fillId="0" borderId="3" xfId="0" applyFont="1" applyBorder="1" applyAlignment="1">
      <alignment vertical="center"/>
    </xf>
    <xf numFmtId="0" fontId="2" fillId="0" borderId="3" xfId="0" applyFont="1" applyBorder="1" applyAlignment="1">
      <alignment horizontal="left" vertical="center"/>
    </xf>
    <xf numFmtId="1" fontId="1" fillId="0" borderId="4" xfId="0" applyNumberFormat="1" applyFont="1" applyBorder="1"/>
    <xf numFmtId="1" fontId="1" fillId="0" borderId="3" xfId="0" applyNumberFormat="1" applyFont="1" applyBorder="1"/>
    <xf numFmtId="0" fontId="2" fillId="0" borderId="3" xfId="0" applyFont="1" applyBorder="1" applyAlignment="1">
      <alignment vertical="center" wrapText="1"/>
    </xf>
    <xf numFmtId="0" fontId="1" fillId="3" borderId="8" xfId="0" applyFont="1" applyFill="1" applyBorder="1" applyAlignment="1">
      <alignment horizontal="center" vertical="center"/>
    </xf>
    <xf numFmtId="0" fontId="1" fillId="3" borderId="8" xfId="0" applyFont="1" applyFill="1" applyBorder="1" applyAlignment="1">
      <alignment horizontal="right" vertical="center"/>
    </xf>
    <xf numFmtId="0" fontId="1" fillId="0" borderId="8" xfId="0" applyFont="1" applyBorder="1" applyAlignment="1">
      <alignment horizontal="center" vertical="center"/>
    </xf>
    <xf numFmtId="0" fontId="0" fillId="0" borderId="8" xfId="0" applyBorder="1"/>
    <xf numFmtId="0" fontId="1" fillId="0" borderId="8" xfId="0" applyFont="1" applyBorder="1" applyAlignment="1">
      <alignment horizontal="right" vertical="center"/>
    </xf>
    <xf numFmtId="0" fontId="0" fillId="0" borderId="1" xfId="0" applyBorder="1"/>
    <xf numFmtId="0" fontId="0" fillId="0" borderId="7" xfId="0" applyBorder="1"/>
    <xf numFmtId="8" fontId="0" fillId="0" borderId="9" xfId="0" applyNumberFormat="1" applyBorder="1"/>
    <xf numFmtId="0" fontId="1" fillId="0" borderId="5" xfId="0" applyFont="1" applyBorder="1" applyAlignment="1">
      <alignment horizontal="center" vertical="center"/>
    </xf>
    <xf numFmtId="0" fontId="2" fillId="0" borderId="5" xfId="0" applyFont="1" applyBorder="1" applyAlignment="1">
      <alignment horizontal="center" vertical="center"/>
    </xf>
    <xf numFmtId="0" fontId="0" fillId="5" borderId="0" xfId="0" applyFill="1"/>
    <xf numFmtId="0" fontId="1" fillId="5" borderId="6" xfId="0" applyFont="1" applyFill="1" applyBorder="1" applyAlignment="1">
      <alignment horizontal="center" vertical="center"/>
    </xf>
    <xf numFmtId="0" fontId="1" fillId="5" borderId="6" xfId="0" applyFont="1" applyFill="1" applyBorder="1" applyAlignment="1">
      <alignment horizontal="left" vertical="center"/>
    </xf>
    <xf numFmtId="0" fontId="0" fillId="5" borderId="8" xfId="0" applyFill="1" applyBorder="1"/>
    <xf numFmtId="0" fontId="0" fillId="6" borderId="8" xfId="0" applyFill="1" applyBorder="1"/>
    <xf numFmtId="0" fontId="0" fillId="0" borderId="8" xfId="0" applyBorder="1" applyAlignment="1">
      <alignment vertical="center" wrapText="1"/>
    </xf>
    <xf numFmtId="8" fontId="0" fillId="7" borderId="8" xfId="0" applyNumberFormat="1" applyFill="1" applyBorder="1"/>
    <xf numFmtId="8" fontId="0" fillId="8" borderId="8" xfId="0" applyNumberFormat="1" applyFill="1" applyBorder="1"/>
    <xf numFmtId="3" fontId="0" fillId="0" borderId="8" xfId="0" applyNumberFormat="1" applyBorder="1"/>
    <xf numFmtId="164" fontId="0" fillId="0" borderId="0" xfId="0" applyNumberFormat="1"/>
    <xf numFmtId="164" fontId="0" fillId="0" borderId="8" xfId="0" applyNumberFormat="1" applyBorder="1"/>
    <xf numFmtId="8" fontId="0" fillId="0" borderId="12" xfId="0" applyNumberFormat="1" applyBorder="1"/>
    <xf numFmtId="0" fontId="1" fillId="0" borderId="8" xfId="0" applyFont="1" applyBorder="1" applyAlignment="1">
      <alignment horizontal="left" vertical="center"/>
    </xf>
    <xf numFmtId="0" fontId="5" fillId="0" borderId="8" xfId="0" applyFont="1" applyBorder="1" applyAlignment="1">
      <alignment vertical="center"/>
    </xf>
    <xf numFmtId="0" fontId="5" fillId="0" borderId="8" xfId="0" applyFont="1" applyBorder="1" applyAlignment="1">
      <alignment vertical="center" wrapText="1"/>
    </xf>
    <xf numFmtId="164" fontId="5" fillId="0" borderId="8" xfId="0" applyNumberFormat="1" applyFont="1" applyBorder="1" applyAlignment="1">
      <alignment vertical="center"/>
    </xf>
    <xf numFmtId="0" fontId="0" fillId="0" borderId="8" xfId="0" applyBorder="1" applyAlignment="1">
      <alignment vertical="center"/>
    </xf>
    <xf numFmtId="0" fontId="5" fillId="0" borderId="13" xfId="0" applyFont="1" applyBorder="1" applyAlignment="1">
      <alignment vertical="center"/>
    </xf>
    <xf numFmtId="0" fontId="5" fillId="0" borderId="13" xfId="0" applyFont="1" applyBorder="1" applyAlignment="1">
      <alignment vertical="center" wrapText="1"/>
    </xf>
    <xf numFmtId="164" fontId="5" fillId="0" borderId="13" xfId="0" applyNumberFormat="1" applyFont="1" applyBorder="1" applyAlignment="1">
      <alignment vertical="center"/>
    </xf>
    <xf numFmtId="0" fontId="5" fillId="0" borderId="12" xfId="0" applyFont="1" applyBorder="1" applyAlignment="1">
      <alignment vertical="center"/>
    </xf>
    <xf numFmtId="0" fontId="5" fillId="0" borderId="12" xfId="0" applyFont="1" applyBorder="1" applyAlignment="1">
      <alignment vertical="center" wrapText="1"/>
    </xf>
    <xf numFmtId="0" fontId="5" fillId="0" borderId="3" xfId="0" applyFont="1" applyBorder="1" applyAlignment="1">
      <alignment vertical="center"/>
    </xf>
    <xf numFmtId="164" fontId="5" fillId="0" borderId="12" xfId="0" applyNumberFormat="1" applyFont="1" applyBorder="1" applyAlignment="1">
      <alignment vertical="center"/>
    </xf>
    <xf numFmtId="164" fontId="0" fillId="0" borderId="8" xfId="0" applyNumberFormat="1" applyBorder="1" applyAlignment="1">
      <alignment vertical="center"/>
    </xf>
    <xf numFmtId="0" fontId="3" fillId="0" borderId="2" xfId="0" applyFont="1" applyBorder="1" applyAlignment="1">
      <alignment horizontal="left" vertical="center" wrapText="1"/>
    </xf>
    <xf numFmtId="0" fontId="2" fillId="0" borderId="3" xfId="0" applyFont="1" applyBorder="1" applyAlignment="1">
      <alignment horizontal="center" vertical="center"/>
    </xf>
    <xf numFmtId="0" fontId="2" fillId="0" borderId="2" xfId="0" applyFont="1" applyBorder="1" applyAlignment="1">
      <alignment horizontal="center" vertical="center"/>
    </xf>
    <xf numFmtId="0" fontId="0" fillId="7" borderId="8" xfId="0" applyFill="1" applyBorder="1"/>
    <xf numFmtId="14" fontId="0" fillId="7" borderId="8" xfId="0" applyNumberFormat="1" applyFill="1" applyBorder="1"/>
    <xf numFmtId="0" fontId="0" fillId="0" borderId="15" xfId="0" applyBorder="1"/>
    <xf numFmtId="0" fontId="0" fillId="7" borderId="11" xfId="0" applyFill="1" applyBorder="1"/>
    <xf numFmtId="0" fontId="0" fillId="0" borderId="11" xfId="0" applyBorder="1"/>
    <xf numFmtId="0" fontId="0" fillId="0" borderId="14" xfId="0" applyBorder="1"/>
    <xf numFmtId="0" fontId="0" fillId="5" borderId="14" xfId="0" applyFill="1" applyBorder="1"/>
    <xf numFmtId="0" fontId="0" fillId="6" borderId="14" xfId="0" applyFill="1" applyBorder="1"/>
    <xf numFmtId="8" fontId="0" fillId="8" borderId="14" xfId="0" applyNumberFormat="1" applyFill="1" applyBorder="1"/>
    <xf numFmtId="0" fontId="1" fillId="0" borderId="16" xfId="0" applyFont="1" applyBorder="1" applyAlignment="1">
      <alignment horizontal="center" vertical="center" wrapText="1"/>
    </xf>
    <xf numFmtId="0" fontId="3" fillId="0" borderId="17" xfId="0" applyFont="1" applyBorder="1" applyAlignment="1">
      <alignment horizontal="left" textRotation="90" wrapText="1"/>
    </xf>
    <xf numFmtId="0" fontId="3" fillId="0" borderId="11" xfId="0" applyFont="1" applyBorder="1" applyAlignment="1">
      <alignment horizontal="left" textRotation="90" wrapText="1"/>
    </xf>
    <xf numFmtId="0" fontId="3" fillId="2" borderId="18" xfId="0" applyFont="1" applyFill="1" applyBorder="1" applyAlignment="1">
      <alignment horizontal="left" textRotation="90" wrapText="1"/>
    </xf>
    <xf numFmtId="0" fontId="3" fillId="2" borderId="15" xfId="0" applyFont="1" applyFill="1" applyBorder="1" applyAlignment="1">
      <alignment horizontal="left" textRotation="90" wrapText="1"/>
    </xf>
    <xf numFmtId="0" fontId="3" fillId="2" borderId="11" xfId="0" applyFont="1" applyFill="1" applyBorder="1" applyAlignment="1">
      <alignment horizontal="left" textRotation="90" wrapText="1"/>
    </xf>
    <xf numFmtId="0" fontId="3" fillId="0" borderId="15" xfId="0" applyFont="1" applyBorder="1" applyAlignment="1">
      <alignment horizontal="left" textRotation="90" wrapText="1"/>
    </xf>
    <xf numFmtId="0" fontId="3" fillId="0" borderId="14" xfId="0" applyFont="1" applyBorder="1" applyAlignment="1">
      <alignment horizontal="left" textRotation="90" wrapText="1"/>
    </xf>
    <xf numFmtId="0" fontId="3" fillId="3" borderId="17" xfId="0" applyFont="1" applyFill="1" applyBorder="1" applyAlignment="1">
      <alignment horizontal="left" textRotation="90" wrapText="1"/>
    </xf>
    <xf numFmtId="0" fontId="3" fillId="3" borderId="11" xfId="0" applyFont="1" applyFill="1" applyBorder="1" applyAlignment="1">
      <alignment horizontal="left" textRotation="90" wrapText="1"/>
    </xf>
    <xf numFmtId="0" fontId="3" fillId="3" borderId="19" xfId="0" applyFont="1" applyFill="1" applyBorder="1" applyAlignment="1">
      <alignment horizontal="left" textRotation="90" wrapText="1"/>
    </xf>
    <xf numFmtId="0" fontId="0" fillId="0" borderId="20" xfId="0" applyBorder="1" applyAlignment="1">
      <alignment horizontal="center" vertical="center"/>
    </xf>
    <xf numFmtId="0" fontId="0" fillId="0" borderId="21" xfId="0" applyBorder="1" applyAlignment="1">
      <alignment horizontal="center" vertical="center"/>
    </xf>
    <xf numFmtId="0" fontId="1" fillId="0" borderId="21" xfId="0" applyFont="1" applyBorder="1" applyAlignment="1">
      <alignment horizontal="center" vertical="center" wrapText="1"/>
    </xf>
    <xf numFmtId="49" fontId="1" fillId="0" borderId="21" xfId="0" applyNumberFormat="1" applyFont="1" applyBorder="1" applyAlignment="1">
      <alignment horizontal="center" vertical="center"/>
    </xf>
    <xf numFmtId="0" fontId="1" fillId="0" borderId="21" xfId="0" applyFont="1" applyBorder="1" applyAlignment="1">
      <alignment horizontal="center" vertical="center"/>
    </xf>
    <xf numFmtId="0" fontId="1" fillId="3" borderId="21" xfId="0" applyFont="1" applyFill="1" applyBorder="1" applyAlignment="1">
      <alignment horizontal="center" vertical="center" wrapText="1"/>
    </xf>
    <xf numFmtId="0" fontId="1" fillId="2" borderId="22" xfId="0" applyFont="1" applyFill="1" applyBorder="1" applyAlignment="1">
      <alignment horizontal="center" vertical="center" wrapText="1"/>
    </xf>
    <xf numFmtId="0" fontId="1" fillId="4" borderId="23" xfId="0" applyFont="1" applyFill="1" applyBorder="1" applyAlignment="1">
      <alignment horizontal="center" vertical="center" wrapText="1"/>
    </xf>
    <xf numFmtId="0" fontId="1" fillId="0" borderId="26" xfId="0" applyFont="1" applyBorder="1" applyAlignment="1">
      <alignment horizontal="center" vertical="center" wrapText="1"/>
    </xf>
    <xf numFmtId="49" fontId="1" fillId="0" borderId="26" xfId="0" applyNumberFormat="1" applyFont="1" applyBorder="1" applyAlignment="1">
      <alignment horizontal="center" vertical="center"/>
    </xf>
    <xf numFmtId="0" fontId="1" fillId="0" borderId="26" xfId="0" applyFont="1" applyBorder="1" applyAlignment="1">
      <alignment horizontal="center" vertical="center"/>
    </xf>
    <xf numFmtId="0" fontId="1" fillId="3" borderId="26" xfId="0" applyFont="1" applyFill="1" applyBorder="1" applyAlignment="1">
      <alignment horizontal="center" vertical="center" wrapText="1"/>
    </xf>
    <xf numFmtId="0" fontId="1" fillId="2" borderId="26" xfId="0" applyFont="1" applyFill="1" applyBorder="1" applyAlignment="1">
      <alignment horizontal="center" vertical="center" wrapText="1"/>
    </xf>
    <xf numFmtId="0" fontId="1" fillId="4" borderId="26" xfId="0" applyFont="1" applyFill="1" applyBorder="1" applyAlignment="1">
      <alignment horizontal="center" vertical="center" wrapText="1"/>
    </xf>
    <xf numFmtId="0" fontId="1" fillId="0" borderId="28" xfId="0" applyFont="1" applyBorder="1" applyAlignment="1">
      <alignment horizontal="center" vertical="center" wrapText="1"/>
    </xf>
    <xf numFmtId="0" fontId="1" fillId="0" borderId="25" xfId="0" applyFont="1" applyBorder="1" applyAlignment="1">
      <alignment horizontal="center" vertical="center" wrapText="1"/>
    </xf>
    <xf numFmtId="0" fontId="0" fillId="0" borderId="27" xfId="0" applyBorder="1" applyAlignment="1">
      <alignment horizontal="center" vertical="center"/>
    </xf>
    <xf numFmtId="0" fontId="0" fillId="0" borderId="29" xfId="0" applyBorder="1" applyAlignment="1">
      <alignment horizontal="center" vertical="center"/>
    </xf>
    <xf numFmtId="0" fontId="1" fillId="0" borderId="0" xfId="0" applyFont="1" applyAlignment="1">
      <alignment horizontal="center" vertical="center" wrapText="1"/>
    </xf>
    <xf numFmtId="0" fontId="3" fillId="0" borderId="32" xfId="0" applyFont="1" applyBorder="1" applyAlignment="1">
      <alignment horizontal="left" textRotation="90" wrapText="1"/>
    </xf>
    <xf numFmtId="0" fontId="0" fillId="0" borderId="33" xfId="0" applyBorder="1" applyAlignment="1">
      <alignment horizontal="center" vertical="center"/>
    </xf>
    <xf numFmtId="0" fontId="0" fillId="0" borderId="34" xfId="0" applyBorder="1" applyAlignment="1">
      <alignment horizontal="center" vertical="center"/>
    </xf>
    <xf numFmtId="0" fontId="1" fillId="0" borderId="30" xfId="0" applyFont="1" applyBorder="1" applyAlignment="1">
      <alignment horizontal="center" vertical="center" wrapText="1"/>
    </xf>
    <xf numFmtId="49" fontId="1" fillId="0" borderId="30" xfId="0" applyNumberFormat="1" applyFont="1" applyBorder="1" applyAlignment="1">
      <alignment horizontal="center" vertical="center"/>
    </xf>
    <xf numFmtId="0" fontId="1" fillId="0" borderId="30" xfId="0" applyFont="1" applyBorder="1" applyAlignment="1">
      <alignment horizontal="center" vertical="center"/>
    </xf>
    <xf numFmtId="0" fontId="1" fillId="3" borderId="30" xfId="0" applyFont="1" applyFill="1" applyBorder="1" applyAlignment="1">
      <alignment horizontal="center" vertical="center" wrapText="1"/>
    </xf>
    <xf numFmtId="0" fontId="1" fillId="2" borderId="30" xfId="0" applyFont="1" applyFill="1" applyBorder="1" applyAlignment="1">
      <alignment horizontal="center" vertical="center" wrapText="1"/>
    </xf>
    <xf numFmtId="0" fontId="1" fillId="4" borderId="30" xfId="0" applyFont="1" applyFill="1" applyBorder="1" applyAlignment="1">
      <alignment horizontal="center" vertical="center" wrapText="1"/>
    </xf>
    <xf numFmtId="0" fontId="1" fillId="0" borderId="31" xfId="0" applyFont="1" applyBorder="1" applyAlignment="1">
      <alignment horizontal="center" vertical="center" wrapText="1"/>
    </xf>
    <xf numFmtId="0" fontId="1" fillId="0" borderId="24" xfId="0" applyFont="1" applyBorder="1" applyAlignment="1">
      <alignment horizontal="center" vertical="center" wrapText="1"/>
    </xf>
    <xf numFmtId="0" fontId="0" fillId="0" borderId="13" xfId="0" applyBorder="1"/>
    <xf numFmtId="0" fontId="0" fillId="5" borderId="13" xfId="0" applyFill="1" applyBorder="1"/>
    <xf numFmtId="0" fontId="0" fillId="6" borderId="13" xfId="0" applyFill="1" applyBorder="1"/>
    <xf numFmtId="0" fontId="1" fillId="10" borderId="30" xfId="0" applyFont="1" applyFill="1" applyBorder="1" applyAlignment="1">
      <alignment horizontal="center" vertical="center"/>
    </xf>
    <xf numFmtId="0" fontId="2" fillId="9" borderId="5" xfId="0" applyFont="1" applyFill="1" applyBorder="1" applyAlignment="1">
      <alignment horizontal="center" vertical="center"/>
    </xf>
    <xf numFmtId="0" fontId="2" fillId="9" borderId="5" xfId="0" applyFont="1" applyFill="1" applyBorder="1" applyAlignment="1">
      <alignment horizontal="right" vertical="center"/>
    </xf>
    <xf numFmtId="0" fontId="2" fillId="9" borderId="10" xfId="0" applyFont="1" applyFill="1" applyBorder="1"/>
    <xf numFmtId="0" fontId="1" fillId="9" borderId="24" xfId="0" applyFont="1" applyFill="1" applyBorder="1" applyAlignment="1">
      <alignment horizontal="center" vertical="center" wrapText="1"/>
    </xf>
    <xf numFmtId="0" fontId="8" fillId="0" borderId="32" xfId="0" applyFont="1" applyBorder="1" applyAlignment="1">
      <alignment horizontal="left" textRotation="90" wrapText="1"/>
    </xf>
    <xf numFmtId="0" fontId="9" fillId="0" borderId="31" xfId="0" applyFont="1" applyBorder="1" applyAlignment="1">
      <alignment horizontal="center" vertical="center" wrapText="1"/>
    </xf>
    <xf numFmtId="0" fontId="9" fillId="0" borderId="30" xfId="0" applyFont="1" applyBorder="1" applyAlignment="1">
      <alignment horizontal="center" vertical="center" wrapText="1"/>
    </xf>
    <xf numFmtId="0" fontId="9" fillId="0" borderId="26" xfId="0" applyFont="1" applyBorder="1" applyAlignment="1">
      <alignment horizontal="center" vertical="center" wrapText="1"/>
    </xf>
    <xf numFmtId="0" fontId="8" fillId="10" borderId="32" xfId="0" applyFont="1" applyFill="1" applyBorder="1" applyAlignment="1">
      <alignment horizontal="left" textRotation="90" wrapText="1"/>
    </xf>
    <xf numFmtId="0" fontId="9" fillId="10" borderId="31" xfId="0" applyFont="1" applyFill="1" applyBorder="1" applyAlignment="1">
      <alignment horizontal="center" vertical="center" wrapText="1"/>
    </xf>
    <xf numFmtId="0" fontId="2" fillId="9" borderId="12" xfId="0" applyFont="1" applyFill="1" applyBorder="1" applyAlignment="1">
      <alignment horizontal="center" vertical="center" wrapText="1"/>
    </xf>
    <xf numFmtId="0" fontId="8" fillId="11" borderId="32" xfId="0" applyFont="1" applyFill="1" applyBorder="1" applyAlignment="1">
      <alignment horizontal="left" textRotation="90" wrapText="1"/>
    </xf>
    <xf numFmtId="0" fontId="1" fillId="0" borderId="36" xfId="0" applyFont="1" applyBorder="1" applyAlignment="1">
      <alignment horizontal="center" vertical="center" wrapText="1"/>
    </xf>
    <xf numFmtId="0" fontId="0" fillId="0" borderId="37" xfId="0" applyBorder="1" applyAlignment="1">
      <alignment horizontal="center" vertical="center"/>
    </xf>
    <xf numFmtId="0" fontId="1" fillId="0" borderId="38" xfId="0" applyFont="1" applyBorder="1" applyAlignment="1">
      <alignment horizontal="center" vertical="center" wrapText="1"/>
    </xf>
    <xf numFmtId="0" fontId="0" fillId="0" borderId="39" xfId="0" applyBorder="1" applyAlignment="1">
      <alignment horizontal="center" vertical="center"/>
    </xf>
    <xf numFmtId="0" fontId="0" fillId="0" borderId="40" xfId="0" applyBorder="1" applyAlignment="1">
      <alignment horizontal="center" vertical="center"/>
    </xf>
    <xf numFmtId="0" fontId="1" fillId="0" borderId="41" xfId="0" applyFont="1" applyBorder="1" applyAlignment="1">
      <alignment horizontal="center" vertical="center" wrapText="1"/>
    </xf>
    <xf numFmtId="49" fontId="1" fillId="0" borderId="41" xfId="0" applyNumberFormat="1" applyFont="1" applyBorder="1" applyAlignment="1">
      <alignment horizontal="center" vertical="center"/>
    </xf>
    <xf numFmtId="0" fontId="1" fillId="0" borderId="42" xfId="0" applyFont="1" applyBorder="1" applyAlignment="1">
      <alignment horizontal="center" vertical="center" wrapText="1"/>
    </xf>
    <xf numFmtId="0" fontId="1" fillId="0" borderId="20" xfId="0" applyFont="1" applyBorder="1" applyAlignment="1">
      <alignment horizontal="center" vertical="center"/>
    </xf>
    <xf numFmtId="0" fontId="1" fillId="0" borderId="37" xfId="0" applyFont="1" applyBorder="1" applyAlignment="1">
      <alignment horizontal="center" vertical="center"/>
    </xf>
    <xf numFmtId="0" fontId="1" fillId="0" borderId="39" xfId="0" applyFont="1" applyBorder="1" applyAlignment="1">
      <alignment horizontal="center" vertical="center"/>
    </xf>
    <xf numFmtId="0" fontId="1" fillId="0" borderId="41" xfId="0" applyFont="1" applyBorder="1" applyAlignment="1">
      <alignment horizontal="center" vertical="center"/>
    </xf>
    <xf numFmtId="0" fontId="1" fillId="3" borderId="41" xfId="0" applyFont="1" applyFill="1" applyBorder="1" applyAlignment="1">
      <alignment horizontal="center" vertical="center" wrapText="1"/>
    </xf>
    <xf numFmtId="0" fontId="1" fillId="3" borderId="20" xfId="0" applyFont="1" applyFill="1" applyBorder="1" applyAlignment="1">
      <alignment horizontal="center" vertical="center" wrapText="1"/>
    </xf>
    <xf numFmtId="0" fontId="1" fillId="2" borderId="36" xfId="0" applyFont="1" applyFill="1" applyBorder="1" applyAlignment="1">
      <alignment horizontal="center" vertical="center" wrapText="1"/>
    </xf>
    <xf numFmtId="0" fontId="1" fillId="3" borderId="37" xfId="0" applyFont="1" applyFill="1" applyBorder="1" applyAlignment="1">
      <alignment horizontal="center" vertical="center" wrapText="1"/>
    </xf>
    <xf numFmtId="0" fontId="1" fillId="2" borderId="38" xfId="0" applyFont="1" applyFill="1" applyBorder="1" applyAlignment="1">
      <alignment horizontal="center" vertical="center" wrapText="1"/>
    </xf>
    <xf numFmtId="0" fontId="1" fillId="3" borderId="39" xfId="0" applyFont="1" applyFill="1" applyBorder="1" applyAlignment="1">
      <alignment horizontal="center" vertical="center" wrapText="1"/>
    </xf>
    <xf numFmtId="0" fontId="1" fillId="2" borderId="42" xfId="0" applyFont="1" applyFill="1" applyBorder="1" applyAlignment="1">
      <alignment horizontal="center" vertical="center" wrapText="1"/>
    </xf>
    <xf numFmtId="0" fontId="1" fillId="4" borderId="43" xfId="0" applyFont="1" applyFill="1" applyBorder="1" applyAlignment="1">
      <alignment horizontal="center" vertical="center" wrapText="1"/>
    </xf>
    <xf numFmtId="0" fontId="1" fillId="4" borderId="44" xfId="0" applyFont="1" applyFill="1" applyBorder="1" applyAlignment="1">
      <alignment horizontal="center" vertical="center" wrapText="1"/>
    </xf>
    <xf numFmtId="0" fontId="1" fillId="0" borderId="23" xfId="0" applyFont="1" applyBorder="1" applyAlignment="1">
      <alignment horizontal="center" vertical="center" wrapText="1"/>
    </xf>
    <xf numFmtId="0" fontId="1" fillId="0" borderId="43" xfId="0" applyFont="1" applyBorder="1" applyAlignment="1">
      <alignment horizontal="center" vertical="center" wrapText="1"/>
    </xf>
    <xf numFmtId="0" fontId="1" fillId="0" borderId="44" xfId="0" applyFont="1" applyBorder="1" applyAlignment="1">
      <alignment horizontal="center" vertical="center" wrapText="1"/>
    </xf>
    <xf numFmtId="0" fontId="1" fillId="0" borderId="45" xfId="0" applyFont="1" applyBorder="1" applyAlignment="1">
      <alignment horizontal="center" vertical="center" wrapText="1"/>
    </xf>
    <xf numFmtId="0" fontId="2" fillId="9" borderId="23" xfId="0" applyFont="1" applyFill="1" applyBorder="1" applyAlignment="1">
      <alignment horizontal="center" vertical="center" wrapText="1"/>
    </xf>
    <xf numFmtId="0" fontId="2" fillId="9" borderId="10" xfId="0" applyFont="1" applyFill="1" applyBorder="1" applyAlignment="1">
      <alignment horizontal="center" vertical="center" wrapText="1"/>
    </xf>
    <xf numFmtId="0" fontId="2" fillId="0" borderId="4" xfId="0" applyFont="1" applyBorder="1" applyAlignment="1">
      <alignment horizontal="center" vertical="center"/>
    </xf>
    <xf numFmtId="0" fontId="2" fillId="0" borderId="3" xfId="0" applyFont="1" applyBorder="1" applyAlignment="1">
      <alignment horizontal="center" vertical="center"/>
    </xf>
    <xf numFmtId="0" fontId="2" fillId="0" borderId="2" xfId="0" applyFont="1" applyBorder="1" applyAlignment="1">
      <alignment horizontal="center" vertical="center"/>
    </xf>
    <xf numFmtId="0" fontId="2" fillId="9" borderId="4" xfId="0" applyFont="1" applyFill="1" applyBorder="1" applyAlignment="1">
      <alignment horizontal="center" vertical="center"/>
    </xf>
    <xf numFmtId="0" fontId="2" fillId="9" borderId="3" xfId="0" applyFont="1" applyFill="1" applyBorder="1" applyAlignment="1">
      <alignment horizontal="center" vertical="center"/>
    </xf>
    <xf numFmtId="0" fontId="2" fillId="9" borderId="2" xfId="0" applyFont="1" applyFill="1" applyBorder="1" applyAlignment="1">
      <alignment horizontal="center" vertical="center"/>
    </xf>
    <xf numFmtId="0" fontId="2" fillId="0" borderId="35" xfId="0" applyFont="1" applyBorder="1" applyAlignment="1">
      <alignment horizontal="center" vertical="center" wrapText="1"/>
    </xf>
    <xf numFmtId="0" fontId="2" fillId="0" borderId="46" xfId="0" applyFont="1" applyBorder="1" applyAlignment="1">
      <alignment horizontal="center" vertical="center" wrapText="1"/>
    </xf>
    <xf numFmtId="0" fontId="3" fillId="11" borderId="47" xfId="0" applyFont="1" applyFill="1" applyBorder="1" applyAlignment="1">
      <alignment horizontal="left" textRotation="90" wrapText="1"/>
    </xf>
    <xf numFmtId="0" fontId="3" fillId="11" borderId="48" xfId="0" applyFont="1" applyFill="1" applyBorder="1" applyAlignment="1">
      <alignment horizontal="left" textRotation="90" wrapText="1"/>
    </xf>
    <xf numFmtId="0" fontId="3" fillId="11" borderId="49" xfId="0" applyFont="1" applyFill="1" applyBorder="1" applyAlignment="1">
      <alignment horizontal="left" textRotation="90" wrapText="1"/>
    </xf>
    <xf numFmtId="0" fontId="3" fillId="0" borderId="1" xfId="0" applyFont="1" applyBorder="1" applyAlignment="1">
      <alignment horizontal="left" textRotation="90" wrapText="1"/>
    </xf>
    <xf numFmtId="0" fontId="3" fillId="0" borderId="7" xfId="0" applyFont="1" applyBorder="1" applyAlignment="1">
      <alignment horizontal="left" textRotation="90" wrapText="1"/>
    </xf>
    <xf numFmtId="0" fontId="3" fillId="2" borderId="9" xfId="0" applyFont="1" applyFill="1" applyBorder="1" applyAlignment="1">
      <alignment horizontal="left" textRotation="90" wrapText="1"/>
    </xf>
    <xf numFmtId="0" fontId="3" fillId="2" borderId="50" xfId="0" applyFont="1" applyFill="1" applyBorder="1" applyAlignment="1">
      <alignment horizontal="left" textRotation="90" wrapText="1"/>
    </xf>
    <xf numFmtId="0" fontId="3" fillId="2" borderId="7" xfId="0" applyFont="1" applyFill="1" applyBorder="1" applyAlignment="1">
      <alignment horizontal="left" textRotation="90" wrapText="1"/>
    </xf>
    <xf numFmtId="0" fontId="3" fillId="0" borderId="50" xfId="0" applyFont="1" applyBorder="1" applyAlignment="1">
      <alignment horizontal="left" textRotation="90" wrapText="1"/>
    </xf>
    <xf numFmtId="0" fontId="3" fillId="0" borderId="51" xfId="0" applyFont="1" applyBorder="1" applyAlignment="1">
      <alignment horizontal="left" textRotation="90" wrapText="1"/>
    </xf>
    <xf numFmtId="0" fontId="3" fillId="3" borderId="1" xfId="0" applyFont="1" applyFill="1" applyBorder="1" applyAlignment="1">
      <alignment horizontal="left" textRotation="90" wrapText="1"/>
    </xf>
    <xf numFmtId="0" fontId="3" fillId="3" borderId="7" xfId="0" applyFont="1" applyFill="1" applyBorder="1" applyAlignment="1">
      <alignment horizontal="left" textRotation="90" wrapText="1"/>
    </xf>
    <xf numFmtId="0" fontId="3" fillId="3" borderId="4" xfId="0" applyFont="1" applyFill="1" applyBorder="1" applyAlignment="1">
      <alignment horizontal="left" textRotation="90" wrapText="1"/>
    </xf>
  </cellXfs>
  <cellStyles count="3">
    <cellStyle name="Standard" xfId="0" builtinId="0"/>
    <cellStyle name="Standard 2" xfId="1" xr:uid="{00000000-0005-0000-0000-000001000000}"/>
    <cellStyle name="Standard 3" xfId="2" xr:uid="{00000000-0005-0000-0000-000002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63500</xdr:colOff>
          <xdr:row>1</xdr:row>
          <xdr:rowOff>69850</xdr:rowOff>
        </xdr:from>
        <xdr:to>
          <xdr:col>0</xdr:col>
          <xdr:colOff>711200</xdr:colOff>
          <xdr:row>1</xdr:row>
          <xdr:rowOff>584200</xdr:rowOff>
        </xdr:to>
        <xdr:sp macro="" textlink="">
          <xdr:nvSpPr>
            <xdr:cNvPr id="25601" name="Button 5" hidden="1">
              <a:extLst>
                <a:ext uri="{63B3BB69-23CF-44E3-9099-C40C66FF867C}">
                  <a14:compatExt spid="_x0000_s25601"/>
                </a:ext>
                <a:ext uri="{FF2B5EF4-FFF2-40B4-BE49-F238E27FC236}">
                  <a16:creationId xmlns:a16="http://schemas.microsoft.com/office/drawing/2014/main" id="{00000000-0008-0000-0000-0000016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100" b="0" i="0" u="none" strike="noStrike" baseline="0">
                  <a:solidFill>
                    <a:srgbClr val="000000"/>
                  </a:solidFill>
                  <a:latin typeface="Calibri"/>
                  <a:ea typeface="Calibri"/>
                  <a:cs typeface="Calibri"/>
                </a:rPr>
                <a:t>Vorlage anlegen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101600</xdr:colOff>
          <xdr:row>1</xdr:row>
          <xdr:rowOff>69850</xdr:rowOff>
        </xdr:from>
        <xdr:to>
          <xdr:col>3</xdr:col>
          <xdr:colOff>0</xdr:colOff>
          <xdr:row>1</xdr:row>
          <xdr:rowOff>615950</xdr:rowOff>
        </xdr:to>
        <xdr:sp macro="" textlink="">
          <xdr:nvSpPr>
            <xdr:cNvPr id="25602" name="Button 7" hidden="1">
              <a:extLst>
                <a:ext uri="{63B3BB69-23CF-44E3-9099-C40C66FF867C}">
                  <a14:compatExt spid="_x0000_s25602"/>
                </a:ext>
                <a:ext uri="{FF2B5EF4-FFF2-40B4-BE49-F238E27FC236}">
                  <a16:creationId xmlns:a16="http://schemas.microsoft.com/office/drawing/2014/main" id="{00000000-0008-0000-0000-0000026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100" b="0" i="0" u="none" strike="noStrike" baseline="0">
                  <a:solidFill>
                    <a:srgbClr val="000000"/>
                  </a:solidFill>
                  <a:latin typeface="Calibri"/>
                  <a:ea typeface="Calibri"/>
                  <a:cs typeface="Calibri"/>
                </a:rPr>
                <a:t>Tür anlegen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69850</xdr:colOff>
          <xdr:row>1</xdr:row>
          <xdr:rowOff>69850</xdr:rowOff>
        </xdr:from>
        <xdr:to>
          <xdr:col>3</xdr:col>
          <xdr:colOff>736600</xdr:colOff>
          <xdr:row>1</xdr:row>
          <xdr:rowOff>615950</xdr:rowOff>
        </xdr:to>
        <xdr:sp macro="" textlink="">
          <xdr:nvSpPr>
            <xdr:cNvPr id="25603" name="Button 8" hidden="1">
              <a:extLst>
                <a:ext uri="{63B3BB69-23CF-44E3-9099-C40C66FF867C}">
                  <a14:compatExt spid="_x0000_s25603"/>
                </a:ext>
                <a:ext uri="{FF2B5EF4-FFF2-40B4-BE49-F238E27FC236}">
                  <a16:creationId xmlns:a16="http://schemas.microsoft.com/office/drawing/2014/main" id="{00000000-0008-0000-0000-0000036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100" b="0" i="0" u="none" strike="noStrike" baseline="0">
                  <a:solidFill>
                    <a:srgbClr val="000000"/>
                  </a:solidFill>
                  <a:latin typeface="Calibri"/>
                  <a:ea typeface="Calibri"/>
                  <a:cs typeface="Calibri"/>
                </a:rPr>
                <a:t>Tür ändern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63500</xdr:colOff>
          <xdr:row>1</xdr:row>
          <xdr:rowOff>101600</xdr:rowOff>
        </xdr:from>
        <xdr:to>
          <xdr:col>1</xdr:col>
          <xdr:colOff>736600</xdr:colOff>
          <xdr:row>1</xdr:row>
          <xdr:rowOff>584200</xdr:rowOff>
        </xdr:to>
        <xdr:sp macro="" textlink="">
          <xdr:nvSpPr>
            <xdr:cNvPr id="25604" name="Button 9" hidden="1">
              <a:extLst>
                <a:ext uri="{63B3BB69-23CF-44E3-9099-C40C66FF867C}">
                  <a14:compatExt spid="_x0000_s25604"/>
                </a:ext>
                <a:ext uri="{FF2B5EF4-FFF2-40B4-BE49-F238E27FC236}">
                  <a16:creationId xmlns:a16="http://schemas.microsoft.com/office/drawing/2014/main" id="{00000000-0008-0000-0000-0000046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100" b="0" i="0" u="none" strike="noStrike" baseline="0">
                  <a:solidFill>
                    <a:srgbClr val="000000"/>
                  </a:solidFill>
                  <a:latin typeface="Calibri"/>
                  <a:ea typeface="Calibri"/>
                  <a:cs typeface="Calibri"/>
                </a:rPr>
                <a:t>Wartung anlegen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69850</xdr:colOff>
          <xdr:row>1</xdr:row>
          <xdr:rowOff>101600</xdr:rowOff>
        </xdr:from>
        <xdr:to>
          <xdr:col>4</xdr:col>
          <xdr:colOff>762000</xdr:colOff>
          <xdr:row>1</xdr:row>
          <xdr:rowOff>584200</xdr:rowOff>
        </xdr:to>
        <xdr:sp macro="" textlink="">
          <xdr:nvSpPr>
            <xdr:cNvPr id="25605" name="Button 10" hidden="1">
              <a:extLst>
                <a:ext uri="{63B3BB69-23CF-44E3-9099-C40C66FF867C}">
                  <a14:compatExt spid="_x0000_s25605"/>
                </a:ext>
                <a:ext uri="{FF2B5EF4-FFF2-40B4-BE49-F238E27FC236}">
                  <a16:creationId xmlns:a16="http://schemas.microsoft.com/office/drawing/2014/main" id="{00000000-0008-0000-0000-0000056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100" b="0" i="0" u="none" strike="noStrike" baseline="0">
                  <a:solidFill>
                    <a:srgbClr val="000000"/>
                  </a:solidFill>
                  <a:latin typeface="Calibri"/>
                  <a:ea typeface="Calibri"/>
                  <a:cs typeface="Calibri"/>
                </a:rPr>
                <a:t>Suche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63500</xdr:colOff>
          <xdr:row>1</xdr:row>
          <xdr:rowOff>69850</xdr:rowOff>
        </xdr:from>
        <xdr:to>
          <xdr:col>0</xdr:col>
          <xdr:colOff>711200</xdr:colOff>
          <xdr:row>1</xdr:row>
          <xdr:rowOff>584200</xdr:rowOff>
        </xdr:to>
        <xdr:sp macro="" textlink="">
          <xdr:nvSpPr>
            <xdr:cNvPr id="24577" name="Button 5" hidden="1">
              <a:extLst>
                <a:ext uri="{63B3BB69-23CF-44E3-9099-C40C66FF867C}">
                  <a14:compatExt spid="_x0000_s24577"/>
                </a:ext>
                <a:ext uri="{FF2B5EF4-FFF2-40B4-BE49-F238E27FC236}">
                  <a16:creationId xmlns:a16="http://schemas.microsoft.com/office/drawing/2014/main" id="{00000000-0008-0000-0100-0000016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100" b="0" i="0" u="none" strike="noStrike" baseline="0">
                  <a:solidFill>
                    <a:srgbClr val="000000"/>
                  </a:solidFill>
                  <a:latin typeface="Calibri"/>
                  <a:ea typeface="Calibri"/>
                  <a:cs typeface="Calibri"/>
                </a:rPr>
                <a:t>Vorlage anlegen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101600</xdr:colOff>
          <xdr:row>1</xdr:row>
          <xdr:rowOff>69850</xdr:rowOff>
        </xdr:from>
        <xdr:to>
          <xdr:col>2</xdr:col>
          <xdr:colOff>755650</xdr:colOff>
          <xdr:row>1</xdr:row>
          <xdr:rowOff>609600</xdr:rowOff>
        </xdr:to>
        <xdr:sp macro="" textlink="">
          <xdr:nvSpPr>
            <xdr:cNvPr id="24578" name="Button 7" hidden="1">
              <a:extLst>
                <a:ext uri="{63B3BB69-23CF-44E3-9099-C40C66FF867C}">
                  <a14:compatExt spid="_x0000_s24578"/>
                </a:ext>
                <a:ext uri="{FF2B5EF4-FFF2-40B4-BE49-F238E27FC236}">
                  <a16:creationId xmlns:a16="http://schemas.microsoft.com/office/drawing/2014/main" id="{00000000-0008-0000-0100-0000026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100" b="0" i="0" u="none" strike="noStrike" baseline="0">
                  <a:solidFill>
                    <a:srgbClr val="000000"/>
                  </a:solidFill>
                  <a:latin typeface="Calibri"/>
                  <a:ea typeface="Calibri"/>
                  <a:cs typeface="Calibri"/>
                </a:rPr>
                <a:t>Tür anlegen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69850</xdr:colOff>
          <xdr:row>1</xdr:row>
          <xdr:rowOff>69850</xdr:rowOff>
        </xdr:from>
        <xdr:to>
          <xdr:col>3</xdr:col>
          <xdr:colOff>736600</xdr:colOff>
          <xdr:row>1</xdr:row>
          <xdr:rowOff>609600</xdr:rowOff>
        </xdr:to>
        <xdr:sp macro="" textlink="">
          <xdr:nvSpPr>
            <xdr:cNvPr id="24579" name="Button 8" hidden="1">
              <a:extLst>
                <a:ext uri="{63B3BB69-23CF-44E3-9099-C40C66FF867C}">
                  <a14:compatExt spid="_x0000_s24579"/>
                </a:ext>
                <a:ext uri="{FF2B5EF4-FFF2-40B4-BE49-F238E27FC236}">
                  <a16:creationId xmlns:a16="http://schemas.microsoft.com/office/drawing/2014/main" id="{00000000-0008-0000-0100-0000036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100" b="0" i="0" u="none" strike="noStrike" baseline="0">
                  <a:solidFill>
                    <a:srgbClr val="000000"/>
                  </a:solidFill>
                  <a:latin typeface="Calibri"/>
                  <a:ea typeface="Calibri"/>
                  <a:cs typeface="Calibri"/>
                </a:rPr>
                <a:t>Tür ändern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63500</xdr:colOff>
          <xdr:row>1</xdr:row>
          <xdr:rowOff>101600</xdr:rowOff>
        </xdr:from>
        <xdr:to>
          <xdr:col>1</xdr:col>
          <xdr:colOff>736600</xdr:colOff>
          <xdr:row>1</xdr:row>
          <xdr:rowOff>584200</xdr:rowOff>
        </xdr:to>
        <xdr:sp macro="" textlink="">
          <xdr:nvSpPr>
            <xdr:cNvPr id="24580" name="Button 9" hidden="1">
              <a:extLst>
                <a:ext uri="{63B3BB69-23CF-44E3-9099-C40C66FF867C}">
                  <a14:compatExt spid="_x0000_s24580"/>
                </a:ext>
                <a:ext uri="{FF2B5EF4-FFF2-40B4-BE49-F238E27FC236}">
                  <a16:creationId xmlns:a16="http://schemas.microsoft.com/office/drawing/2014/main" id="{00000000-0008-0000-0100-0000046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100" b="0" i="0" u="none" strike="noStrike" baseline="0">
                  <a:solidFill>
                    <a:srgbClr val="000000"/>
                  </a:solidFill>
                  <a:latin typeface="Calibri"/>
                  <a:ea typeface="Calibri"/>
                  <a:cs typeface="Calibri"/>
                </a:rPr>
                <a:t>Wartung anlegen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69850</xdr:colOff>
          <xdr:row>1</xdr:row>
          <xdr:rowOff>101600</xdr:rowOff>
        </xdr:from>
        <xdr:to>
          <xdr:col>4</xdr:col>
          <xdr:colOff>755650</xdr:colOff>
          <xdr:row>1</xdr:row>
          <xdr:rowOff>584200</xdr:rowOff>
        </xdr:to>
        <xdr:sp macro="" textlink="">
          <xdr:nvSpPr>
            <xdr:cNvPr id="24581" name="Button 10" hidden="1">
              <a:extLst>
                <a:ext uri="{63B3BB69-23CF-44E3-9099-C40C66FF867C}">
                  <a14:compatExt spid="_x0000_s24581"/>
                </a:ext>
                <a:ext uri="{FF2B5EF4-FFF2-40B4-BE49-F238E27FC236}">
                  <a16:creationId xmlns:a16="http://schemas.microsoft.com/office/drawing/2014/main" id="{00000000-0008-0000-0100-0000056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100" b="0" i="0" u="none" strike="noStrike" baseline="0">
                  <a:solidFill>
                    <a:srgbClr val="000000"/>
                  </a:solidFill>
                  <a:latin typeface="Calibri"/>
                  <a:ea typeface="Calibri"/>
                  <a:cs typeface="Calibri"/>
                </a:rPr>
                <a:t>Suche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vmlDrawing" Target="../drawings/vmlDrawing1.vml"/><Relationship Id="rId7" Type="http://schemas.openxmlformats.org/officeDocument/2006/relationships/ctrlProp" Target="../ctrlProps/ctrlProp3.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2.vml"/><Relationship Id="rId9" Type="http://schemas.openxmlformats.org/officeDocument/2006/relationships/ctrlProp" Target="../ctrlProps/ctrlProp5.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vmlDrawing" Target="../drawings/vmlDrawing3.vml"/><Relationship Id="rId7" Type="http://schemas.openxmlformats.org/officeDocument/2006/relationships/ctrlProp" Target="../ctrlProps/ctrlProp8.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vmlDrawing" Target="../drawings/vmlDrawing4.vml"/><Relationship Id="rId9" Type="http://schemas.openxmlformats.org/officeDocument/2006/relationships/ctrlProp" Target="../ctrlProps/ctrlProp10.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E41A4F-2AF7-4DC0-94F0-43EA1C964508}">
  <sheetPr codeName="Tabelle13">
    <pageSetUpPr fitToPage="1"/>
  </sheetPr>
  <dimension ref="A1:GH64"/>
  <sheetViews>
    <sheetView tabSelected="1" zoomScale="70" zoomScaleNormal="70" workbookViewId="0">
      <pane ySplit="3" topLeftCell="A4" activePane="bottomLeft" state="frozen"/>
      <selection pane="bottomLeft" activeCell="AL64" sqref="A1:AL64"/>
    </sheetView>
  </sheetViews>
  <sheetFormatPr baseColWidth="10" defaultRowHeight="14.5" x14ac:dyDescent="0.35"/>
  <cols>
    <col min="1" max="1" width="11.453125" customWidth="1"/>
    <col min="5" max="5" width="20.453125" customWidth="1"/>
    <col min="7" max="7" width="11.453125" customWidth="1"/>
    <col min="8" max="8" width="21.453125" customWidth="1"/>
    <col min="9" max="9" width="12.453125" customWidth="1"/>
    <col min="10" max="10" width="11.453125" customWidth="1"/>
    <col min="11" max="11" width="14.1796875" customWidth="1"/>
    <col min="12" max="12" width="20.453125" customWidth="1"/>
    <col min="13" max="13" width="11.453125" customWidth="1"/>
    <col min="14" max="16" width="6.54296875" customWidth="1"/>
    <col min="17" max="18" width="11.453125" customWidth="1"/>
    <col min="19" max="26" width="6.54296875" customWidth="1"/>
    <col min="27" max="27" width="6.1796875" customWidth="1"/>
    <col min="28" max="37" width="5.81640625" customWidth="1"/>
    <col min="38" max="38" width="52.1796875" customWidth="1"/>
  </cols>
  <sheetData>
    <row r="1" spans="1:38" ht="18.75" customHeight="1" thickBot="1" x14ac:dyDescent="0.4">
      <c r="A1" s="6" t="s">
        <v>594</v>
      </c>
      <c r="B1" s="7"/>
      <c r="C1" s="8"/>
      <c r="D1" s="8"/>
      <c r="E1" s="8"/>
      <c r="F1" s="8"/>
      <c r="G1" s="48"/>
      <c r="H1" s="48"/>
      <c r="I1" s="48"/>
      <c r="J1" s="7"/>
      <c r="K1" s="48"/>
      <c r="L1" s="48"/>
      <c r="M1" s="48"/>
      <c r="N1" s="48"/>
      <c r="O1" s="48"/>
      <c r="P1" s="48"/>
      <c r="Q1" s="48"/>
      <c r="R1" s="49"/>
      <c r="S1" s="146" t="s">
        <v>666</v>
      </c>
      <c r="T1" s="147"/>
      <c r="U1" s="147"/>
      <c r="V1" s="147"/>
      <c r="W1" s="147"/>
      <c r="X1" s="147"/>
      <c r="Y1" s="147"/>
      <c r="Z1" s="147"/>
      <c r="AA1" s="148"/>
      <c r="AB1" s="141">
        <v>1</v>
      </c>
      <c r="AC1" s="142">
        <v>2</v>
      </c>
      <c r="AD1" s="142">
        <v>3</v>
      </c>
      <c r="AE1" s="141">
        <v>4</v>
      </c>
      <c r="AF1" s="142">
        <v>5</v>
      </c>
      <c r="AG1" s="142">
        <v>6</v>
      </c>
      <c r="AH1" s="141">
        <v>7</v>
      </c>
      <c r="AI1" s="142">
        <v>8</v>
      </c>
      <c r="AJ1" s="142">
        <v>9</v>
      </c>
      <c r="AK1" s="141">
        <v>10</v>
      </c>
      <c r="AL1" s="106"/>
    </row>
    <row r="2" spans="1:38" ht="52.5" customHeight="1" thickBot="1" x14ac:dyDescent="0.4">
      <c r="A2" s="9"/>
      <c r="B2" s="10"/>
      <c r="C2" s="8"/>
      <c r="D2" s="48"/>
      <c r="E2" s="49"/>
      <c r="F2" s="143" t="s">
        <v>26</v>
      </c>
      <c r="G2" s="144"/>
      <c r="H2" s="144"/>
      <c r="I2" s="144"/>
      <c r="J2" s="145"/>
      <c r="K2" s="143" t="s">
        <v>25</v>
      </c>
      <c r="L2" s="144"/>
      <c r="M2" s="144"/>
      <c r="N2" s="144"/>
      <c r="O2" s="144"/>
      <c r="P2" s="144"/>
      <c r="Q2" s="144"/>
      <c r="R2" s="144"/>
      <c r="S2" s="143" t="s">
        <v>24</v>
      </c>
      <c r="T2" s="144"/>
      <c r="U2" s="144"/>
      <c r="V2" s="144"/>
      <c r="W2" s="144"/>
      <c r="X2" s="144"/>
      <c r="Y2" s="144"/>
      <c r="Z2" s="145"/>
      <c r="AA2" s="11" t="s">
        <v>23</v>
      </c>
      <c r="AB2" s="150"/>
      <c r="AC2" s="150"/>
      <c r="AD2" s="150"/>
      <c r="AE2" s="150"/>
      <c r="AF2" s="150"/>
      <c r="AG2" s="150"/>
      <c r="AH2" s="150"/>
      <c r="AI2" s="150"/>
      <c r="AJ2" s="150"/>
      <c r="AK2" s="150"/>
      <c r="AL2" s="1" t="s">
        <v>41</v>
      </c>
    </row>
    <row r="3" spans="1:38" ht="201.75" customHeight="1" thickBot="1" x14ac:dyDescent="0.4">
      <c r="A3" s="154" t="s">
        <v>22</v>
      </c>
      <c r="B3" s="155" t="s">
        <v>21</v>
      </c>
      <c r="C3" s="155" t="s">
        <v>20</v>
      </c>
      <c r="D3" s="155" t="s">
        <v>19</v>
      </c>
      <c r="E3" s="156" t="s">
        <v>18</v>
      </c>
      <c r="F3" s="157" t="s">
        <v>27</v>
      </c>
      <c r="G3" s="158" t="s">
        <v>17</v>
      </c>
      <c r="H3" s="158" t="s">
        <v>126</v>
      </c>
      <c r="I3" s="158" t="s">
        <v>16</v>
      </c>
      <c r="J3" s="156" t="s">
        <v>15</v>
      </c>
      <c r="K3" s="159" t="s">
        <v>28</v>
      </c>
      <c r="L3" s="155" t="s">
        <v>29</v>
      </c>
      <c r="M3" s="155" t="s">
        <v>42</v>
      </c>
      <c r="N3" s="155" t="s">
        <v>14</v>
      </c>
      <c r="O3" s="155" t="s">
        <v>13</v>
      </c>
      <c r="P3" s="155" t="s">
        <v>12</v>
      </c>
      <c r="Q3" s="155" t="s">
        <v>11</v>
      </c>
      <c r="R3" s="160" t="s">
        <v>10</v>
      </c>
      <c r="S3" s="161" t="s">
        <v>9</v>
      </c>
      <c r="T3" s="155" t="s">
        <v>8</v>
      </c>
      <c r="U3" s="162" t="s">
        <v>7</v>
      </c>
      <c r="V3" s="155" t="s">
        <v>6</v>
      </c>
      <c r="W3" s="162" t="s">
        <v>5</v>
      </c>
      <c r="X3" s="155" t="s">
        <v>4</v>
      </c>
      <c r="Y3" s="162" t="s">
        <v>3</v>
      </c>
      <c r="Z3" s="160" t="s">
        <v>2</v>
      </c>
      <c r="AA3" s="163" t="s">
        <v>1</v>
      </c>
      <c r="AB3" s="151" t="s">
        <v>408</v>
      </c>
      <c r="AC3" s="152" t="s">
        <v>286</v>
      </c>
      <c r="AD3" s="152" t="s">
        <v>603</v>
      </c>
      <c r="AE3" s="152" t="s">
        <v>208</v>
      </c>
      <c r="AF3" s="152" t="s">
        <v>207</v>
      </c>
      <c r="AG3" s="152" t="s">
        <v>468</v>
      </c>
      <c r="AH3" s="152" t="s">
        <v>407</v>
      </c>
      <c r="AI3" s="152" t="s">
        <v>212</v>
      </c>
      <c r="AJ3" s="152" t="s">
        <v>230</v>
      </c>
      <c r="AK3" s="153" t="s">
        <v>320</v>
      </c>
      <c r="AL3" s="47"/>
    </row>
    <row r="4" spans="1:38" s="2" customFormat="1" ht="24.75" customHeight="1" x14ac:dyDescent="0.3">
      <c r="A4" s="70">
        <v>1</v>
      </c>
      <c r="B4" s="71" t="s">
        <v>623</v>
      </c>
      <c r="C4" s="72" t="s">
        <v>482</v>
      </c>
      <c r="D4" s="73" t="s">
        <v>498</v>
      </c>
      <c r="E4" s="116" t="s">
        <v>483</v>
      </c>
      <c r="F4" s="124" t="s">
        <v>167</v>
      </c>
      <c r="G4" s="72">
        <v>1</v>
      </c>
      <c r="H4" s="74" t="s">
        <v>70</v>
      </c>
      <c r="I4" s="72" t="s">
        <v>78</v>
      </c>
      <c r="J4" s="116" t="s">
        <v>124</v>
      </c>
      <c r="K4" s="124" t="s">
        <v>141</v>
      </c>
      <c r="L4" s="74" t="s">
        <v>69</v>
      </c>
      <c r="M4" s="72" t="s">
        <v>459</v>
      </c>
      <c r="N4" s="75" t="s">
        <v>484</v>
      </c>
      <c r="O4" s="72"/>
      <c r="P4" s="75" t="s">
        <v>484</v>
      </c>
      <c r="Q4" s="72" t="s">
        <v>69</v>
      </c>
      <c r="R4" s="116" t="s">
        <v>69</v>
      </c>
      <c r="S4" s="129"/>
      <c r="T4" s="72"/>
      <c r="U4" s="75"/>
      <c r="V4" s="72" t="s">
        <v>484</v>
      </c>
      <c r="W4" s="75" t="s">
        <v>94</v>
      </c>
      <c r="X4" s="72" t="s">
        <v>51</v>
      </c>
      <c r="Y4" s="75"/>
      <c r="Z4" s="130"/>
      <c r="AA4" s="77" t="s">
        <v>485</v>
      </c>
      <c r="AB4" s="140"/>
      <c r="AC4" s="140"/>
      <c r="AD4" s="140"/>
      <c r="AE4" s="140"/>
      <c r="AF4" s="140"/>
      <c r="AG4" s="140"/>
      <c r="AH4" s="140"/>
      <c r="AI4" s="140"/>
      <c r="AJ4" s="140"/>
      <c r="AK4" s="140"/>
      <c r="AL4" s="137"/>
    </row>
    <row r="5" spans="1:38" s="2" customFormat="1" ht="24.75" customHeight="1" x14ac:dyDescent="0.3">
      <c r="A5" s="117">
        <v>2</v>
      </c>
      <c r="B5" s="91" t="s">
        <v>622</v>
      </c>
      <c r="C5" s="92" t="s">
        <v>482</v>
      </c>
      <c r="D5" s="93" t="s">
        <v>498</v>
      </c>
      <c r="E5" s="118" t="s">
        <v>483</v>
      </c>
      <c r="F5" s="125" t="s">
        <v>167</v>
      </c>
      <c r="G5" s="92">
        <v>1</v>
      </c>
      <c r="H5" s="94" t="s">
        <v>70</v>
      </c>
      <c r="I5" s="92" t="s">
        <v>78</v>
      </c>
      <c r="J5" s="118" t="s">
        <v>123</v>
      </c>
      <c r="K5" s="125" t="s">
        <v>141</v>
      </c>
      <c r="L5" s="94" t="s">
        <v>69</v>
      </c>
      <c r="M5" s="92" t="s">
        <v>459</v>
      </c>
      <c r="N5" s="95" t="s">
        <v>484</v>
      </c>
      <c r="O5" s="92"/>
      <c r="P5" s="95" t="s">
        <v>484</v>
      </c>
      <c r="Q5" s="92" t="s">
        <v>69</v>
      </c>
      <c r="R5" s="118" t="s">
        <v>69</v>
      </c>
      <c r="S5" s="131"/>
      <c r="T5" s="92"/>
      <c r="U5" s="95"/>
      <c r="V5" s="92" t="s">
        <v>484</v>
      </c>
      <c r="W5" s="95" t="s">
        <v>94</v>
      </c>
      <c r="X5" s="92" t="s">
        <v>51</v>
      </c>
      <c r="Y5" s="95"/>
      <c r="Z5" s="132"/>
      <c r="AA5" s="135" t="s">
        <v>489</v>
      </c>
      <c r="AB5" s="138">
        <v>1</v>
      </c>
      <c r="AC5" s="138"/>
      <c r="AD5" s="138"/>
      <c r="AE5" s="138"/>
      <c r="AF5" s="138">
        <v>1</v>
      </c>
      <c r="AG5" s="138"/>
      <c r="AH5" s="138"/>
      <c r="AI5" s="138"/>
      <c r="AJ5" s="138"/>
      <c r="AK5" s="138"/>
      <c r="AL5" s="138"/>
    </row>
    <row r="6" spans="1:38" s="2" customFormat="1" ht="24.75" customHeight="1" x14ac:dyDescent="0.3">
      <c r="A6" s="117">
        <v>3</v>
      </c>
      <c r="B6" s="91" t="s">
        <v>621</v>
      </c>
      <c r="C6" s="92" t="s">
        <v>488</v>
      </c>
      <c r="D6" s="93" t="s">
        <v>498</v>
      </c>
      <c r="E6" s="118" t="s">
        <v>483</v>
      </c>
      <c r="F6" s="125" t="s">
        <v>166</v>
      </c>
      <c r="G6" s="92">
        <v>1</v>
      </c>
      <c r="H6" s="94" t="s">
        <v>70</v>
      </c>
      <c r="I6" s="92" t="s">
        <v>68</v>
      </c>
      <c r="J6" s="118" t="s">
        <v>123</v>
      </c>
      <c r="K6" s="125" t="s">
        <v>128</v>
      </c>
      <c r="L6" s="94" t="s">
        <v>69</v>
      </c>
      <c r="M6" s="92" t="s">
        <v>460</v>
      </c>
      <c r="N6" s="95"/>
      <c r="O6" s="92"/>
      <c r="P6" s="95"/>
      <c r="Q6" s="92" t="s">
        <v>69</v>
      </c>
      <c r="R6" s="118" t="s">
        <v>69</v>
      </c>
      <c r="S6" s="131" t="s">
        <v>484</v>
      </c>
      <c r="T6" s="92"/>
      <c r="U6" s="95"/>
      <c r="V6" s="92" t="s">
        <v>484</v>
      </c>
      <c r="W6" s="95" t="s">
        <v>94</v>
      </c>
      <c r="X6" s="92" t="s">
        <v>51</v>
      </c>
      <c r="Y6" s="95"/>
      <c r="Z6" s="132"/>
      <c r="AA6" s="135" t="s">
        <v>485</v>
      </c>
      <c r="AB6" s="138"/>
      <c r="AC6" s="138"/>
      <c r="AD6" s="138"/>
      <c r="AE6" s="138"/>
      <c r="AF6" s="138"/>
      <c r="AG6" s="138"/>
      <c r="AH6" s="138"/>
      <c r="AI6" s="138"/>
      <c r="AJ6" s="138"/>
      <c r="AK6" s="138"/>
      <c r="AL6" s="138"/>
    </row>
    <row r="7" spans="1:38" s="2" customFormat="1" ht="24.75" customHeight="1" x14ac:dyDescent="0.3">
      <c r="A7" s="117">
        <v>4</v>
      </c>
      <c r="B7" s="91" t="s">
        <v>620</v>
      </c>
      <c r="C7" s="92" t="s">
        <v>488</v>
      </c>
      <c r="D7" s="93" t="s">
        <v>498</v>
      </c>
      <c r="E7" s="118" t="s">
        <v>491</v>
      </c>
      <c r="F7" s="125" t="s">
        <v>172</v>
      </c>
      <c r="G7" s="92">
        <v>2</v>
      </c>
      <c r="H7" s="94" t="s">
        <v>39</v>
      </c>
      <c r="I7" s="92" t="s">
        <v>68</v>
      </c>
      <c r="J7" s="118" t="s">
        <v>83</v>
      </c>
      <c r="K7" s="125" t="s">
        <v>142</v>
      </c>
      <c r="L7" s="94" t="s">
        <v>490</v>
      </c>
      <c r="M7" s="92" t="s">
        <v>459</v>
      </c>
      <c r="N7" s="95" t="s">
        <v>484</v>
      </c>
      <c r="O7" s="92"/>
      <c r="P7" s="95"/>
      <c r="Q7" s="92" t="s">
        <v>69</v>
      </c>
      <c r="R7" s="118" t="s">
        <v>69</v>
      </c>
      <c r="S7" s="131" t="s">
        <v>484</v>
      </c>
      <c r="T7" s="92"/>
      <c r="U7" s="95"/>
      <c r="V7" s="92" t="s">
        <v>484</v>
      </c>
      <c r="W7" s="95" t="s">
        <v>397</v>
      </c>
      <c r="X7" s="92" t="s">
        <v>50</v>
      </c>
      <c r="Y7" s="95" t="s">
        <v>484</v>
      </c>
      <c r="Z7" s="132"/>
      <c r="AA7" s="135" t="s">
        <v>485</v>
      </c>
      <c r="AB7" s="138"/>
      <c r="AC7" s="138"/>
      <c r="AD7" s="138"/>
      <c r="AE7" s="138"/>
      <c r="AF7" s="138"/>
      <c r="AG7" s="138"/>
      <c r="AH7" s="138"/>
      <c r="AI7" s="138"/>
      <c r="AJ7" s="138"/>
      <c r="AK7" s="138"/>
      <c r="AL7" s="138"/>
    </row>
    <row r="8" spans="1:38" s="2" customFormat="1" ht="24.75" customHeight="1" x14ac:dyDescent="0.3">
      <c r="A8" s="117">
        <v>5</v>
      </c>
      <c r="B8" s="91" t="s">
        <v>641</v>
      </c>
      <c r="C8" s="92" t="s">
        <v>488</v>
      </c>
      <c r="D8" s="93" t="s">
        <v>498</v>
      </c>
      <c r="E8" s="118" t="s">
        <v>483</v>
      </c>
      <c r="F8" s="125" t="s">
        <v>170</v>
      </c>
      <c r="G8" s="92">
        <v>1</v>
      </c>
      <c r="H8" s="94" t="s">
        <v>70</v>
      </c>
      <c r="I8" s="92" t="s">
        <v>78</v>
      </c>
      <c r="J8" s="118" t="s">
        <v>123</v>
      </c>
      <c r="K8" s="125" t="s">
        <v>141</v>
      </c>
      <c r="L8" s="94" t="s">
        <v>69</v>
      </c>
      <c r="M8" s="92" t="s">
        <v>459</v>
      </c>
      <c r="N8" s="95" t="s">
        <v>484</v>
      </c>
      <c r="O8" s="92"/>
      <c r="P8" s="95"/>
      <c r="Q8" s="92" t="s">
        <v>69</v>
      </c>
      <c r="R8" s="118" t="s">
        <v>69</v>
      </c>
      <c r="S8" s="131" t="s">
        <v>484</v>
      </c>
      <c r="T8" s="92"/>
      <c r="U8" s="95"/>
      <c r="V8" s="92" t="s">
        <v>484</v>
      </c>
      <c r="W8" s="95" t="s">
        <v>94</v>
      </c>
      <c r="X8" s="92" t="s">
        <v>51</v>
      </c>
      <c r="Y8" s="95"/>
      <c r="Z8" s="132"/>
      <c r="AA8" s="135" t="s">
        <v>485</v>
      </c>
      <c r="AB8" s="138"/>
      <c r="AC8" s="138"/>
      <c r="AD8" s="138"/>
      <c r="AE8" s="138"/>
      <c r="AF8" s="138"/>
      <c r="AG8" s="138"/>
      <c r="AH8" s="138"/>
      <c r="AI8" s="138"/>
      <c r="AJ8" s="138"/>
      <c r="AK8" s="138"/>
      <c r="AL8" s="138"/>
    </row>
    <row r="9" spans="1:38" s="2" customFormat="1" ht="24.75" customHeight="1" thickBot="1" x14ac:dyDescent="0.35">
      <c r="A9" s="119">
        <v>6</v>
      </c>
      <c r="B9" s="120" t="s">
        <v>613</v>
      </c>
      <c r="C9" s="121" t="s">
        <v>493</v>
      </c>
      <c r="D9" s="122" t="s">
        <v>498</v>
      </c>
      <c r="E9" s="123" t="s">
        <v>501</v>
      </c>
      <c r="F9" s="126" t="s">
        <v>172</v>
      </c>
      <c r="G9" s="121">
        <v>2</v>
      </c>
      <c r="H9" s="127" t="s">
        <v>39</v>
      </c>
      <c r="I9" s="121" t="s">
        <v>68</v>
      </c>
      <c r="J9" s="123" t="s">
        <v>83</v>
      </c>
      <c r="K9" s="126" t="s">
        <v>142</v>
      </c>
      <c r="L9" s="127" t="s">
        <v>490</v>
      </c>
      <c r="M9" s="121" t="s">
        <v>459</v>
      </c>
      <c r="N9" s="128" t="s">
        <v>484</v>
      </c>
      <c r="O9" s="121"/>
      <c r="P9" s="128"/>
      <c r="Q9" s="121" t="s">
        <v>69</v>
      </c>
      <c r="R9" s="123" t="s">
        <v>69</v>
      </c>
      <c r="S9" s="133" t="s">
        <v>484</v>
      </c>
      <c r="T9" s="121" t="s">
        <v>484</v>
      </c>
      <c r="U9" s="128"/>
      <c r="V9" s="121" t="s">
        <v>484</v>
      </c>
      <c r="W9" s="128" t="s">
        <v>397</v>
      </c>
      <c r="X9" s="121" t="s">
        <v>50</v>
      </c>
      <c r="Y9" s="128" t="s">
        <v>484</v>
      </c>
      <c r="Z9" s="134"/>
      <c r="AA9" s="136" t="s">
        <v>485</v>
      </c>
      <c r="AB9" s="139"/>
      <c r="AC9" s="139"/>
      <c r="AD9" s="139"/>
      <c r="AE9" s="139"/>
      <c r="AF9" s="139"/>
      <c r="AG9" s="139"/>
      <c r="AH9" s="139"/>
      <c r="AI9" s="139"/>
      <c r="AJ9" s="139"/>
      <c r="AK9" s="139"/>
      <c r="AL9" s="139"/>
    </row>
    <row r="10" spans="1:38" s="2" customFormat="1" ht="24.75" customHeight="1" x14ac:dyDescent="0.3">
      <c r="A10" s="70">
        <v>7</v>
      </c>
      <c r="B10" s="71" t="s">
        <v>614</v>
      </c>
      <c r="C10" s="72" t="s">
        <v>493</v>
      </c>
      <c r="D10" s="73" t="s">
        <v>498</v>
      </c>
      <c r="E10" s="116" t="s">
        <v>501</v>
      </c>
      <c r="F10" s="124" t="s">
        <v>172</v>
      </c>
      <c r="G10" s="72">
        <v>2</v>
      </c>
      <c r="H10" s="74" t="s">
        <v>39</v>
      </c>
      <c r="I10" s="72" t="s">
        <v>68</v>
      </c>
      <c r="J10" s="116" t="s">
        <v>83</v>
      </c>
      <c r="K10" s="124" t="s">
        <v>142</v>
      </c>
      <c r="L10" s="74" t="s">
        <v>490</v>
      </c>
      <c r="M10" s="72" t="s">
        <v>459</v>
      </c>
      <c r="N10" s="75" t="s">
        <v>484</v>
      </c>
      <c r="O10" s="72"/>
      <c r="P10" s="75"/>
      <c r="Q10" s="72" t="s">
        <v>69</v>
      </c>
      <c r="R10" s="116" t="s">
        <v>69</v>
      </c>
      <c r="S10" s="129" t="s">
        <v>484</v>
      </c>
      <c r="T10" s="72" t="s">
        <v>484</v>
      </c>
      <c r="U10" s="75"/>
      <c r="V10" s="72" t="s">
        <v>484</v>
      </c>
      <c r="W10" s="75" t="s">
        <v>397</v>
      </c>
      <c r="X10" s="72" t="s">
        <v>51</v>
      </c>
      <c r="Y10" s="75" t="s">
        <v>484</v>
      </c>
      <c r="Z10" s="130"/>
      <c r="AA10" s="77" t="s">
        <v>485</v>
      </c>
      <c r="AB10" s="137"/>
      <c r="AC10" s="137"/>
      <c r="AD10" s="137"/>
      <c r="AE10" s="137"/>
      <c r="AF10" s="137"/>
      <c r="AG10" s="137"/>
      <c r="AH10" s="137"/>
      <c r="AI10" s="137"/>
      <c r="AJ10" s="137"/>
      <c r="AK10" s="137"/>
      <c r="AL10" s="137"/>
    </row>
    <row r="11" spans="1:38" s="2" customFormat="1" ht="25" x14ac:dyDescent="0.3">
      <c r="A11" s="117">
        <v>8</v>
      </c>
      <c r="B11" s="91" t="s">
        <v>616</v>
      </c>
      <c r="C11" s="92" t="s">
        <v>493</v>
      </c>
      <c r="D11" s="93" t="s">
        <v>498</v>
      </c>
      <c r="E11" s="118" t="s">
        <v>500</v>
      </c>
      <c r="F11" s="125" t="s">
        <v>167</v>
      </c>
      <c r="G11" s="92">
        <v>1</v>
      </c>
      <c r="H11" s="94" t="s">
        <v>39</v>
      </c>
      <c r="I11" s="92" t="s">
        <v>76</v>
      </c>
      <c r="J11" s="118" t="s">
        <v>124</v>
      </c>
      <c r="K11" s="125" t="s">
        <v>142</v>
      </c>
      <c r="L11" s="94" t="s">
        <v>69</v>
      </c>
      <c r="M11" s="92" t="s">
        <v>459</v>
      </c>
      <c r="N11" s="95"/>
      <c r="O11" s="92" t="s">
        <v>484</v>
      </c>
      <c r="P11" s="95"/>
      <c r="Q11" s="92" t="s">
        <v>69</v>
      </c>
      <c r="R11" s="118" t="s">
        <v>69</v>
      </c>
      <c r="S11" s="131"/>
      <c r="T11" s="92"/>
      <c r="U11" s="95"/>
      <c r="V11" s="92" t="s">
        <v>484</v>
      </c>
      <c r="W11" s="95" t="s">
        <v>94</v>
      </c>
      <c r="X11" s="92" t="s">
        <v>100</v>
      </c>
      <c r="Y11" s="95"/>
      <c r="Z11" s="132"/>
      <c r="AA11" s="135" t="s">
        <v>485</v>
      </c>
      <c r="AB11" s="138"/>
      <c r="AC11" s="138"/>
      <c r="AD11" s="138"/>
      <c r="AE11" s="138"/>
      <c r="AF11" s="138"/>
      <c r="AG11" s="138"/>
      <c r="AH11" s="138"/>
      <c r="AI11" s="138"/>
      <c r="AJ11" s="138"/>
      <c r="AK11" s="138"/>
      <c r="AL11" s="138"/>
    </row>
    <row r="12" spans="1:38" s="2" customFormat="1" ht="24.75" customHeight="1" x14ac:dyDescent="0.3">
      <c r="A12" s="117">
        <v>9</v>
      </c>
      <c r="B12" s="91" t="s">
        <v>640</v>
      </c>
      <c r="C12" s="92" t="s">
        <v>493</v>
      </c>
      <c r="D12" s="93" t="s">
        <v>498</v>
      </c>
      <c r="E12" s="118">
        <v>219</v>
      </c>
      <c r="F12" s="125" t="s">
        <v>165</v>
      </c>
      <c r="G12" s="92">
        <v>1</v>
      </c>
      <c r="H12" s="94" t="s">
        <v>39</v>
      </c>
      <c r="I12" s="92" t="s">
        <v>68</v>
      </c>
      <c r="J12" s="118" t="s">
        <v>124</v>
      </c>
      <c r="K12" s="125" t="s">
        <v>69</v>
      </c>
      <c r="L12" s="94" t="s">
        <v>69</v>
      </c>
      <c r="M12" s="92" t="s">
        <v>532</v>
      </c>
      <c r="N12" s="95"/>
      <c r="O12" s="92" t="s">
        <v>484</v>
      </c>
      <c r="P12" s="95"/>
      <c r="Q12" s="92" t="s">
        <v>69</v>
      </c>
      <c r="R12" s="118" t="s">
        <v>147</v>
      </c>
      <c r="S12" s="131"/>
      <c r="T12" s="92"/>
      <c r="U12" s="95"/>
      <c r="V12" s="92" t="s">
        <v>484</v>
      </c>
      <c r="W12" s="95" t="s">
        <v>93</v>
      </c>
      <c r="X12" s="92" t="s">
        <v>100</v>
      </c>
      <c r="Y12" s="95" t="s">
        <v>484</v>
      </c>
      <c r="Z12" s="132"/>
      <c r="AA12" s="135" t="s">
        <v>485</v>
      </c>
      <c r="AB12" s="138"/>
      <c r="AC12" s="138"/>
      <c r="AD12" s="138"/>
      <c r="AE12" s="138"/>
      <c r="AF12" s="138"/>
      <c r="AG12" s="138"/>
      <c r="AH12" s="138"/>
      <c r="AI12" s="138"/>
      <c r="AJ12" s="138"/>
      <c r="AK12" s="138"/>
      <c r="AL12" s="138"/>
    </row>
    <row r="13" spans="1:38" s="2" customFormat="1" ht="48.75" customHeight="1" x14ac:dyDescent="0.3">
      <c r="A13" s="117">
        <v>10</v>
      </c>
      <c r="B13" s="91" t="s">
        <v>615</v>
      </c>
      <c r="C13" s="92" t="s">
        <v>493</v>
      </c>
      <c r="D13" s="93" t="s">
        <v>498</v>
      </c>
      <c r="E13" s="118" t="s">
        <v>499</v>
      </c>
      <c r="F13" s="125" t="s">
        <v>175</v>
      </c>
      <c r="G13" s="92">
        <v>2</v>
      </c>
      <c r="H13" s="94" t="s">
        <v>71</v>
      </c>
      <c r="I13" s="92" t="s">
        <v>154</v>
      </c>
      <c r="J13" s="118" t="s">
        <v>83</v>
      </c>
      <c r="K13" s="125" t="s">
        <v>129</v>
      </c>
      <c r="L13" s="94" t="s">
        <v>496</v>
      </c>
      <c r="M13" s="92" t="s">
        <v>497</v>
      </c>
      <c r="N13" s="95" t="s">
        <v>484</v>
      </c>
      <c r="O13" s="92"/>
      <c r="P13" s="95"/>
      <c r="Q13" s="92" t="s">
        <v>69</v>
      </c>
      <c r="R13" s="118" t="s">
        <v>69</v>
      </c>
      <c r="S13" s="131" t="s">
        <v>484</v>
      </c>
      <c r="T13" s="92" t="s">
        <v>484</v>
      </c>
      <c r="U13" s="95"/>
      <c r="V13" s="92" t="s">
        <v>484</v>
      </c>
      <c r="W13" s="95" t="s">
        <v>93</v>
      </c>
      <c r="X13" s="92" t="s">
        <v>49</v>
      </c>
      <c r="Y13" s="95" t="s">
        <v>484</v>
      </c>
      <c r="Z13" s="132" t="s">
        <v>484</v>
      </c>
      <c r="AA13" s="135" t="s">
        <v>485</v>
      </c>
      <c r="AB13" s="138"/>
      <c r="AC13" s="138"/>
      <c r="AD13" s="138"/>
      <c r="AE13" s="138"/>
      <c r="AF13" s="138"/>
      <c r="AG13" s="138"/>
      <c r="AH13" s="138"/>
      <c r="AI13" s="138"/>
      <c r="AJ13" s="138"/>
      <c r="AK13" s="138"/>
      <c r="AL13" s="138"/>
    </row>
    <row r="14" spans="1:38" s="2" customFormat="1" ht="24.75" customHeight="1" x14ac:dyDescent="0.3">
      <c r="A14" s="117">
        <v>11</v>
      </c>
      <c r="B14" s="91" t="s">
        <v>617</v>
      </c>
      <c r="C14" s="92" t="s">
        <v>493</v>
      </c>
      <c r="D14" s="93" t="s">
        <v>498</v>
      </c>
      <c r="E14" s="118" t="s">
        <v>499</v>
      </c>
      <c r="F14" s="125" t="s">
        <v>175</v>
      </c>
      <c r="G14" s="92">
        <v>2</v>
      </c>
      <c r="H14" s="94" t="s">
        <v>71</v>
      </c>
      <c r="I14" s="92" t="s">
        <v>154</v>
      </c>
      <c r="J14" s="118" t="s">
        <v>83</v>
      </c>
      <c r="K14" s="125" t="s">
        <v>129</v>
      </c>
      <c r="L14" s="94" t="s">
        <v>496</v>
      </c>
      <c r="M14" s="92" t="s">
        <v>497</v>
      </c>
      <c r="N14" s="95" t="s">
        <v>484</v>
      </c>
      <c r="O14" s="92"/>
      <c r="P14" s="95"/>
      <c r="Q14" s="92" t="s">
        <v>69</v>
      </c>
      <c r="R14" s="118" t="s">
        <v>69</v>
      </c>
      <c r="S14" s="131" t="s">
        <v>484</v>
      </c>
      <c r="T14" s="92" t="s">
        <v>484</v>
      </c>
      <c r="U14" s="95"/>
      <c r="V14" s="92" t="s">
        <v>484</v>
      </c>
      <c r="W14" s="95" t="s">
        <v>93</v>
      </c>
      <c r="X14" s="92" t="s">
        <v>50</v>
      </c>
      <c r="Y14" s="95" t="s">
        <v>484</v>
      </c>
      <c r="Z14" s="132"/>
      <c r="AA14" s="135" t="s">
        <v>485</v>
      </c>
      <c r="AB14" s="138"/>
      <c r="AC14" s="138"/>
      <c r="AD14" s="138"/>
      <c r="AE14" s="138"/>
      <c r="AF14" s="138"/>
      <c r="AG14" s="138"/>
      <c r="AH14" s="138"/>
      <c r="AI14" s="138"/>
      <c r="AJ14" s="138"/>
      <c r="AK14" s="138"/>
      <c r="AL14" s="138"/>
    </row>
    <row r="15" spans="1:38" s="2" customFormat="1" ht="24.75" customHeight="1" thickBot="1" x14ac:dyDescent="0.35">
      <c r="A15" s="119">
        <v>12</v>
      </c>
      <c r="B15" s="120" t="s">
        <v>619</v>
      </c>
      <c r="C15" s="121" t="s">
        <v>493</v>
      </c>
      <c r="D15" s="122" t="s">
        <v>498</v>
      </c>
      <c r="E15" s="123" t="s">
        <v>505</v>
      </c>
      <c r="F15" s="126" t="s">
        <v>169</v>
      </c>
      <c r="G15" s="121">
        <v>1</v>
      </c>
      <c r="H15" s="127" t="s">
        <v>71</v>
      </c>
      <c r="I15" s="121" t="s">
        <v>154</v>
      </c>
      <c r="J15" s="123" t="s">
        <v>123</v>
      </c>
      <c r="K15" s="126" t="s">
        <v>129</v>
      </c>
      <c r="L15" s="127" t="s">
        <v>69</v>
      </c>
      <c r="M15" s="121" t="s">
        <v>504</v>
      </c>
      <c r="N15" s="128" t="s">
        <v>484</v>
      </c>
      <c r="O15" s="121"/>
      <c r="P15" s="128"/>
      <c r="Q15" s="121" t="s">
        <v>69</v>
      </c>
      <c r="R15" s="123" t="s">
        <v>69</v>
      </c>
      <c r="S15" s="133"/>
      <c r="T15" s="121"/>
      <c r="U15" s="128"/>
      <c r="V15" s="121" t="s">
        <v>484</v>
      </c>
      <c r="W15" s="128" t="s">
        <v>93</v>
      </c>
      <c r="X15" s="121" t="s">
        <v>50</v>
      </c>
      <c r="Y15" s="128"/>
      <c r="Z15" s="134"/>
      <c r="AA15" s="136" t="s">
        <v>485</v>
      </c>
      <c r="AB15" s="139"/>
      <c r="AC15" s="139"/>
      <c r="AD15" s="139"/>
      <c r="AE15" s="139"/>
      <c r="AF15" s="139"/>
      <c r="AG15" s="139"/>
      <c r="AH15" s="139"/>
      <c r="AI15" s="139"/>
      <c r="AJ15" s="139"/>
      <c r="AK15" s="139"/>
      <c r="AL15" s="139"/>
    </row>
    <row r="16" spans="1:38" s="2" customFormat="1" ht="48.75" customHeight="1" x14ac:dyDescent="0.3">
      <c r="A16" s="70">
        <v>13</v>
      </c>
      <c r="B16" s="71" t="s">
        <v>618</v>
      </c>
      <c r="C16" s="72" t="s">
        <v>493</v>
      </c>
      <c r="D16" s="73" t="s">
        <v>498</v>
      </c>
      <c r="E16" s="116" t="s">
        <v>508</v>
      </c>
      <c r="F16" s="124" t="s">
        <v>175</v>
      </c>
      <c r="G16" s="72">
        <v>2</v>
      </c>
      <c r="H16" s="74" t="s">
        <v>71</v>
      </c>
      <c r="I16" s="72" t="s">
        <v>154</v>
      </c>
      <c r="J16" s="116" t="s">
        <v>83</v>
      </c>
      <c r="K16" s="124" t="s">
        <v>129</v>
      </c>
      <c r="L16" s="74" t="s">
        <v>496</v>
      </c>
      <c r="M16" s="72" t="s">
        <v>497</v>
      </c>
      <c r="N16" s="75" t="s">
        <v>484</v>
      </c>
      <c r="O16" s="72"/>
      <c r="P16" s="75"/>
      <c r="Q16" s="72" t="s">
        <v>69</v>
      </c>
      <c r="R16" s="116" t="s">
        <v>69</v>
      </c>
      <c r="S16" s="129"/>
      <c r="T16" s="72"/>
      <c r="U16" s="75"/>
      <c r="V16" s="72" t="s">
        <v>484</v>
      </c>
      <c r="W16" s="75" t="s">
        <v>93</v>
      </c>
      <c r="X16" s="72" t="s">
        <v>50</v>
      </c>
      <c r="Y16" s="75" t="s">
        <v>484</v>
      </c>
      <c r="Z16" s="130" t="s">
        <v>484</v>
      </c>
      <c r="AA16" s="77" t="s">
        <v>485</v>
      </c>
      <c r="AB16" s="137"/>
      <c r="AC16" s="137"/>
      <c r="AD16" s="137"/>
      <c r="AE16" s="137"/>
      <c r="AF16" s="137"/>
      <c r="AG16" s="137"/>
      <c r="AH16" s="137"/>
      <c r="AI16" s="137"/>
      <c r="AJ16" s="137"/>
      <c r="AK16" s="137"/>
      <c r="AL16" s="137"/>
    </row>
    <row r="17" spans="1:38" s="2" customFormat="1" ht="48.75" customHeight="1" x14ac:dyDescent="0.3">
      <c r="A17" s="117">
        <v>14</v>
      </c>
      <c r="B17" s="91" t="s">
        <v>600</v>
      </c>
      <c r="C17" s="92" t="s">
        <v>511</v>
      </c>
      <c r="D17" s="93" t="s">
        <v>498</v>
      </c>
      <c r="E17" s="118" t="s">
        <v>508</v>
      </c>
      <c r="F17" s="125" t="s">
        <v>175</v>
      </c>
      <c r="G17" s="92">
        <v>2</v>
      </c>
      <c r="H17" s="94" t="s">
        <v>71</v>
      </c>
      <c r="I17" s="92" t="s">
        <v>154</v>
      </c>
      <c r="J17" s="118" t="s">
        <v>83</v>
      </c>
      <c r="K17" s="125" t="s">
        <v>129</v>
      </c>
      <c r="L17" s="94" t="s">
        <v>496</v>
      </c>
      <c r="M17" s="92" t="s">
        <v>497</v>
      </c>
      <c r="N17" s="95" t="s">
        <v>484</v>
      </c>
      <c r="O17" s="92"/>
      <c r="P17" s="95"/>
      <c r="Q17" s="92" t="s">
        <v>69</v>
      </c>
      <c r="R17" s="118" t="s">
        <v>69</v>
      </c>
      <c r="S17" s="131" t="s">
        <v>484</v>
      </c>
      <c r="T17" s="92" t="s">
        <v>484</v>
      </c>
      <c r="U17" s="95"/>
      <c r="V17" s="92" t="s">
        <v>484</v>
      </c>
      <c r="W17" s="95" t="s">
        <v>93</v>
      </c>
      <c r="X17" s="92" t="s">
        <v>50</v>
      </c>
      <c r="Y17" s="95" t="s">
        <v>484</v>
      </c>
      <c r="Z17" s="132" t="s">
        <v>484</v>
      </c>
      <c r="AA17" s="135" t="s">
        <v>485</v>
      </c>
      <c r="AB17" s="138"/>
      <c r="AC17" s="138"/>
      <c r="AD17" s="138"/>
      <c r="AE17" s="138"/>
      <c r="AF17" s="138"/>
      <c r="AG17" s="138"/>
      <c r="AH17" s="138"/>
      <c r="AI17" s="138"/>
      <c r="AJ17" s="138"/>
      <c r="AK17" s="138"/>
      <c r="AL17" s="138"/>
    </row>
    <row r="18" spans="1:38" s="2" customFormat="1" ht="24.75" customHeight="1" x14ac:dyDescent="0.3">
      <c r="A18" s="117">
        <v>15</v>
      </c>
      <c r="B18" s="91" t="s">
        <v>612</v>
      </c>
      <c r="C18" s="92" t="s">
        <v>511</v>
      </c>
      <c r="D18" s="93" t="s">
        <v>498</v>
      </c>
      <c r="E18" s="118">
        <v>109</v>
      </c>
      <c r="F18" s="125" t="s">
        <v>167</v>
      </c>
      <c r="G18" s="92">
        <v>1</v>
      </c>
      <c r="H18" s="94" t="s">
        <v>39</v>
      </c>
      <c r="I18" s="92" t="s">
        <v>154</v>
      </c>
      <c r="J18" s="118" t="s">
        <v>81</v>
      </c>
      <c r="K18" s="125" t="s">
        <v>69</v>
      </c>
      <c r="L18" s="94" t="s">
        <v>69</v>
      </c>
      <c r="M18" s="92" t="s">
        <v>456</v>
      </c>
      <c r="N18" s="95"/>
      <c r="O18" s="92"/>
      <c r="P18" s="95"/>
      <c r="Q18" s="92" t="s">
        <v>69</v>
      </c>
      <c r="R18" s="118" t="s">
        <v>69</v>
      </c>
      <c r="S18" s="131"/>
      <c r="T18" s="92"/>
      <c r="U18" s="95"/>
      <c r="V18" s="92" t="s">
        <v>484</v>
      </c>
      <c r="W18" s="95" t="s">
        <v>94</v>
      </c>
      <c r="X18" s="92" t="s">
        <v>69</v>
      </c>
      <c r="Y18" s="95"/>
      <c r="Z18" s="132"/>
      <c r="AA18" s="135" t="s">
        <v>485</v>
      </c>
      <c r="AB18" s="138"/>
      <c r="AC18" s="138"/>
      <c r="AD18" s="138"/>
      <c r="AE18" s="138"/>
      <c r="AF18" s="138"/>
      <c r="AG18" s="138"/>
      <c r="AH18" s="138"/>
      <c r="AI18" s="138"/>
      <c r="AJ18" s="138"/>
      <c r="AK18" s="138"/>
      <c r="AL18" s="138"/>
    </row>
    <row r="19" spans="1:38" s="2" customFormat="1" ht="24.75" customHeight="1" x14ac:dyDescent="0.3">
      <c r="A19" s="117">
        <v>16</v>
      </c>
      <c r="B19" s="91" t="s">
        <v>642</v>
      </c>
      <c r="C19" s="92" t="s">
        <v>511</v>
      </c>
      <c r="D19" s="93" t="s">
        <v>498</v>
      </c>
      <c r="E19" s="118">
        <v>114</v>
      </c>
      <c r="F19" s="125" t="s">
        <v>169</v>
      </c>
      <c r="G19" s="92">
        <v>1</v>
      </c>
      <c r="H19" s="94" t="s">
        <v>71</v>
      </c>
      <c r="I19" s="92" t="s">
        <v>154</v>
      </c>
      <c r="J19" s="118" t="s">
        <v>80</v>
      </c>
      <c r="K19" s="125" t="s">
        <v>129</v>
      </c>
      <c r="L19" s="94" t="s">
        <v>69</v>
      </c>
      <c r="M19" s="92" t="s">
        <v>512</v>
      </c>
      <c r="N19" s="95" t="s">
        <v>484</v>
      </c>
      <c r="O19" s="92"/>
      <c r="P19" s="95"/>
      <c r="Q19" s="92" t="s">
        <v>69</v>
      </c>
      <c r="R19" s="118" t="s">
        <v>69</v>
      </c>
      <c r="S19" s="131"/>
      <c r="T19" s="92"/>
      <c r="U19" s="95"/>
      <c r="V19" s="92" t="s">
        <v>484</v>
      </c>
      <c r="W19" s="95" t="s">
        <v>93</v>
      </c>
      <c r="X19" s="92" t="s">
        <v>50</v>
      </c>
      <c r="Y19" s="95"/>
      <c r="Z19" s="132"/>
      <c r="AA19" s="135" t="s">
        <v>485</v>
      </c>
      <c r="AB19" s="138"/>
      <c r="AC19" s="138"/>
      <c r="AD19" s="138"/>
      <c r="AE19" s="138"/>
      <c r="AF19" s="138"/>
      <c r="AG19" s="138"/>
      <c r="AH19" s="138"/>
      <c r="AI19" s="138"/>
      <c r="AJ19" s="138"/>
      <c r="AK19" s="138"/>
      <c r="AL19" s="138" t="s">
        <v>645</v>
      </c>
    </row>
    <row r="20" spans="1:38" s="2" customFormat="1" ht="48.75" customHeight="1" x14ac:dyDescent="0.3">
      <c r="A20" s="117">
        <v>17</v>
      </c>
      <c r="B20" s="91" t="s">
        <v>601</v>
      </c>
      <c r="C20" s="92" t="s">
        <v>511</v>
      </c>
      <c r="D20" s="93" t="s">
        <v>498</v>
      </c>
      <c r="E20" s="118" t="s">
        <v>499</v>
      </c>
      <c r="F20" s="125" t="s">
        <v>175</v>
      </c>
      <c r="G20" s="92">
        <v>2</v>
      </c>
      <c r="H20" s="94" t="s">
        <v>71</v>
      </c>
      <c r="I20" s="92" t="s">
        <v>154</v>
      </c>
      <c r="J20" s="118" t="s">
        <v>83</v>
      </c>
      <c r="K20" s="125" t="s">
        <v>129</v>
      </c>
      <c r="L20" s="94" t="s">
        <v>496</v>
      </c>
      <c r="M20" s="92" t="s">
        <v>497</v>
      </c>
      <c r="N20" s="95" t="s">
        <v>484</v>
      </c>
      <c r="O20" s="92"/>
      <c r="P20" s="95"/>
      <c r="Q20" s="92" t="s">
        <v>69</v>
      </c>
      <c r="R20" s="118" t="s">
        <v>69</v>
      </c>
      <c r="S20" s="131" t="s">
        <v>484</v>
      </c>
      <c r="T20" s="92"/>
      <c r="U20" s="95"/>
      <c r="V20" s="92" t="s">
        <v>484</v>
      </c>
      <c r="W20" s="95" t="s">
        <v>93</v>
      </c>
      <c r="X20" s="92" t="s">
        <v>50</v>
      </c>
      <c r="Y20" s="95" t="s">
        <v>484</v>
      </c>
      <c r="Z20" s="132"/>
      <c r="AA20" s="135" t="s">
        <v>485</v>
      </c>
      <c r="AB20" s="138"/>
      <c r="AC20" s="138"/>
      <c r="AD20" s="138"/>
      <c r="AE20" s="138"/>
      <c r="AF20" s="138"/>
      <c r="AG20" s="138"/>
      <c r="AH20" s="138"/>
      <c r="AI20" s="138"/>
      <c r="AJ20" s="138"/>
      <c r="AK20" s="138"/>
      <c r="AL20" s="138"/>
    </row>
    <row r="21" spans="1:38" s="2" customFormat="1" ht="48.75" customHeight="1" thickBot="1" x14ac:dyDescent="0.35">
      <c r="A21" s="119">
        <v>18</v>
      </c>
      <c r="B21" s="120" t="s">
        <v>602</v>
      </c>
      <c r="C21" s="121" t="s">
        <v>511</v>
      </c>
      <c r="D21" s="122" t="s">
        <v>498</v>
      </c>
      <c r="E21" s="123" t="s">
        <v>483</v>
      </c>
      <c r="F21" s="126" t="s">
        <v>175</v>
      </c>
      <c r="G21" s="121">
        <v>2</v>
      </c>
      <c r="H21" s="127" t="s">
        <v>71</v>
      </c>
      <c r="I21" s="121" t="s">
        <v>154</v>
      </c>
      <c r="J21" s="123" t="s">
        <v>83</v>
      </c>
      <c r="K21" s="126" t="s">
        <v>141</v>
      </c>
      <c r="L21" s="127" t="s">
        <v>496</v>
      </c>
      <c r="M21" s="121" t="s">
        <v>497</v>
      </c>
      <c r="N21" s="128" t="s">
        <v>484</v>
      </c>
      <c r="O21" s="121"/>
      <c r="P21" s="128"/>
      <c r="Q21" s="121" t="s">
        <v>69</v>
      </c>
      <c r="R21" s="123" t="s">
        <v>69</v>
      </c>
      <c r="S21" s="133" t="s">
        <v>484</v>
      </c>
      <c r="T21" s="121"/>
      <c r="U21" s="128"/>
      <c r="V21" s="121" t="s">
        <v>484</v>
      </c>
      <c r="W21" s="128" t="s">
        <v>93</v>
      </c>
      <c r="X21" s="121" t="s">
        <v>49</v>
      </c>
      <c r="Y21" s="128" t="s">
        <v>484</v>
      </c>
      <c r="Z21" s="134" t="s">
        <v>484</v>
      </c>
      <c r="AA21" s="136" t="s">
        <v>485</v>
      </c>
      <c r="AB21" s="139"/>
      <c r="AC21" s="139"/>
      <c r="AD21" s="139"/>
      <c r="AE21" s="139"/>
      <c r="AF21" s="139"/>
      <c r="AG21" s="139"/>
      <c r="AH21" s="139"/>
      <c r="AI21" s="139"/>
      <c r="AJ21" s="139"/>
      <c r="AK21" s="139"/>
      <c r="AL21" s="139"/>
    </row>
    <row r="22" spans="1:38" s="2" customFormat="1" ht="24.75" customHeight="1" x14ac:dyDescent="0.3">
      <c r="A22" s="70">
        <v>19</v>
      </c>
      <c r="B22" s="71" t="s">
        <v>604</v>
      </c>
      <c r="C22" s="72" t="s">
        <v>511</v>
      </c>
      <c r="D22" s="73" t="s">
        <v>498</v>
      </c>
      <c r="E22" s="116" t="s">
        <v>483</v>
      </c>
      <c r="F22" s="124" t="s">
        <v>169</v>
      </c>
      <c r="G22" s="72">
        <v>1</v>
      </c>
      <c r="H22" s="74" t="s">
        <v>71</v>
      </c>
      <c r="I22" s="72" t="s">
        <v>154</v>
      </c>
      <c r="J22" s="116" t="s">
        <v>44</v>
      </c>
      <c r="K22" s="124" t="s">
        <v>129</v>
      </c>
      <c r="L22" s="74" t="s">
        <v>92</v>
      </c>
      <c r="M22" s="72" t="s">
        <v>512</v>
      </c>
      <c r="N22" s="75" t="s">
        <v>484</v>
      </c>
      <c r="O22" s="72"/>
      <c r="P22" s="75"/>
      <c r="Q22" s="72" t="s">
        <v>69</v>
      </c>
      <c r="R22" s="116" t="s">
        <v>69</v>
      </c>
      <c r="S22" s="129"/>
      <c r="T22" s="72" t="s">
        <v>484</v>
      </c>
      <c r="U22" s="75"/>
      <c r="V22" s="72"/>
      <c r="W22" s="75" t="s">
        <v>202</v>
      </c>
      <c r="X22" s="72" t="s">
        <v>69</v>
      </c>
      <c r="Y22" s="75" t="s">
        <v>484</v>
      </c>
      <c r="Z22" s="130"/>
      <c r="AA22" s="77" t="s">
        <v>489</v>
      </c>
      <c r="AB22" s="137"/>
      <c r="AC22" s="137">
        <v>1</v>
      </c>
      <c r="AD22" s="137">
        <v>1</v>
      </c>
      <c r="AE22" s="137"/>
      <c r="AF22" s="137"/>
      <c r="AG22" s="137"/>
      <c r="AH22" s="137"/>
      <c r="AI22" s="137"/>
      <c r="AJ22" s="137"/>
      <c r="AK22" s="137"/>
      <c r="AL22" s="137" t="s">
        <v>605</v>
      </c>
    </row>
    <row r="23" spans="1:38" s="2" customFormat="1" ht="24.75" customHeight="1" x14ac:dyDescent="0.3">
      <c r="A23" s="117">
        <v>20</v>
      </c>
      <c r="B23" s="91" t="s">
        <v>606</v>
      </c>
      <c r="C23" s="92" t="s">
        <v>515</v>
      </c>
      <c r="D23" s="93" t="s">
        <v>498</v>
      </c>
      <c r="E23" s="118" t="s">
        <v>516</v>
      </c>
      <c r="F23" s="125" t="s">
        <v>167</v>
      </c>
      <c r="G23" s="92">
        <v>1</v>
      </c>
      <c r="H23" s="94" t="s">
        <v>39</v>
      </c>
      <c r="I23" s="92" t="s">
        <v>76</v>
      </c>
      <c r="J23" s="118" t="s">
        <v>124</v>
      </c>
      <c r="K23" s="125" t="s">
        <v>129</v>
      </c>
      <c r="L23" s="94" t="s">
        <v>69</v>
      </c>
      <c r="M23" s="92" t="s">
        <v>459</v>
      </c>
      <c r="N23" s="95" t="s">
        <v>484</v>
      </c>
      <c r="O23" s="92"/>
      <c r="P23" s="95" t="s">
        <v>484</v>
      </c>
      <c r="Q23" s="92" t="s">
        <v>69</v>
      </c>
      <c r="R23" s="118" t="s">
        <v>69</v>
      </c>
      <c r="S23" s="131"/>
      <c r="T23" s="92"/>
      <c r="U23" s="95"/>
      <c r="V23" s="92" t="s">
        <v>484</v>
      </c>
      <c r="W23" s="95" t="s">
        <v>94</v>
      </c>
      <c r="X23" s="92" t="s">
        <v>69</v>
      </c>
      <c r="Y23" s="95"/>
      <c r="Z23" s="132"/>
      <c r="AA23" s="135" t="s">
        <v>485</v>
      </c>
      <c r="AB23" s="138"/>
      <c r="AC23" s="138"/>
      <c r="AD23" s="138"/>
      <c r="AE23" s="138"/>
      <c r="AF23" s="138"/>
      <c r="AG23" s="138"/>
      <c r="AH23" s="138"/>
      <c r="AI23" s="138"/>
      <c r="AJ23" s="138"/>
      <c r="AK23" s="138"/>
      <c r="AL23" s="138"/>
    </row>
    <row r="24" spans="1:38" s="2" customFormat="1" ht="24.75" customHeight="1" x14ac:dyDescent="0.3">
      <c r="A24" s="117">
        <v>21</v>
      </c>
      <c r="B24" s="91" t="s">
        <v>627</v>
      </c>
      <c r="C24" s="92" t="s">
        <v>515</v>
      </c>
      <c r="D24" s="93" t="s">
        <v>498</v>
      </c>
      <c r="E24" s="118">
        <v>32</v>
      </c>
      <c r="F24" s="125" t="s">
        <v>175</v>
      </c>
      <c r="G24" s="92">
        <v>2</v>
      </c>
      <c r="H24" s="94" t="s">
        <v>39</v>
      </c>
      <c r="I24" s="92" t="s">
        <v>154</v>
      </c>
      <c r="J24" s="118" t="s">
        <v>83</v>
      </c>
      <c r="K24" s="125" t="s">
        <v>141</v>
      </c>
      <c r="L24" s="94" t="s">
        <v>150</v>
      </c>
      <c r="M24" s="92" t="s">
        <v>459</v>
      </c>
      <c r="N24" s="95" t="s">
        <v>484</v>
      </c>
      <c r="O24" s="92"/>
      <c r="P24" s="95"/>
      <c r="Q24" s="92" t="s">
        <v>69</v>
      </c>
      <c r="R24" s="118" t="s">
        <v>69</v>
      </c>
      <c r="S24" s="131" t="s">
        <v>484</v>
      </c>
      <c r="T24" s="92"/>
      <c r="U24" s="95"/>
      <c r="V24" s="92" t="s">
        <v>484</v>
      </c>
      <c r="W24" s="95" t="s">
        <v>93</v>
      </c>
      <c r="X24" s="92" t="s">
        <v>50</v>
      </c>
      <c r="Y24" s="95" t="s">
        <v>484</v>
      </c>
      <c r="Z24" s="132" t="s">
        <v>484</v>
      </c>
      <c r="AA24" s="135" t="s">
        <v>489</v>
      </c>
      <c r="AB24" s="138"/>
      <c r="AC24" s="138"/>
      <c r="AD24" s="138">
        <v>1</v>
      </c>
      <c r="AE24" s="138"/>
      <c r="AF24" s="138"/>
      <c r="AG24" s="138"/>
      <c r="AH24" s="138"/>
      <c r="AI24" s="138"/>
      <c r="AJ24" s="138"/>
      <c r="AK24" s="138"/>
      <c r="AL24" s="138"/>
    </row>
    <row r="25" spans="1:38" s="2" customFormat="1" ht="24.75" customHeight="1" x14ac:dyDescent="0.3">
      <c r="A25" s="117">
        <v>22</v>
      </c>
      <c r="B25" s="91" t="s">
        <v>626</v>
      </c>
      <c r="C25" s="92" t="s">
        <v>515</v>
      </c>
      <c r="D25" s="93" t="s">
        <v>498</v>
      </c>
      <c r="E25" s="118" t="s">
        <v>519</v>
      </c>
      <c r="F25" s="125" t="s">
        <v>167</v>
      </c>
      <c r="G25" s="92">
        <v>1</v>
      </c>
      <c r="H25" s="94" t="s">
        <v>39</v>
      </c>
      <c r="I25" s="92" t="s">
        <v>154</v>
      </c>
      <c r="J25" s="118" t="s">
        <v>124</v>
      </c>
      <c r="K25" s="125" t="s">
        <v>142</v>
      </c>
      <c r="L25" s="94" t="s">
        <v>69</v>
      </c>
      <c r="M25" s="92" t="s">
        <v>459</v>
      </c>
      <c r="N25" s="95" t="s">
        <v>484</v>
      </c>
      <c r="O25" s="92"/>
      <c r="P25" s="95" t="s">
        <v>484</v>
      </c>
      <c r="Q25" s="92" t="s">
        <v>69</v>
      </c>
      <c r="R25" s="118" t="s">
        <v>69</v>
      </c>
      <c r="S25" s="131"/>
      <c r="T25" s="92"/>
      <c r="U25" s="95"/>
      <c r="V25" s="92" t="s">
        <v>484</v>
      </c>
      <c r="W25" s="95" t="s">
        <v>94</v>
      </c>
      <c r="X25" s="92" t="s">
        <v>69</v>
      </c>
      <c r="Y25" s="95"/>
      <c r="Z25" s="132"/>
      <c r="AA25" s="135" t="s">
        <v>485</v>
      </c>
      <c r="AB25" s="138"/>
      <c r="AC25" s="138"/>
      <c r="AD25" s="138"/>
      <c r="AE25" s="138"/>
      <c r="AF25" s="138"/>
      <c r="AG25" s="138"/>
      <c r="AH25" s="138"/>
      <c r="AI25" s="138"/>
      <c r="AJ25" s="138"/>
      <c r="AK25" s="138"/>
      <c r="AL25" s="138"/>
    </row>
    <row r="26" spans="1:38" s="2" customFormat="1" ht="48.75" customHeight="1" x14ac:dyDescent="0.3">
      <c r="A26" s="117">
        <v>23</v>
      </c>
      <c r="B26" s="91" t="s">
        <v>595</v>
      </c>
      <c r="C26" s="92" t="s">
        <v>515</v>
      </c>
      <c r="D26" s="93" t="s">
        <v>498</v>
      </c>
      <c r="E26" s="118" t="s">
        <v>499</v>
      </c>
      <c r="F26" s="125" t="s">
        <v>175</v>
      </c>
      <c r="G26" s="92">
        <v>2</v>
      </c>
      <c r="H26" s="94" t="s">
        <v>71</v>
      </c>
      <c r="I26" s="92" t="s">
        <v>154</v>
      </c>
      <c r="J26" s="118" t="s">
        <v>83</v>
      </c>
      <c r="K26" s="125" t="s">
        <v>129</v>
      </c>
      <c r="L26" s="94" t="s">
        <v>521</v>
      </c>
      <c r="M26" s="92" t="s">
        <v>497</v>
      </c>
      <c r="N26" s="95" t="s">
        <v>484</v>
      </c>
      <c r="O26" s="92"/>
      <c r="P26" s="95" t="s">
        <v>484</v>
      </c>
      <c r="Q26" s="92" t="s">
        <v>69</v>
      </c>
      <c r="R26" s="118" t="s">
        <v>69</v>
      </c>
      <c r="S26" s="131" t="s">
        <v>484</v>
      </c>
      <c r="T26" s="92"/>
      <c r="U26" s="95"/>
      <c r="V26" s="92" t="s">
        <v>484</v>
      </c>
      <c r="W26" s="95" t="s">
        <v>93</v>
      </c>
      <c r="X26" s="92" t="s">
        <v>49</v>
      </c>
      <c r="Y26" s="95"/>
      <c r="Z26" s="132"/>
      <c r="AA26" s="135" t="s">
        <v>485</v>
      </c>
      <c r="AB26" s="138"/>
      <c r="AC26" s="138"/>
      <c r="AD26" s="138"/>
      <c r="AE26" s="138"/>
      <c r="AF26" s="138"/>
      <c r="AG26" s="138"/>
      <c r="AH26" s="138"/>
      <c r="AI26" s="138"/>
      <c r="AJ26" s="138"/>
      <c r="AK26" s="138"/>
      <c r="AL26" s="138"/>
    </row>
    <row r="27" spans="1:38" s="2" customFormat="1" ht="48.75" customHeight="1" thickBot="1" x14ac:dyDescent="0.35">
      <c r="A27" s="119">
        <v>24</v>
      </c>
      <c r="B27" s="120" t="s">
        <v>596</v>
      </c>
      <c r="C27" s="121" t="s">
        <v>515</v>
      </c>
      <c r="D27" s="122" t="s">
        <v>498</v>
      </c>
      <c r="E27" s="123" t="s">
        <v>499</v>
      </c>
      <c r="F27" s="126" t="s">
        <v>175</v>
      </c>
      <c r="G27" s="121">
        <v>2</v>
      </c>
      <c r="H27" s="127" t="s">
        <v>71</v>
      </c>
      <c r="I27" s="121" t="s">
        <v>154</v>
      </c>
      <c r="J27" s="123" t="s">
        <v>83</v>
      </c>
      <c r="K27" s="126" t="s">
        <v>129</v>
      </c>
      <c r="L27" s="127" t="s">
        <v>521</v>
      </c>
      <c r="M27" s="121" t="s">
        <v>497</v>
      </c>
      <c r="N27" s="128" t="s">
        <v>484</v>
      </c>
      <c r="O27" s="121"/>
      <c r="P27" s="128" t="s">
        <v>484</v>
      </c>
      <c r="Q27" s="121" t="s">
        <v>69</v>
      </c>
      <c r="R27" s="123" t="s">
        <v>69</v>
      </c>
      <c r="S27" s="133" t="s">
        <v>484</v>
      </c>
      <c r="T27" s="121"/>
      <c r="U27" s="128"/>
      <c r="V27" s="121" t="s">
        <v>484</v>
      </c>
      <c r="W27" s="128" t="s">
        <v>93</v>
      </c>
      <c r="X27" s="121" t="s">
        <v>50</v>
      </c>
      <c r="Y27" s="128" t="s">
        <v>484</v>
      </c>
      <c r="Z27" s="134" t="s">
        <v>484</v>
      </c>
      <c r="AA27" s="136" t="s">
        <v>485</v>
      </c>
      <c r="AB27" s="139"/>
      <c r="AC27" s="139"/>
      <c r="AD27" s="139"/>
      <c r="AE27" s="139"/>
      <c r="AF27" s="139"/>
      <c r="AG27" s="139"/>
      <c r="AH27" s="139"/>
      <c r="AI27" s="139"/>
      <c r="AJ27" s="139"/>
      <c r="AK27" s="139"/>
      <c r="AL27" s="139"/>
    </row>
    <row r="28" spans="1:38" s="2" customFormat="1" ht="24.75" customHeight="1" x14ac:dyDescent="0.3">
      <c r="A28" s="70">
        <v>25</v>
      </c>
      <c r="B28" s="71" t="s">
        <v>598</v>
      </c>
      <c r="C28" s="72" t="s">
        <v>515</v>
      </c>
      <c r="D28" s="73" t="s">
        <v>498</v>
      </c>
      <c r="E28" s="116" t="s">
        <v>526</v>
      </c>
      <c r="F28" s="124" t="s">
        <v>169</v>
      </c>
      <c r="G28" s="72">
        <v>1</v>
      </c>
      <c r="H28" s="74" t="s">
        <v>71</v>
      </c>
      <c r="I28" s="72" t="s">
        <v>154</v>
      </c>
      <c r="J28" s="116" t="s">
        <v>124</v>
      </c>
      <c r="K28" s="124" t="s">
        <v>129</v>
      </c>
      <c r="L28" s="74" t="s">
        <v>69</v>
      </c>
      <c r="M28" s="72" t="s">
        <v>512</v>
      </c>
      <c r="N28" s="75" t="s">
        <v>484</v>
      </c>
      <c r="O28" s="72"/>
      <c r="P28" s="75" t="s">
        <v>484</v>
      </c>
      <c r="Q28" s="72" t="s">
        <v>69</v>
      </c>
      <c r="R28" s="116" t="s">
        <v>69</v>
      </c>
      <c r="S28" s="129"/>
      <c r="T28" s="72"/>
      <c r="U28" s="75"/>
      <c r="V28" s="72" t="s">
        <v>484</v>
      </c>
      <c r="W28" s="75" t="s">
        <v>94</v>
      </c>
      <c r="X28" s="72" t="s">
        <v>69</v>
      </c>
      <c r="Y28" s="75"/>
      <c r="Z28" s="130"/>
      <c r="AA28" s="77" t="s">
        <v>485</v>
      </c>
      <c r="AB28" s="137"/>
      <c r="AC28" s="137"/>
      <c r="AD28" s="137"/>
      <c r="AE28" s="137"/>
      <c r="AF28" s="137"/>
      <c r="AG28" s="137"/>
      <c r="AH28" s="137"/>
      <c r="AI28" s="137"/>
      <c r="AJ28" s="137"/>
      <c r="AK28" s="137"/>
      <c r="AL28" s="137"/>
    </row>
    <row r="29" spans="1:38" s="2" customFormat="1" ht="48.75" customHeight="1" x14ac:dyDescent="0.3">
      <c r="A29" s="117">
        <v>26</v>
      </c>
      <c r="B29" s="91" t="s">
        <v>597</v>
      </c>
      <c r="C29" s="92" t="s">
        <v>515</v>
      </c>
      <c r="D29" s="93" t="s">
        <v>498</v>
      </c>
      <c r="E29" s="118" t="s">
        <v>522</v>
      </c>
      <c r="F29" s="125" t="s">
        <v>175</v>
      </c>
      <c r="G29" s="92">
        <v>2</v>
      </c>
      <c r="H29" s="94" t="s">
        <v>71</v>
      </c>
      <c r="I29" s="92" t="s">
        <v>154</v>
      </c>
      <c r="J29" s="118" t="s">
        <v>83</v>
      </c>
      <c r="K29" s="125" t="s">
        <v>129</v>
      </c>
      <c r="L29" s="94" t="s">
        <v>521</v>
      </c>
      <c r="M29" s="92" t="s">
        <v>497</v>
      </c>
      <c r="N29" s="95" t="s">
        <v>484</v>
      </c>
      <c r="O29" s="92"/>
      <c r="P29" s="95" t="s">
        <v>484</v>
      </c>
      <c r="Q29" s="92" t="s">
        <v>69</v>
      </c>
      <c r="R29" s="118" t="s">
        <v>69</v>
      </c>
      <c r="S29" s="131" t="s">
        <v>484</v>
      </c>
      <c r="T29" s="92"/>
      <c r="U29" s="95"/>
      <c r="V29" s="92" t="s">
        <v>484</v>
      </c>
      <c r="W29" s="95" t="s">
        <v>93</v>
      </c>
      <c r="X29" s="92" t="s">
        <v>50</v>
      </c>
      <c r="Y29" s="95" t="s">
        <v>484</v>
      </c>
      <c r="Z29" s="132"/>
      <c r="AA29" s="135" t="s">
        <v>485</v>
      </c>
      <c r="AB29" s="138"/>
      <c r="AC29" s="138"/>
      <c r="AD29" s="138"/>
      <c r="AE29" s="138"/>
      <c r="AF29" s="138"/>
      <c r="AG29" s="138"/>
      <c r="AH29" s="138"/>
      <c r="AI29" s="138"/>
      <c r="AJ29" s="138"/>
      <c r="AK29" s="138"/>
      <c r="AL29" s="138"/>
    </row>
    <row r="30" spans="1:38" s="2" customFormat="1" ht="24.75" customHeight="1" x14ac:dyDescent="0.3">
      <c r="A30" s="117">
        <v>27</v>
      </c>
      <c r="B30" s="91" t="s">
        <v>607</v>
      </c>
      <c r="C30" s="92" t="s">
        <v>515</v>
      </c>
      <c r="D30" s="93" t="s">
        <v>498</v>
      </c>
      <c r="E30" s="118" t="s">
        <v>527</v>
      </c>
      <c r="F30" s="125" t="s">
        <v>167</v>
      </c>
      <c r="G30" s="92">
        <v>1</v>
      </c>
      <c r="H30" s="94" t="s">
        <v>70</v>
      </c>
      <c r="I30" s="92" t="s">
        <v>78</v>
      </c>
      <c r="J30" s="118" t="s">
        <v>123</v>
      </c>
      <c r="K30" s="125" t="s">
        <v>129</v>
      </c>
      <c r="L30" s="94" t="s">
        <v>69</v>
      </c>
      <c r="M30" s="92" t="s">
        <v>459</v>
      </c>
      <c r="N30" s="95" t="s">
        <v>484</v>
      </c>
      <c r="O30" s="92"/>
      <c r="P30" s="95" t="s">
        <v>484</v>
      </c>
      <c r="Q30" s="92" t="s">
        <v>69</v>
      </c>
      <c r="R30" s="118" t="s">
        <v>69</v>
      </c>
      <c r="S30" s="131"/>
      <c r="T30" s="92"/>
      <c r="U30" s="95"/>
      <c r="V30" s="92" t="s">
        <v>484</v>
      </c>
      <c r="W30" s="95" t="s">
        <v>94</v>
      </c>
      <c r="X30" s="92" t="s">
        <v>51</v>
      </c>
      <c r="Y30" s="95" t="s">
        <v>484</v>
      </c>
      <c r="Z30" s="132"/>
      <c r="AA30" s="135" t="s">
        <v>489</v>
      </c>
      <c r="AB30" s="138"/>
      <c r="AC30" s="138"/>
      <c r="AD30" s="138"/>
      <c r="AE30" s="138">
        <v>1</v>
      </c>
      <c r="AF30" s="138"/>
      <c r="AG30" s="138"/>
      <c r="AH30" s="138"/>
      <c r="AI30" s="138"/>
      <c r="AJ30" s="138"/>
      <c r="AK30" s="138"/>
      <c r="AL30" s="138"/>
    </row>
    <row r="31" spans="1:38" s="2" customFormat="1" ht="24.75" customHeight="1" x14ac:dyDescent="0.3">
      <c r="A31" s="117">
        <v>28</v>
      </c>
      <c r="B31" s="91" t="s">
        <v>608</v>
      </c>
      <c r="C31" s="92" t="s">
        <v>515</v>
      </c>
      <c r="D31" s="93" t="s">
        <v>498</v>
      </c>
      <c r="E31" s="118" t="s">
        <v>508</v>
      </c>
      <c r="F31" s="125" t="s">
        <v>167</v>
      </c>
      <c r="G31" s="92">
        <v>1</v>
      </c>
      <c r="H31" s="94" t="s">
        <v>39</v>
      </c>
      <c r="I31" s="92" t="s">
        <v>525</v>
      </c>
      <c r="J31" s="118" t="s">
        <v>124</v>
      </c>
      <c r="K31" s="125" t="s">
        <v>129</v>
      </c>
      <c r="L31" s="94" t="s">
        <v>69</v>
      </c>
      <c r="M31" s="92" t="s">
        <v>458</v>
      </c>
      <c r="N31" s="95" t="s">
        <v>484</v>
      </c>
      <c r="O31" s="92"/>
      <c r="P31" s="95"/>
      <c r="Q31" s="92" t="s">
        <v>69</v>
      </c>
      <c r="R31" s="118" t="s">
        <v>69</v>
      </c>
      <c r="S31" s="131"/>
      <c r="T31" s="92"/>
      <c r="U31" s="95"/>
      <c r="V31" s="92" t="s">
        <v>484</v>
      </c>
      <c r="W31" s="95" t="s">
        <v>93</v>
      </c>
      <c r="X31" s="92" t="s">
        <v>69</v>
      </c>
      <c r="Y31" s="95"/>
      <c r="Z31" s="132"/>
      <c r="AA31" s="135" t="s">
        <v>485</v>
      </c>
      <c r="AB31" s="138"/>
      <c r="AC31" s="138"/>
      <c r="AD31" s="138"/>
      <c r="AE31" s="138"/>
      <c r="AF31" s="138"/>
      <c r="AG31" s="138"/>
      <c r="AH31" s="138"/>
      <c r="AI31" s="138"/>
      <c r="AJ31" s="138"/>
      <c r="AK31" s="138"/>
      <c r="AL31" s="138"/>
    </row>
    <row r="32" spans="1:38" s="2" customFormat="1" ht="24.75" customHeight="1" x14ac:dyDescent="0.3">
      <c r="A32" s="117">
        <v>29</v>
      </c>
      <c r="B32" s="91" t="s">
        <v>609</v>
      </c>
      <c r="C32" s="92" t="s">
        <v>528</v>
      </c>
      <c r="D32" s="93" t="s">
        <v>498</v>
      </c>
      <c r="E32" s="118" t="s">
        <v>529</v>
      </c>
      <c r="F32" s="125" t="s">
        <v>166</v>
      </c>
      <c r="G32" s="92">
        <v>1</v>
      </c>
      <c r="H32" s="94" t="s">
        <v>70</v>
      </c>
      <c r="I32" s="92" t="s">
        <v>200</v>
      </c>
      <c r="J32" s="118" t="s">
        <v>123</v>
      </c>
      <c r="K32" s="125" t="s">
        <v>128</v>
      </c>
      <c r="L32" s="94" t="s">
        <v>69</v>
      </c>
      <c r="M32" s="92" t="s">
        <v>460</v>
      </c>
      <c r="N32" s="95" t="s">
        <v>484</v>
      </c>
      <c r="O32" s="92"/>
      <c r="P32" s="95"/>
      <c r="Q32" s="92" t="s">
        <v>69</v>
      </c>
      <c r="R32" s="118" t="s">
        <v>69</v>
      </c>
      <c r="S32" s="131" t="s">
        <v>484</v>
      </c>
      <c r="T32" s="92" t="s">
        <v>484</v>
      </c>
      <c r="U32" s="95" t="s">
        <v>484</v>
      </c>
      <c r="V32" s="92"/>
      <c r="W32" s="95" t="s">
        <v>94</v>
      </c>
      <c r="X32" s="92" t="s">
        <v>69</v>
      </c>
      <c r="Y32" s="95" t="s">
        <v>484</v>
      </c>
      <c r="Z32" s="132"/>
      <c r="AA32" s="135" t="s">
        <v>485</v>
      </c>
      <c r="AB32" s="138"/>
      <c r="AC32" s="138"/>
      <c r="AD32" s="138"/>
      <c r="AE32" s="138"/>
      <c r="AF32" s="138"/>
      <c r="AG32" s="138"/>
      <c r="AH32" s="138"/>
      <c r="AI32" s="138"/>
      <c r="AJ32" s="138"/>
      <c r="AK32" s="138"/>
      <c r="AL32" s="138"/>
    </row>
    <row r="33" spans="1:38" s="2" customFormat="1" ht="48.75" customHeight="1" thickBot="1" x14ac:dyDescent="0.35">
      <c r="A33" s="119">
        <v>30</v>
      </c>
      <c r="B33" s="120" t="s">
        <v>599</v>
      </c>
      <c r="C33" s="121" t="s">
        <v>515</v>
      </c>
      <c r="D33" s="122" t="s">
        <v>498</v>
      </c>
      <c r="E33" s="123" t="s">
        <v>499</v>
      </c>
      <c r="F33" s="126" t="s">
        <v>175</v>
      </c>
      <c r="G33" s="121">
        <v>2</v>
      </c>
      <c r="H33" s="127" t="s">
        <v>71</v>
      </c>
      <c r="I33" s="121" t="s">
        <v>154</v>
      </c>
      <c r="J33" s="123" t="s">
        <v>82</v>
      </c>
      <c r="K33" s="126" t="s">
        <v>129</v>
      </c>
      <c r="L33" s="127" t="s">
        <v>521</v>
      </c>
      <c r="M33" s="121" t="s">
        <v>497</v>
      </c>
      <c r="N33" s="128" t="s">
        <v>484</v>
      </c>
      <c r="O33" s="121"/>
      <c r="P33" s="128" t="s">
        <v>484</v>
      </c>
      <c r="Q33" s="121" t="s">
        <v>69</v>
      </c>
      <c r="R33" s="123" t="s">
        <v>69</v>
      </c>
      <c r="S33" s="133" t="s">
        <v>484</v>
      </c>
      <c r="T33" s="121"/>
      <c r="U33" s="128"/>
      <c r="V33" s="121" t="s">
        <v>484</v>
      </c>
      <c r="W33" s="128" t="s">
        <v>93</v>
      </c>
      <c r="X33" s="121" t="s">
        <v>50</v>
      </c>
      <c r="Y33" s="128" t="s">
        <v>484</v>
      </c>
      <c r="Z33" s="134" t="s">
        <v>484</v>
      </c>
      <c r="AA33" s="136" t="s">
        <v>489</v>
      </c>
      <c r="AB33" s="139">
        <v>1</v>
      </c>
      <c r="AC33" s="139"/>
      <c r="AD33" s="139"/>
      <c r="AE33" s="139"/>
      <c r="AF33" s="139"/>
      <c r="AG33" s="139"/>
      <c r="AH33" s="139"/>
      <c r="AI33" s="139"/>
      <c r="AJ33" s="139"/>
      <c r="AK33" s="139"/>
      <c r="AL33" s="139"/>
    </row>
    <row r="34" spans="1:38" s="2" customFormat="1" ht="24.75" customHeight="1" x14ac:dyDescent="0.3">
      <c r="A34" s="70">
        <v>31</v>
      </c>
      <c r="B34" s="71" t="s">
        <v>624</v>
      </c>
      <c r="C34" s="72" t="s">
        <v>493</v>
      </c>
      <c r="D34" s="73" t="s">
        <v>498</v>
      </c>
      <c r="E34" s="116" t="s">
        <v>535</v>
      </c>
      <c r="F34" s="124" t="s">
        <v>166</v>
      </c>
      <c r="G34" s="72">
        <v>1</v>
      </c>
      <c r="H34" s="74" t="s">
        <v>70</v>
      </c>
      <c r="I34" s="72" t="s">
        <v>77</v>
      </c>
      <c r="J34" s="116" t="s">
        <v>124</v>
      </c>
      <c r="K34" s="124" t="s">
        <v>141</v>
      </c>
      <c r="L34" s="74" t="s">
        <v>69</v>
      </c>
      <c r="M34" s="72" t="s">
        <v>460</v>
      </c>
      <c r="N34" s="75" t="s">
        <v>484</v>
      </c>
      <c r="O34" s="72"/>
      <c r="P34" s="75"/>
      <c r="Q34" s="72" t="s">
        <v>69</v>
      </c>
      <c r="R34" s="116" t="s">
        <v>69</v>
      </c>
      <c r="S34" s="129" t="s">
        <v>484</v>
      </c>
      <c r="T34" s="72" t="s">
        <v>484</v>
      </c>
      <c r="U34" s="75"/>
      <c r="V34" s="72" t="s">
        <v>484</v>
      </c>
      <c r="W34" s="75" t="s">
        <v>93</v>
      </c>
      <c r="X34" s="72" t="s">
        <v>51</v>
      </c>
      <c r="Y34" s="75" t="s">
        <v>484</v>
      </c>
      <c r="Z34" s="130"/>
      <c r="AA34" s="77" t="s">
        <v>485</v>
      </c>
      <c r="AB34" s="137"/>
      <c r="AC34" s="137"/>
      <c r="AD34" s="137"/>
      <c r="AE34" s="137"/>
      <c r="AF34" s="137"/>
      <c r="AG34" s="137"/>
      <c r="AH34" s="137"/>
      <c r="AI34" s="137"/>
      <c r="AJ34" s="137"/>
      <c r="AK34" s="137"/>
      <c r="AL34" s="137"/>
    </row>
    <row r="35" spans="1:38" s="2" customFormat="1" ht="24.75" customHeight="1" x14ac:dyDescent="0.3">
      <c r="A35" s="117">
        <v>32</v>
      </c>
      <c r="B35" s="91" t="s">
        <v>625</v>
      </c>
      <c r="C35" s="92" t="s">
        <v>511</v>
      </c>
      <c r="D35" s="93" t="s">
        <v>498</v>
      </c>
      <c r="E35" s="118" t="s">
        <v>537</v>
      </c>
      <c r="F35" s="125" t="s">
        <v>166</v>
      </c>
      <c r="G35" s="92">
        <v>1</v>
      </c>
      <c r="H35" s="94" t="s">
        <v>70</v>
      </c>
      <c r="I35" s="92" t="s">
        <v>77</v>
      </c>
      <c r="J35" s="118" t="s">
        <v>124</v>
      </c>
      <c r="K35" s="125" t="s">
        <v>141</v>
      </c>
      <c r="L35" s="94" t="s">
        <v>69</v>
      </c>
      <c r="M35" s="92" t="s">
        <v>460</v>
      </c>
      <c r="N35" s="95" t="s">
        <v>484</v>
      </c>
      <c r="O35" s="92"/>
      <c r="P35" s="95"/>
      <c r="Q35" s="92" t="s">
        <v>69</v>
      </c>
      <c r="R35" s="118" t="s">
        <v>69</v>
      </c>
      <c r="S35" s="131" t="s">
        <v>484</v>
      </c>
      <c r="T35" s="92"/>
      <c r="U35" s="95"/>
      <c r="V35" s="92" t="s">
        <v>484</v>
      </c>
      <c r="W35" s="95" t="s">
        <v>94</v>
      </c>
      <c r="X35" s="92" t="s">
        <v>51</v>
      </c>
      <c r="Y35" s="95" t="s">
        <v>484</v>
      </c>
      <c r="Z35" s="132"/>
      <c r="AA35" s="135" t="s">
        <v>485</v>
      </c>
      <c r="AB35" s="138"/>
      <c r="AC35" s="138"/>
      <c r="AD35" s="138"/>
      <c r="AE35" s="138"/>
      <c r="AF35" s="138"/>
      <c r="AG35" s="138"/>
      <c r="AH35" s="138"/>
      <c r="AI35" s="138"/>
      <c r="AJ35" s="138"/>
      <c r="AK35" s="138"/>
      <c r="AL35" s="138"/>
    </row>
    <row r="36" spans="1:38" s="2" customFormat="1" ht="24.75" customHeight="1" x14ac:dyDescent="0.3">
      <c r="A36" s="117">
        <v>33</v>
      </c>
      <c r="B36" s="91" t="s">
        <v>610</v>
      </c>
      <c r="C36" s="92" t="s">
        <v>515</v>
      </c>
      <c r="D36" s="93" t="s">
        <v>498</v>
      </c>
      <c r="E36" s="118" t="s">
        <v>538</v>
      </c>
      <c r="F36" s="125" t="s">
        <v>166</v>
      </c>
      <c r="G36" s="92">
        <v>1</v>
      </c>
      <c r="H36" s="94" t="s">
        <v>70</v>
      </c>
      <c r="I36" s="92" t="s">
        <v>77</v>
      </c>
      <c r="J36" s="118" t="s">
        <v>124</v>
      </c>
      <c r="K36" s="125" t="s">
        <v>141</v>
      </c>
      <c r="L36" s="94" t="s">
        <v>69</v>
      </c>
      <c r="M36" s="92" t="s">
        <v>460</v>
      </c>
      <c r="N36" s="95" t="s">
        <v>484</v>
      </c>
      <c r="O36" s="92"/>
      <c r="P36" s="95"/>
      <c r="Q36" s="92" t="s">
        <v>147</v>
      </c>
      <c r="R36" s="118" t="s">
        <v>69</v>
      </c>
      <c r="S36" s="131" t="s">
        <v>484</v>
      </c>
      <c r="T36" s="92"/>
      <c r="U36" s="95"/>
      <c r="V36" s="92" t="s">
        <v>484</v>
      </c>
      <c r="W36" s="95" t="s">
        <v>94</v>
      </c>
      <c r="X36" s="92" t="s">
        <v>51</v>
      </c>
      <c r="Y36" s="95" t="s">
        <v>484</v>
      </c>
      <c r="Z36" s="132"/>
      <c r="AA36" s="135" t="s">
        <v>485</v>
      </c>
      <c r="AB36" s="138"/>
      <c r="AC36" s="138"/>
      <c r="AD36" s="138"/>
      <c r="AE36" s="138"/>
      <c r="AF36" s="138"/>
      <c r="AG36" s="138"/>
      <c r="AH36" s="138"/>
      <c r="AI36" s="138"/>
      <c r="AJ36" s="138"/>
      <c r="AK36" s="138"/>
      <c r="AL36" s="138"/>
    </row>
    <row r="37" spans="1:38" s="2" customFormat="1" ht="24.75" customHeight="1" x14ac:dyDescent="0.3">
      <c r="A37" s="117">
        <v>34</v>
      </c>
      <c r="B37" s="91" t="s">
        <v>611</v>
      </c>
      <c r="C37" s="92" t="s">
        <v>515</v>
      </c>
      <c r="D37" s="93" t="s">
        <v>498</v>
      </c>
      <c r="E37" s="118" t="s">
        <v>544</v>
      </c>
      <c r="F37" s="125" t="s">
        <v>166</v>
      </c>
      <c r="G37" s="92">
        <v>1</v>
      </c>
      <c r="H37" s="94" t="s">
        <v>70</v>
      </c>
      <c r="I37" s="92" t="s">
        <v>77</v>
      </c>
      <c r="J37" s="118" t="s">
        <v>124</v>
      </c>
      <c r="K37" s="125" t="s">
        <v>128</v>
      </c>
      <c r="L37" s="94" t="s">
        <v>69</v>
      </c>
      <c r="M37" s="92" t="s">
        <v>460</v>
      </c>
      <c r="N37" s="95" t="s">
        <v>484</v>
      </c>
      <c r="O37" s="92"/>
      <c r="P37" s="95"/>
      <c r="Q37" s="92" t="s">
        <v>69</v>
      </c>
      <c r="R37" s="118" t="s">
        <v>69</v>
      </c>
      <c r="S37" s="131"/>
      <c r="T37" s="92"/>
      <c r="U37" s="95"/>
      <c r="V37" s="92" t="s">
        <v>484</v>
      </c>
      <c r="W37" s="95" t="s">
        <v>93</v>
      </c>
      <c r="X37" s="92" t="s">
        <v>69</v>
      </c>
      <c r="Y37" s="95" t="s">
        <v>484</v>
      </c>
      <c r="Z37" s="132"/>
      <c r="AA37" s="135" t="s">
        <v>485</v>
      </c>
      <c r="AB37" s="138"/>
      <c r="AC37" s="138"/>
      <c r="AD37" s="138"/>
      <c r="AE37" s="138"/>
      <c r="AF37" s="138"/>
      <c r="AG37" s="138"/>
      <c r="AH37" s="138"/>
      <c r="AI37" s="138"/>
      <c r="AJ37" s="138"/>
      <c r="AK37" s="138"/>
      <c r="AL37" s="138"/>
    </row>
    <row r="38" spans="1:38" s="2" customFormat="1" ht="24.75" customHeight="1" x14ac:dyDescent="0.3">
      <c r="A38" s="117">
        <v>35</v>
      </c>
      <c r="B38" s="91" t="s">
        <v>662</v>
      </c>
      <c r="C38" s="92" t="s">
        <v>493</v>
      </c>
      <c r="D38" s="93" t="s">
        <v>539</v>
      </c>
      <c r="E38" s="118" t="s">
        <v>540</v>
      </c>
      <c r="F38" s="125" t="s">
        <v>166</v>
      </c>
      <c r="G38" s="92">
        <v>1</v>
      </c>
      <c r="H38" s="94" t="s">
        <v>39</v>
      </c>
      <c r="I38" s="92" t="s">
        <v>525</v>
      </c>
      <c r="J38" s="118" t="s">
        <v>123</v>
      </c>
      <c r="K38" s="125" t="s">
        <v>127</v>
      </c>
      <c r="L38" s="94" t="s">
        <v>69</v>
      </c>
      <c r="M38" s="92" t="s">
        <v>458</v>
      </c>
      <c r="N38" s="95" t="s">
        <v>484</v>
      </c>
      <c r="O38" s="92"/>
      <c r="P38" s="95"/>
      <c r="Q38" s="92" t="s">
        <v>69</v>
      </c>
      <c r="R38" s="118" t="s">
        <v>69</v>
      </c>
      <c r="S38" s="131"/>
      <c r="T38" s="92"/>
      <c r="U38" s="95"/>
      <c r="V38" s="92" t="s">
        <v>484</v>
      </c>
      <c r="W38" s="95" t="s">
        <v>93</v>
      </c>
      <c r="X38" s="92" t="s">
        <v>69</v>
      </c>
      <c r="Y38" s="95"/>
      <c r="Z38" s="132"/>
      <c r="AA38" s="135" t="s">
        <v>485</v>
      </c>
      <c r="AB38" s="138"/>
      <c r="AC38" s="138"/>
      <c r="AD38" s="138"/>
      <c r="AE38" s="138"/>
      <c r="AF38" s="138"/>
      <c r="AG38" s="138"/>
      <c r="AH38" s="138"/>
      <c r="AI38" s="138"/>
      <c r="AJ38" s="138"/>
      <c r="AK38" s="138"/>
      <c r="AL38" s="138"/>
    </row>
    <row r="39" spans="1:38" s="2" customFormat="1" ht="24.75" customHeight="1" thickBot="1" x14ac:dyDescent="0.35">
      <c r="A39" s="119">
        <v>36</v>
      </c>
      <c r="B39" s="120" t="s">
        <v>663</v>
      </c>
      <c r="C39" s="121" t="s">
        <v>493</v>
      </c>
      <c r="D39" s="122" t="s">
        <v>539</v>
      </c>
      <c r="E39" s="123" t="s">
        <v>543</v>
      </c>
      <c r="F39" s="126" t="s">
        <v>172</v>
      </c>
      <c r="G39" s="121">
        <v>2</v>
      </c>
      <c r="H39" s="127" t="s">
        <v>38</v>
      </c>
      <c r="I39" s="121" t="s">
        <v>74</v>
      </c>
      <c r="J39" s="123" t="s">
        <v>82</v>
      </c>
      <c r="K39" s="126" t="s">
        <v>129</v>
      </c>
      <c r="L39" s="127" t="s">
        <v>542</v>
      </c>
      <c r="M39" s="121" t="s">
        <v>541</v>
      </c>
      <c r="N39" s="128" t="s">
        <v>484</v>
      </c>
      <c r="O39" s="121"/>
      <c r="P39" s="128"/>
      <c r="Q39" s="121" t="s">
        <v>69</v>
      </c>
      <c r="R39" s="123" t="s">
        <v>69</v>
      </c>
      <c r="S39" s="133" t="s">
        <v>484</v>
      </c>
      <c r="T39" s="121"/>
      <c r="U39" s="128"/>
      <c r="V39" s="121" t="s">
        <v>484</v>
      </c>
      <c r="W39" s="128" t="s">
        <v>93</v>
      </c>
      <c r="X39" s="121" t="s">
        <v>69</v>
      </c>
      <c r="Y39" s="128" t="s">
        <v>484</v>
      </c>
      <c r="Z39" s="134"/>
      <c r="AA39" s="136" t="s">
        <v>485</v>
      </c>
      <c r="AB39" s="139"/>
      <c r="AC39" s="139"/>
      <c r="AD39" s="139"/>
      <c r="AE39" s="139"/>
      <c r="AF39" s="139"/>
      <c r="AG39" s="139"/>
      <c r="AH39" s="139"/>
      <c r="AI39" s="139"/>
      <c r="AJ39" s="139"/>
      <c r="AK39" s="139"/>
      <c r="AL39" s="139" t="s">
        <v>664</v>
      </c>
    </row>
    <row r="40" spans="1:38" s="2" customFormat="1" ht="24.75" customHeight="1" x14ac:dyDescent="0.3">
      <c r="A40" s="70">
        <v>37</v>
      </c>
      <c r="B40" s="71" t="s">
        <v>661</v>
      </c>
      <c r="C40" s="72" t="s">
        <v>511</v>
      </c>
      <c r="D40" s="73" t="s">
        <v>539</v>
      </c>
      <c r="E40" s="116" t="s">
        <v>545</v>
      </c>
      <c r="F40" s="124" t="s">
        <v>166</v>
      </c>
      <c r="G40" s="72">
        <v>1</v>
      </c>
      <c r="H40" s="74" t="s">
        <v>39</v>
      </c>
      <c r="I40" s="72" t="s">
        <v>525</v>
      </c>
      <c r="J40" s="116" t="s">
        <v>124</v>
      </c>
      <c r="K40" s="124" t="s">
        <v>127</v>
      </c>
      <c r="L40" s="74" t="s">
        <v>69</v>
      </c>
      <c r="M40" s="72" t="s">
        <v>458</v>
      </c>
      <c r="N40" s="75" t="s">
        <v>484</v>
      </c>
      <c r="O40" s="72"/>
      <c r="P40" s="75"/>
      <c r="Q40" s="72" t="s">
        <v>69</v>
      </c>
      <c r="R40" s="116" t="s">
        <v>69</v>
      </c>
      <c r="S40" s="129"/>
      <c r="T40" s="72"/>
      <c r="U40" s="75"/>
      <c r="V40" s="72" t="s">
        <v>484</v>
      </c>
      <c r="W40" s="75" t="s">
        <v>93</v>
      </c>
      <c r="X40" s="72" t="s">
        <v>69</v>
      </c>
      <c r="Y40" s="75"/>
      <c r="Z40" s="130"/>
      <c r="AA40" s="77" t="s">
        <v>485</v>
      </c>
      <c r="AB40" s="137"/>
      <c r="AC40" s="137"/>
      <c r="AD40" s="137"/>
      <c r="AE40" s="137"/>
      <c r="AF40" s="137"/>
      <c r="AG40" s="137"/>
      <c r="AH40" s="137"/>
      <c r="AI40" s="137"/>
      <c r="AJ40" s="137"/>
      <c r="AK40" s="137"/>
      <c r="AL40" s="137"/>
    </row>
    <row r="41" spans="1:38" s="2" customFormat="1" ht="24.75" customHeight="1" x14ac:dyDescent="0.3">
      <c r="A41" s="117">
        <v>38</v>
      </c>
      <c r="B41" s="91" t="s">
        <v>659</v>
      </c>
      <c r="C41" s="92" t="s">
        <v>511</v>
      </c>
      <c r="D41" s="93" t="s">
        <v>539</v>
      </c>
      <c r="E41" s="118" t="s">
        <v>547</v>
      </c>
      <c r="F41" s="125" t="s">
        <v>172</v>
      </c>
      <c r="G41" s="92">
        <v>2</v>
      </c>
      <c r="H41" s="94" t="s">
        <v>38</v>
      </c>
      <c r="I41" s="92" t="s">
        <v>74</v>
      </c>
      <c r="J41" s="118" t="s">
        <v>82</v>
      </c>
      <c r="K41" s="125" t="s">
        <v>129</v>
      </c>
      <c r="L41" s="94" t="s">
        <v>542</v>
      </c>
      <c r="M41" s="92" t="s">
        <v>546</v>
      </c>
      <c r="N41" s="95" t="s">
        <v>484</v>
      </c>
      <c r="O41" s="92"/>
      <c r="P41" s="95"/>
      <c r="Q41" s="92" t="s">
        <v>69</v>
      </c>
      <c r="R41" s="118" t="s">
        <v>69</v>
      </c>
      <c r="S41" s="131" t="s">
        <v>484</v>
      </c>
      <c r="T41" s="92"/>
      <c r="U41" s="95"/>
      <c r="V41" s="92" t="s">
        <v>484</v>
      </c>
      <c r="W41" s="95" t="s">
        <v>93</v>
      </c>
      <c r="X41" s="92" t="s">
        <v>69</v>
      </c>
      <c r="Y41" s="95" t="s">
        <v>484</v>
      </c>
      <c r="Z41" s="132"/>
      <c r="AA41" s="135" t="s">
        <v>485</v>
      </c>
      <c r="AB41" s="138"/>
      <c r="AC41" s="138"/>
      <c r="AD41" s="138"/>
      <c r="AE41" s="138"/>
      <c r="AF41" s="138"/>
      <c r="AG41" s="138"/>
      <c r="AH41" s="138"/>
      <c r="AI41" s="138"/>
      <c r="AJ41" s="138"/>
      <c r="AK41" s="138"/>
      <c r="AL41" s="138" t="s">
        <v>660</v>
      </c>
    </row>
    <row r="42" spans="1:38" s="2" customFormat="1" ht="24.75" customHeight="1" x14ac:dyDescent="0.3">
      <c r="A42" s="117">
        <v>39</v>
      </c>
      <c r="B42" s="91" t="s">
        <v>665</v>
      </c>
      <c r="C42" s="92" t="s">
        <v>515</v>
      </c>
      <c r="D42" s="93" t="s">
        <v>539</v>
      </c>
      <c r="E42" s="118" t="s">
        <v>547</v>
      </c>
      <c r="F42" s="125" t="s">
        <v>172</v>
      </c>
      <c r="G42" s="92">
        <v>2</v>
      </c>
      <c r="H42" s="94" t="s">
        <v>38</v>
      </c>
      <c r="I42" s="92" t="s">
        <v>74</v>
      </c>
      <c r="J42" s="118" t="s">
        <v>82</v>
      </c>
      <c r="K42" s="125" t="s">
        <v>129</v>
      </c>
      <c r="L42" s="94" t="s">
        <v>542</v>
      </c>
      <c r="M42" s="92" t="s">
        <v>546</v>
      </c>
      <c r="N42" s="95" t="s">
        <v>484</v>
      </c>
      <c r="O42" s="92"/>
      <c r="P42" s="95"/>
      <c r="Q42" s="92" t="s">
        <v>69</v>
      </c>
      <c r="R42" s="118" t="s">
        <v>69</v>
      </c>
      <c r="S42" s="131" t="s">
        <v>484</v>
      </c>
      <c r="T42" s="92"/>
      <c r="U42" s="95"/>
      <c r="V42" s="92" t="s">
        <v>484</v>
      </c>
      <c r="W42" s="95" t="s">
        <v>93</v>
      </c>
      <c r="X42" s="92" t="s">
        <v>69</v>
      </c>
      <c r="Y42" s="95" t="s">
        <v>484</v>
      </c>
      <c r="Z42" s="132"/>
      <c r="AA42" s="135" t="s">
        <v>485</v>
      </c>
      <c r="AB42" s="138"/>
      <c r="AC42" s="138"/>
      <c r="AD42" s="138"/>
      <c r="AE42" s="138"/>
      <c r="AF42" s="138"/>
      <c r="AG42" s="138"/>
      <c r="AH42" s="138"/>
      <c r="AI42" s="138"/>
      <c r="AJ42" s="138"/>
      <c r="AK42" s="138"/>
      <c r="AL42" s="138"/>
    </row>
    <row r="43" spans="1:38" s="2" customFormat="1" ht="24.75" customHeight="1" x14ac:dyDescent="0.3">
      <c r="A43" s="117">
        <v>40</v>
      </c>
      <c r="B43" s="91" t="s">
        <v>658</v>
      </c>
      <c r="C43" s="92" t="s">
        <v>515</v>
      </c>
      <c r="D43" s="93" t="s">
        <v>539</v>
      </c>
      <c r="E43" s="118">
        <v>7</v>
      </c>
      <c r="F43" s="125" t="s">
        <v>165</v>
      </c>
      <c r="G43" s="92">
        <v>1</v>
      </c>
      <c r="H43" s="94" t="s">
        <v>39</v>
      </c>
      <c r="I43" s="92" t="s">
        <v>68</v>
      </c>
      <c r="J43" s="118" t="s">
        <v>123</v>
      </c>
      <c r="K43" s="125" t="s">
        <v>69</v>
      </c>
      <c r="L43" s="94" t="s">
        <v>69</v>
      </c>
      <c r="M43" s="92" t="s">
        <v>532</v>
      </c>
      <c r="N43" s="95" t="s">
        <v>484</v>
      </c>
      <c r="O43" s="92"/>
      <c r="P43" s="95"/>
      <c r="Q43" s="92" t="s">
        <v>69</v>
      </c>
      <c r="R43" s="118" t="s">
        <v>147</v>
      </c>
      <c r="S43" s="131"/>
      <c r="T43" s="92"/>
      <c r="U43" s="95"/>
      <c r="V43" s="92" t="s">
        <v>484</v>
      </c>
      <c r="W43" s="95" t="s">
        <v>94</v>
      </c>
      <c r="X43" s="92" t="s">
        <v>100</v>
      </c>
      <c r="Y43" s="95" t="s">
        <v>484</v>
      </c>
      <c r="Z43" s="132"/>
      <c r="AA43" s="135" t="s">
        <v>485</v>
      </c>
      <c r="AB43" s="138"/>
      <c r="AC43" s="138"/>
      <c r="AD43" s="138"/>
      <c r="AE43" s="138"/>
      <c r="AF43" s="138"/>
      <c r="AG43" s="138"/>
      <c r="AH43" s="138"/>
      <c r="AI43" s="138"/>
      <c r="AJ43" s="138"/>
      <c r="AK43" s="138"/>
      <c r="AL43" s="138"/>
    </row>
    <row r="44" spans="1:38" s="2" customFormat="1" ht="24.75" customHeight="1" x14ac:dyDescent="0.3">
      <c r="A44" s="117">
        <v>41</v>
      </c>
      <c r="B44" s="91" t="s">
        <v>654</v>
      </c>
      <c r="C44" s="92" t="s">
        <v>515</v>
      </c>
      <c r="D44" s="93" t="s">
        <v>539</v>
      </c>
      <c r="E44" s="118">
        <v>6</v>
      </c>
      <c r="F44" s="125" t="s">
        <v>165</v>
      </c>
      <c r="G44" s="92">
        <v>1</v>
      </c>
      <c r="H44" s="94" t="s">
        <v>39</v>
      </c>
      <c r="I44" s="92" t="s">
        <v>68</v>
      </c>
      <c r="J44" s="118" t="s">
        <v>123</v>
      </c>
      <c r="K44" s="125" t="s">
        <v>69</v>
      </c>
      <c r="L44" s="94" t="s">
        <v>69</v>
      </c>
      <c r="M44" s="92" t="s">
        <v>532</v>
      </c>
      <c r="N44" s="95" t="s">
        <v>484</v>
      </c>
      <c r="O44" s="92"/>
      <c r="P44" s="95"/>
      <c r="Q44" s="92" t="s">
        <v>69</v>
      </c>
      <c r="R44" s="118" t="s">
        <v>147</v>
      </c>
      <c r="S44" s="131"/>
      <c r="T44" s="92"/>
      <c r="U44" s="95"/>
      <c r="V44" s="92" t="s">
        <v>484</v>
      </c>
      <c r="W44" s="95" t="s">
        <v>94</v>
      </c>
      <c r="X44" s="92" t="s">
        <v>100</v>
      </c>
      <c r="Y44" s="95" t="s">
        <v>484</v>
      </c>
      <c r="Z44" s="132"/>
      <c r="AA44" s="135" t="s">
        <v>485</v>
      </c>
      <c r="AB44" s="138"/>
      <c r="AC44" s="138"/>
      <c r="AD44" s="138"/>
      <c r="AE44" s="138"/>
      <c r="AF44" s="138"/>
      <c r="AG44" s="138"/>
      <c r="AH44" s="138"/>
      <c r="AI44" s="138"/>
      <c r="AJ44" s="138"/>
      <c r="AK44" s="138"/>
      <c r="AL44" s="138"/>
    </row>
    <row r="45" spans="1:38" s="2" customFormat="1" ht="24.75" customHeight="1" thickBot="1" x14ac:dyDescent="0.35">
      <c r="A45" s="119">
        <v>42</v>
      </c>
      <c r="B45" s="120" t="s">
        <v>657</v>
      </c>
      <c r="C45" s="121" t="s">
        <v>515</v>
      </c>
      <c r="D45" s="122" t="s">
        <v>539</v>
      </c>
      <c r="E45" s="123">
        <v>5</v>
      </c>
      <c r="F45" s="126" t="s">
        <v>165</v>
      </c>
      <c r="G45" s="121">
        <v>1</v>
      </c>
      <c r="H45" s="127" t="s">
        <v>39</v>
      </c>
      <c r="I45" s="121" t="s">
        <v>68</v>
      </c>
      <c r="J45" s="123" t="s">
        <v>124</v>
      </c>
      <c r="K45" s="126" t="s">
        <v>69</v>
      </c>
      <c r="L45" s="127" t="s">
        <v>69</v>
      </c>
      <c r="M45" s="121" t="s">
        <v>532</v>
      </c>
      <c r="N45" s="128" t="s">
        <v>484</v>
      </c>
      <c r="O45" s="121"/>
      <c r="P45" s="128"/>
      <c r="Q45" s="121" t="s">
        <v>69</v>
      </c>
      <c r="R45" s="123" t="s">
        <v>147</v>
      </c>
      <c r="S45" s="133" t="s">
        <v>484</v>
      </c>
      <c r="T45" s="121"/>
      <c r="U45" s="128"/>
      <c r="V45" s="121" t="s">
        <v>484</v>
      </c>
      <c r="W45" s="128" t="s">
        <v>94</v>
      </c>
      <c r="X45" s="121" t="s">
        <v>100</v>
      </c>
      <c r="Y45" s="128" t="s">
        <v>484</v>
      </c>
      <c r="Z45" s="134" t="s">
        <v>484</v>
      </c>
      <c r="AA45" s="136" t="s">
        <v>485</v>
      </c>
      <c r="AB45" s="139"/>
      <c r="AC45" s="139"/>
      <c r="AD45" s="139"/>
      <c r="AE45" s="139"/>
      <c r="AF45" s="139"/>
      <c r="AG45" s="139"/>
      <c r="AH45" s="139"/>
      <c r="AI45" s="139"/>
      <c r="AJ45" s="139"/>
      <c r="AK45" s="139"/>
      <c r="AL45" s="139"/>
    </row>
    <row r="46" spans="1:38" s="2" customFormat="1" ht="24.75" customHeight="1" x14ac:dyDescent="0.3">
      <c r="A46" s="70">
        <v>43</v>
      </c>
      <c r="B46" s="71" t="s">
        <v>656</v>
      </c>
      <c r="C46" s="72" t="s">
        <v>515</v>
      </c>
      <c r="D46" s="73" t="s">
        <v>539</v>
      </c>
      <c r="E46" s="116">
        <v>4</v>
      </c>
      <c r="F46" s="124" t="s">
        <v>165</v>
      </c>
      <c r="G46" s="72">
        <v>1</v>
      </c>
      <c r="H46" s="74" t="s">
        <v>39</v>
      </c>
      <c r="I46" s="72" t="s">
        <v>68</v>
      </c>
      <c r="J46" s="116" t="s">
        <v>123</v>
      </c>
      <c r="K46" s="124" t="s">
        <v>69</v>
      </c>
      <c r="L46" s="74" t="s">
        <v>69</v>
      </c>
      <c r="M46" s="72" t="s">
        <v>532</v>
      </c>
      <c r="N46" s="75" t="s">
        <v>484</v>
      </c>
      <c r="O46" s="72"/>
      <c r="P46" s="75"/>
      <c r="Q46" s="72" t="s">
        <v>69</v>
      </c>
      <c r="R46" s="116" t="s">
        <v>147</v>
      </c>
      <c r="S46" s="129" t="s">
        <v>484</v>
      </c>
      <c r="T46" s="72"/>
      <c r="U46" s="75"/>
      <c r="V46" s="72" t="s">
        <v>484</v>
      </c>
      <c r="W46" s="75" t="s">
        <v>94</v>
      </c>
      <c r="X46" s="72" t="s">
        <v>100</v>
      </c>
      <c r="Y46" s="75" t="s">
        <v>484</v>
      </c>
      <c r="Z46" s="130"/>
      <c r="AA46" s="77" t="s">
        <v>485</v>
      </c>
      <c r="AB46" s="137"/>
      <c r="AC46" s="137"/>
      <c r="AD46" s="137"/>
      <c r="AE46" s="137"/>
      <c r="AF46" s="137"/>
      <c r="AG46" s="137"/>
      <c r="AH46" s="137"/>
      <c r="AI46" s="137"/>
      <c r="AJ46" s="137"/>
      <c r="AK46" s="137"/>
      <c r="AL46" s="137"/>
    </row>
    <row r="47" spans="1:38" s="2" customFormat="1" ht="24.75" customHeight="1" x14ac:dyDescent="0.3">
      <c r="A47" s="117">
        <v>44</v>
      </c>
      <c r="B47" s="91" t="s">
        <v>655</v>
      </c>
      <c r="C47" s="92" t="s">
        <v>515</v>
      </c>
      <c r="D47" s="93" t="s">
        <v>539</v>
      </c>
      <c r="E47" s="118" t="s">
        <v>551</v>
      </c>
      <c r="F47" s="125" t="s">
        <v>166</v>
      </c>
      <c r="G47" s="92">
        <v>1</v>
      </c>
      <c r="H47" s="94" t="s">
        <v>39</v>
      </c>
      <c r="I47" s="92" t="s">
        <v>525</v>
      </c>
      <c r="J47" s="118" t="s">
        <v>123</v>
      </c>
      <c r="K47" s="125" t="s">
        <v>127</v>
      </c>
      <c r="L47" s="94" t="s">
        <v>69</v>
      </c>
      <c r="M47" s="92" t="s">
        <v>532</v>
      </c>
      <c r="N47" s="95" t="s">
        <v>484</v>
      </c>
      <c r="O47" s="92"/>
      <c r="P47" s="95"/>
      <c r="Q47" s="92" t="s">
        <v>69</v>
      </c>
      <c r="R47" s="118" t="s">
        <v>69</v>
      </c>
      <c r="S47" s="131"/>
      <c r="T47" s="92"/>
      <c r="U47" s="95"/>
      <c r="V47" s="92" t="s">
        <v>484</v>
      </c>
      <c r="W47" s="95" t="s">
        <v>93</v>
      </c>
      <c r="X47" s="92" t="s">
        <v>69</v>
      </c>
      <c r="Y47" s="95"/>
      <c r="Z47" s="132"/>
      <c r="AA47" s="135" t="s">
        <v>485</v>
      </c>
      <c r="AB47" s="138"/>
      <c r="AC47" s="138"/>
      <c r="AD47" s="138"/>
      <c r="AE47" s="138"/>
      <c r="AF47" s="138"/>
      <c r="AG47" s="138"/>
      <c r="AH47" s="138"/>
      <c r="AI47" s="138"/>
      <c r="AJ47" s="138"/>
      <c r="AK47" s="138"/>
      <c r="AL47" s="138"/>
    </row>
    <row r="48" spans="1:38" s="2" customFormat="1" ht="24.75" customHeight="1" x14ac:dyDescent="0.3">
      <c r="A48" s="117">
        <v>45</v>
      </c>
      <c r="B48" s="91" t="s">
        <v>653</v>
      </c>
      <c r="C48" s="92" t="s">
        <v>528</v>
      </c>
      <c r="D48" s="93" t="s">
        <v>539</v>
      </c>
      <c r="E48" s="118" t="s">
        <v>552</v>
      </c>
      <c r="F48" s="125" t="s">
        <v>166</v>
      </c>
      <c r="G48" s="92">
        <v>1</v>
      </c>
      <c r="H48" s="94" t="s">
        <v>70</v>
      </c>
      <c r="I48" s="92" t="s">
        <v>78</v>
      </c>
      <c r="J48" s="118" t="s">
        <v>123</v>
      </c>
      <c r="K48" s="125" t="s">
        <v>131</v>
      </c>
      <c r="L48" s="94" t="s">
        <v>69</v>
      </c>
      <c r="M48" s="92" t="s">
        <v>459</v>
      </c>
      <c r="N48" s="95" t="s">
        <v>484</v>
      </c>
      <c r="O48" s="92"/>
      <c r="P48" s="95"/>
      <c r="Q48" s="92" t="s">
        <v>69</v>
      </c>
      <c r="R48" s="118" t="s">
        <v>69</v>
      </c>
      <c r="S48" s="131"/>
      <c r="T48" s="92"/>
      <c r="U48" s="95"/>
      <c r="V48" s="92" t="s">
        <v>484</v>
      </c>
      <c r="W48" s="95" t="s">
        <v>93</v>
      </c>
      <c r="X48" s="92" t="s">
        <v>69</v>
      </c>
      <c r="Y48" s="95"/>
      <c r="Z48" s="132"/>
      <c r="AA48" s="135" t="s">
        <v>485</v>
      </c>
      <c r="AB48" s="138"/>
      <c r="AC48" s="138"/>
      <c r="AD48" s="138"/>
      <c r="AE48" s="138"/>
      <c r="AF48" s="138"/>
      <c r="AG48" s="138"/>
      <c r="AH48" s="138"/>
      <c r="AI48" s="138"/>
      <c r="AJ48" s="138"/>
      <c r="AK48" s="138"/>
      <c r="AL48" s="138"/>
    </row>
    <row r="49" spans="1:190" s="2" customFormat="1" ht="24.75" customHeight="1" x14ac:dyDescent="0.3">
      <c r="A49" s="117">
        <v>46</v>
      </c>
      <c r="B49" s="91" t="s">
        <v>648</v>
      </c>
      <c r="C49" s="92" t="s">
        <v>493</v>
      </c>
      <c r="D49" s="93" t="s">
        <v>555</v>
      </c>
      <c r="E49" s="118" t="s">
        <v>483</v>
      </c>
      <c r="F49" s="125" t="s">
        <v>167</v>
      </c>
      <c r="G49" s="92">
        <v>1</v>
      </c>
      <c r="H49" s="94" t="s">
        <v>125</v>
      </c>
      <c r="I49" s="92" t="s">
        <v>104</v>
      </c>
      <c r="J49" s="118" t="s">
        <v>124</v>
      </c>
      <c r="K49" s="125" t="s">
        <v>129</v>
      </c>
      <c r="L49" s="94" t="s">
        <v>553</v>
      </c>
      <c r="M49" s="92" t="s">
        <v>554</v>
      </c>
      <c r="N49" s="95" t="s">
        <v>484</v>
      </c>
      <c r="O49" s="92"/>
      <c r="P49" s="95"/>
      <c r="Q49" s="92" t="s">
        <v>69</v>
      </c>
      <c r="R49" s="118" t="s">
        <v>69</v>
      </c>
      <c r="S49" s="131" t="s">
        <v>484</v>
      </c>
      <c r="T49" s="92" t="s">
        <v>484</v>
      </c>
      <c r="U49" s="95"/>
      <c r="V49" s="92" t="s">
        <v>484</v>
      </c>
      <c r="W49" s="95" t="s">
        <v>93</v>
      </c>
      <c r="X49" s="92" t="s">
        <v>50</v>
      </c>
      <c r="Y49" s="95" t="s">
        <v>484</v>
      </c>
      <c r="Z49" s="132"/>
      <c r="AA49" s="135" t="s">
        <v>485</v>
      </c>
      <c r="AB49" s="138"/>
      <c r="AC49" s="138"/>
      <c r="AD49" s="138"/>
      <c r="AE49" s="138"/>
      <c r="AF49" s="138"/>
      <c r="AG49" s="138"/>
      <c r="AH49" s="138"/>
      <c r="AI49" s="138"/>
      <c r="AJ49" s="138"/>
      <c r="AK49" s="138"/>
      <c r="AL49" s="138"/>
    </row>
    <row r="50" spans="1:190" s="2" customFormat="1" ht="24.75" customHeight="1" x14ac:dyDescent="0.3">
      <c r="A50" s="117">
        <v>47</v>
      </c>
      <c r="B50" s="91" t="s">
        <v>650</v>
      </c>
      <c r="C50" s="92" t="s">
        <v>493</v>
      </c>
      <c r="D50" s="93" t="s">
        <v>555</v>
      </c>
      <c r="E50" s="118" t="s">
        <v>561</v>
      </c>
      <c r="F50" s="125" t="s">
        <v>166</v>
      </c>
      <c r="G50" s="92">
        <v>1</v>
      </c>
      <c r="H50" s="94" t="s">
        <v>39</v>
      </c>
      <c r="I50" s="92" t="s">
        <v>201</v>
      </c>
      <c r="J50" s="118" t="s">
        <v>123</v>
      </c>
      <c r="K50" s="125" t="s">
        <v>156</v>
      </c>
      <c r="L50" s="94" t="s">
        <v>69</v>
      </c>
      <c r="M50" s="92" t="s">
        <v>459</v>
      </c>
      <c r="N50" s="95" t="s">
        <v>484</v>
      </c>
      <c r="O50" s="92"/>
      <c r="P50" s="95" t="s">
        <v>484</v>
      </c>
      <c r="Q50" s="92" t="s">
        <v>69</v>
      </c>
      <c r="R50" s="118" t="s">
        <v>69</v>
      </c>
      <c r="S50" s="131"/>
      <c r="T50" s="92"/>
      <c r="U50" s="95"/>
      <c r="V50" s="92" t="s">
        <v>484</v>
      </c>
      <c r="W50" s="95" t="s">
        <v>93</v>
      </c>
      <c r="X50" s="92" t="s">
        <v>69</v>
      </c>
      <c r="Y50" s="95"/>
      <c r="Z50" s="132"/>
      <c r="AA50" s="135" t="s">
        <v>489</v>
      </c>
      <c r="AB50" s="138"/>
      <c r="AC50" s="138"/>
      <c r="AD50" s="138"/>
      <c r="AE50" s="138"/>
      <c r="AF50" s="138"/>
      <c r="AG50" s="138"/>
      <c r="AH50" s="138">
        <v>1</v>
      </c>
      <c r="AI50" s="138"/>
      <c r="AJ50" s="138"/>
      <c r="AK50" s="138"/>
      <c r="AL50" s="138" t="s">
        <v>651</v>
      </c>
    </row>
    <row r="51" spans="1:190" s="2" customFormat="1" ht="24.75" customHeight="1" thickBot="1" x14ac:dyDescent="0.35">
      <c r="A51" s="119">
        <v>48</v>
      </c>
      <c r="B51" s="120" t="s">
        <v>649</v>
      </c>
      <c r="C51" s="121" t="s">
        <v>493</v>
      </c>
      <c r="D51" s="122" t="s">
        <v>555</v>
      </c>
      <c r="E51" s="123" t="s">
        <v>508</v>
      </c>
      <c r="F51" s="126" t="s">
        <v>170</v>
      </c>
      <c r="G51" s="121">
        <v>1</v>
      </c>
      <c r="H51" s="127" t="s">
        <v>125</v>
      </c>
      <c r="I51" s="121" t="s">
        <v>192</v>
      </c>
      <c r="J51" s="123" t="s">
        <v>124</v>
      </c>
      <c r="K51" s="126" t="s">
        <v>131</v>
      </c>
      <c r="L51" s="127" t="s">
        <v>557</v>
      </c>
      <c r="M51" s="121" t="s">
        <v>554</v>
      </c>
      <c r="N51" s="128"/>
      <c r="O51" s="121" t="s">
        <v>484</v>
      </c>
      <c r="P51" s="128"/>
      <c r="Q51" s="121" t="s">
        <v>69</v>
      </c>
      <c r="R51" s="123" t="s">
        <v>69</v>
      </c>
      <c r="S51" s="133" t="s">
        <v>484</v>
      </c>
      <c r="T51" s="121" t="s">
        <v>484</v>
      </c>
      <c r="U51" s="128"/>
      <c r="V51" s="121" t="s">
        <v>484</v>
      </c>
      <c r="W51" s="128" t="s">
        <v>93</v>
      </c>
      <c r="X51" s="121" t="s">
        <v>50</v>
      </c>
      <c r="Y51" s="128" t="s">
        <v>484</v>
      </c>
      <c r="Z51" s="134"/>
      <c r="AA51" s="136" t="s">
        <v>489</v>
      </c>
      <c r="AB51" s="139"/>
      <c r="AC51" s="139"/>
      <c r="AD51" s="139"/>
      <c r="AE51" s="139"/>
      <c r="AF51" s="139"/>
      <c r="AG51" s="139">
        <v>1</v>
      </c>
      <c r="AH51" s="139"/>
      <c r="AI51" s="139"/>
      <c r="AJ51" s="139"/>
      <c r="AK51" s="139"/>
      <c r="AL51" s="139"/>
    </row>
    <row r="52" spans="1:190" s="2" customFormat="1" ht="24.75" customHeight="1" x14ac:dyDescent="0.3">
      <c r="A52" s="70">
        <v>49</v>
      </c>
      <c r="B52" s="71" t="s">
        <v>652</v>
      </c>
      <c r="C52" s="72" t="s">
        <v>511</v>
      </c>
      <c r="D52" s="73" t="s">
        <v>555</v>
      </c>
      <c r="E52" s="116" t="s">
        <v>508</v>
      </c>
      <c r="F52" s="124" t="s">
        <v>170</v>
      </c>
      <c r="G52" s="72">
        <v>1</v>
      </c>
      <c r="H52" s="74" t="s">
        <v>125</v>
      </c>
      <c r="I52" s="72" t="s">
        <v>192</v>
      </c>
      <c r="J52" s="116" t="s">
        <v>124</v>
      </c>
      <c r="K52" s="124" t="s">
        <v>131</v>
      </c>
      <c r="L52" s="74" t="s">
        <v>557</v>
      </c>
      <c r="M52" s="72" t="s">
        <v>554</v>
      </c>
      <c r="N52" s="75"/>
      <c r="O52" s="72" t="s">
        <v>484</v>
      </c>
      <c r="P52" s="75"/>
      <c r="Q52" s="72" t="s">
        <v>69</v>
      </c>
      <c r="R52" s="116" t="s">
        <v>69</v>
      </c>
      <c r="S52" s="129" t="s">
        <v>484</v>
      </c>
      <c r="T52" s="72" t="s">
        <v>484</v>
      </c>
      <c r="U52" s="75"/>
      <c r="V52" s="72" t="s">
        <v>484</v>
      </c>
      <c r="W52" s="75" t="s">
        <v>93</v>
      </c>
      <c r="X52" s="72" t="s">
        <v>50</v>
      </c>
      <c r="Y52" s="75" t="s">
        <v>484</v>
      </c>
      <c r="Z52" s="130"/>
      <c r="AA52" s="77" t="s">
        <v>489</v>
      </c>
      <c r="AB52" s="137"/>
      <c r="AC52" s="137"/>
      <c r="AD52" s="137"/>
      <c r="AE52" s="137"/>
      <c r="AF52" s="137"/>
      <c r="AG52" s="137">
        <v>1</v>
      </c>
      <c r="AH52" s="137"/>
      <c r="AI52" s="137"/>
      <c r="AJ52" s="137"/>
      <c r="AK52" s="137"/>
      <c r="AL52" s="137"/>
    </row>
    <row r="53" spans="1:190" s="2" customFormat="1" ht="24.75" customHeight="1" x14ac:dyDescent="0.3">
      <c r="A53" s="117">
        <v>50</v>
      </c>
      <c r="B53" s="91" t="s">
        <v>646</v>
      </c>
      <c r="C53" s="92" t="s">
        <v>511</v>
      </c>
      <c r="D53" s="93" t="s">
        <v>555</v>
      </c>
      <c r="E53" s="118" t="s">
        <v>483</v>
      </c>
      <c r="F53" s="125" t="s">
        <v>167</v>
      </c>
      <c r="G53" s="92">
        <v>1</v>
      </c>
      <c r="H53" s="94" t="s">
        <v>125</v>
      </c>
      <c r="I53" s="92" t="s">
        <v>104</v>
      </c>
      <c r="J53" s="118" t="s">
        <v>124</v>
      </c>
      <c r="K53" s="125" t="s">
        <v>129</v>
      </c>
      <c r="L53" s="94" t="s">
        <v>553</v>
      </c>
      <c r="M53" s="92" t="s">
        <v>554</v>
      </c>
      <c r="N53" s="95" t="s">
        <v>484</v>
      </c>
      <c r="O53" s="92"/>
      <c r="P53" s="95"/>
      <c r="Q53" s="92" t="s">
        <v>69</v>
      </c>
      <c r="R53" s="118" t="s">
        <v>69</v>
      </c>
      <c r="S53" s="131" t="s">
        <v>484</v>
      </c>
      <c r="T53" s="92" t="s">
        <v>484</v>
      </c>
      <c r="U53" s="95"/>
      <c r="V53" s="92" t="s">
        <v>484</v>
      </c>
      <c r="W53" s="95" t="s">
        <v>93</v>
      </c>
      <c r="X53" s="92" t="s">
        <v>50</v>
      </c>
      <c r="Y53" s="95" t="s">
        <v>484</v>
      </c>
      <c r="Z53" s="132"/>
      <c r="AA53" s="135" t="s">
        <v>489</v>
      </c>
      <c r="AB53" s="138"/>
      <c r="AC53" s="138"/>
      <c r="AD53" s="138"/>
      <c r="AE53" s="138"/>
      <c r="AF53" s="138"/>
      <c r="AG53" s="138"/>
      <c r="AH53" s="138"/>
      <c r="AI53" s="138"/>
      <c r="AJ53" s="138"/>
      <c r="AK53" s="138">
        <v>1</v>
      </c>
      <c r="AL53" s="138" t="s">
        <v>647</v>
      </c>
    </row>
    <row r="54" spans="1:190" s="2" customFormat="1" ht="50" x14ac:dyDescent="0.3">
      <c r="A54" s="117">
        <v>51</v>
      </c>
      <c r="B54" s="91" t="s">
        <v>629</v>
      </c>
      <c r="C54" s="92" t="s">
        <v>515</v>
      </c>
      <c r="D54" s="93" t="s">
        <v>555</v>
      </c>
      <c r="E54" s="118" t="s">
        <v>560</v>
      </c>
      <c r="F54" s="125" t="s">
        <v>175</v>
      </c>
      <c r="G54" s="92">
        <v>2</v>
      </c>
      <c r="H54" s="94" t="s">
        <v>125</v>
      </c>
      <c r="I54" s="92" t="s">
        <v>104</v>
      </c>
      <c r="J54" s="118" t="s">
        <v>85</v>
      </c>
      <c r="K54" s="125" t="s">
        <v>129</v>
      </c>
      <c r="L54" s="94" t="s">
        <v>562</v>
      </c>
      <c r="M54" s="92" t="s">
        <v>554</v>
      </c>
      <c r="N54" s="95" t="s">
        <v>484</v>
      </c>
      <c r="O54" s="92"/>
      <c r="P54" s="95"/>
      <c r="Q54" s="92" t="s">
        <v>69</v>
      </c>
      <c r="R54" s="118" t="s">
        <v>69</v>
      </c>
      <c r="S54" s="131" t="s">
        <v>484</v>
      </c>
      <c r="T54" s="92"/>
      <c r="U54" s="95"/>
      <c r="V54" s="92" t="s">
        <v>484</v>
      </c>
      <c r="W54" s="95" t="s">
        <v>93</v>
      </c>
      <c r="X54" s="92" t="s">
        <v>69</v>
      </c>
      <c r="Y54" s="95" t="s">
        <v>484</v>
      </c>
      <c r="Z54" s="132"/>
      <c r="AA54" s="135" t="s">
        <v>489</v>
      </c>
      <c r="AB54" s="138"/>
      <c r="AC54" s="138"/>
      <c r="AD54" s="138">
        <v>1</v>
      </c>
      <c r="AE54" s="138"/>
      <c r="AF54" s="138"/>
      <c r="AG54" s="138"/>
      <c r="AH54" s="138"/>
      <c r="AI54" s="138"/>
      <c r="AJ54" s="138"/>
      <c r="AK54" s="138"/>
      <c r="AL54" s="138" t="s">
        <v>630</v>
      </c>
    </row>
    <row r="55" spans="1:190" s="2" customFormat="1" ht="24.75" customHeight="1" x14ac:dyDescent="0.3">
      <c r="A55" s="117">
        <v>52</v>
      </c>
      <c r="B55" s="91" t="s">
        <v>638</v>
      </c>
      <c r="C55" s="92" t="s">
        <v>515</v>
      </c>
      <c r="D55" s="93" t="s">
        <v>555</v>
      </c>
      <c r="E55" s="118" t="s">
        <v>563</v>
      </c>
      <c r="F55" s="125" t="s">
        <v>167</v>
      </c>
      <c r="G55" s="92">
        <v>1</v>
      </c>
      <c r="H55" s="94" t="s">
        <v>71</v>
      </c>
      <c r="I55" s="92" t="s">
        <v>201</v>
      </c>
      <c r="J55" s="118" t="s">
        <v>124</v>
      </c>
      <c r="K55" s="125" t="s">
        <v>156</v>
      </c>
      <c r="L55" s="94" t="s">
        <v>69</v>
      </c>
      <c r="M55" s="92" t="s">
        <v>458</v>
      </c>
      <c r="N55" s="95" t="s">
        <v>484</v>
      </c>
      <c r="O55" s="92"/>
      <c r="P55" s="95"/>
      <c r="Q55" s="92" t="s">
        <v>69</v>
      </c>
      <c r="R55" s="118" t="s">
        <v>69</v>
      </c>
      <c r="S55" s="131"/>
      <c r="T55" s="92"/>
      <c r="U55" s="95"/>
      <c r="V55" s="92" t="s">
        <v>484</v>
      </c>
      <c r="W55" s="95" t="s">
        <v>93</v>
      </c>
      <c r="X55" s="92" t="s">
        <v>69</v>
      </c>
      <c r="Y55" s="95"/>
      <c r="Z55" s="132"/>
      <c r="AA55" s="135" t="s">
        <v>485</v>
      </c>
      <c r="AB55" s="138"/>
      <c r="AC55" s="138"/>
      <c r="AD55" s="138"/>
      <c r="AE55" s="138"/>
      <c r="AF55" s="138"/>
      <c r="AG55" s="138"/>
      <c r="AH55" s="138"/>
      <c r="AI55" s="138"/>
      <c r="AJ55" s="138"/>
      <c r="AK55" s="138"/>
      <c r="AL55" s="138"/>
    </row>
    <row r="56" spans="1:190" s="2" customFormat="1" ht="24.75" customHeight="1" x14ac:dyDescent="0.3">
      <c r="A56" s="117">
        <v>53</v>
      </c>
      <c r="B56" s="91" t="s">
        <v>639</v>
      </c>
      <c r="C56" s="92" t="s">
        <v>515</v>
      </c>
      <c r="D56" s="93" t="s">
        <v>555</v>
      </c>
      <c r="E56" s="118" t="s">
        <v>563</v>
      </c>
      <c r="F56" s="125" t="s">
        <v>167</v>
      </c>
      <c r="G56" s="92">
        <v>1</v>
      </c>
      <c r="H56" s="94" t="s">
        <v>39</v>
      </c>
      <c r="I56" s="92" t="s">
        <v>201</v>
      </c>
      <c r="J56" s="118" t="s">
        <v>124</v>
      </c>
      <c r="K56" s="125" t="s">
        <v>156</v>
      </c>
      <c r="L56" s="94" t="s">
        <v>69</v>
      </c>
      <c r="M56" s="92" t="s">
        <v>458</v>
      </c>
      <c r="N56" s="95" t="s">
        <v>484</v>
      </c>
      <c r="O56" s="92"/>
      <c r="P56" s="95"/>
      <c r="Q56" s="92" t="s">
        <v>69</v>
      </c>
      <c r="R56" s="118" t="s">
        <v>69</v>
      </c>
      <c r="S56" s="131"/>
      <c r="T56" s="92"/>
      <c r="U56" s="95"/>
      <c r="V56" s="92" t="s">
        <v>484</v>
      </c>
      <c r="W56" s="95" t="s">
        <v>93</v>
      </c>
      <c r="X56" s="92" t="s">
        <v>69</v>
      </c>
      <c r="Y56" s="95"/>
      <c r="Z56" s="132"/>
      <c r="AA56" s="135" t="s">
        <v>485</v>
      </c>
      <c r="AB56" s="138"/>
      <c r="AC56" s="138"/>
      <c r="AD56" s="138"/>
      <c r="AE56" s="138"/>
      <c r="AF56" s="138"/>
      <c r="AG56" s="138"/>
      <c r="AH56" s="138"/>
      <c r="AI56" s="138"/>
      <c r="AJ56" s="138"/>
      <c r="AK56" s="138"/>
      <c r="AL56" s="138"/>
    </row>
    <row r="57" spans="1:190" s="2" customFormat="1" ht="24.75" customHeight="1" thickBot="1" x14ac:dyDescent="0.35">
      <c r="A57" s="119">
        <v>54</v>
      </c>
      <c r="B57" s="120" t="s">
        <v>635</v>
      </c>
      <c r="C57" s="121" t="s">
        <v>515</v>
      </c>
      <c r="D57" s="122" t="s">
        <v>555</v>
      </c>
      <c r="E57" s="123" t="s">
        <v>564</v>
      </c>
      <c r="F57" s="126" t="s">
        <v>167</v>
      </c>
      <c r="G57" s="121">
        <v>1</v>
      </c>
      <c r="H57" s="127" t="s">
        <v>39</v>
      </c>
      <c r="I57" s="121" t="s">
        <v>201</v>
      </c>
      <c r="J57" s="123" t="s">
        <v>123</v>
      </c>
      <c r="K57" s="126" t="s">
        <v>156</v>
      </c>
      <c r="L57" s="127" t="s">
        <v>69</v>
      </c>
      <c r="M57" s="121" t="s">
        <v>458</v>
      </c>
      <c r="N57" s="128" t="s">
        <v>484</v>
      </c>
      <c r="O57" s="121"/>
      <c r="P57" s="128"/>
      <c r="Q57" s="121" t="s">
        <v>69</v>
      </c>
      <c r="R57" s="123" t="s">
        <v>69</v>
      </c>
      <c r="S57" s="133"/>
      <c r="T57" s="121"/>
      <c r="U57" s="128"/>
      <c r="V57" s="121" t="s">
        <v>484</v>
      </c>
      <c r="W57" s="128" t="s">
        <v>93</v>
      </c>
      <c r="X57" s="121" t="s">
        <v>69</v>
      </c>
      <c r="Y57" s="128"/>
      <c r="Z57" s="134"/>
      <c r="AA57" s="136" t="s">
        <v>489</v>
      </c>
      <c r="AB57" s="139"/>
      <c r="AC57" s="139"/>
      <c r="AD57" s="139"/>
      <c r="AE57" s="139"/>
      <c r="AF57" s="139"/>
      <c r="AG57" s="139"/>
      <c r="AH57" s="139"/>
      <c r="AI57" s="139"/>
      <c r="AJ57" s="139">
        <v>1</v>
      </c>
      <c r="AK57" s="139"/>
      <c r="AL57" s="139" t="s">
        <v>636</v>
      </c>
    </row>
    <row r="58" spans="1:190" s="2" customFormat="1" ht="24.75" customHeight="1" x14ac:dyDescent="0.3">
      <c r="A58" s="70">
        <v>55</v>
      </c>
      <c r="B58" s="71" t="s">
        <v>637</v>
      </c>
      <c r="C58" s="72" t="s">
        <v>515</v>
      </c>
      <c r="D58" s="73" t="s">
        <v>555</v>
      </c>
      <c r="E58" s="116" t="s">
        <v>565</v>
      </c>
      <c r="F58" s="124" t="s">
        <v>167</v>
      </c>
      <c r="G58" s="72">
        <v>1</v>
      </c>
      <c r="H58" s="74" t="s">
        <v>39</v>
      </c>
      <c r="I58" s="72" t="s">
        <v>201</v>
      </c>
      <c r="J58" s="116" t="s">
        <v>123</v>
      </c>
      <c r="K58" s="124" t="s">
        <v>156</v>
      </c>
      <c r="L58" s="74" t="s">
        <v>69</v>
      </c>
      <c r="M58" s="72" t="s">
        <v>458</v>
      </c>
      <c r="N58" s="75" t="s">
        <v>484</v>
      </c>
      <c r="O58" s="72"/>
      <c r="P58" s="75"/>
      <c r="Q58" s="72" t="s">
        <v>69</v>
      </c>
      <c r="R58" s="116" t="s">
        <v>69</v>
      </c>
      <c r="S58" s="129"/>
      <c r="T58" s="72"/>
      <c r="U58" s="75"/>
      <c r="V58" s="72" t="s">
        <v>484</v>
      </c>
      <c r="W58" s="75" t="s">
        <v>93</v>
      </c>
      <c r="X58" s="72" t="s">
        <v>69</v>
      </c>
      <c r="Y58" s="75"/>
      <c r="Z58" s="130"/>
      <c r="AA58" s="77" t="s">
        <v>485</v>
      </c>
      <c r="AB58" s="137"/>
      <c r="AC58" s="137"/>
      <c r="AD58" s="137"/>
      <c r="AE58" s="137"/>
      <c r="AF58" s="137"/>
      <c r="AG58" s="137"/>
      <c r="AH58" s="137"/>
      <c r="AI58" s="137"/>
      <c r="AJ58" s="137"/>
      <c r="AK58" s="137"/>
      <c r="AL58" s="137"/>
    </row>
    <row r="59" spans="1:190" s="2" customFormat="1" ht="24.75" customHeight="1" x14ac:dyDescent="0.3">
      <c r="A59" s="117">
        <v>56</v>
      </c>
      <c r="B59" s="91" t="s">
        <v>632</v>
      </c>
      <c r="C59" s="92" t="s">
        <v>515</v>
      </c>
      <c r="D59" s="93" t="s">
        <v>555</v>
      </c>
      <c r="E59" s="118" t="s">
        <v>566</v>
      </c>
      <c r="F59" s="125" t="s">
        <v>167</v>
      </c>
      <c r="G59" s="92">
        <v>1</v>
      </c>
      <c r="H59" s="94" t="s">
        <v>39</v>
      </c>
      <c r="I59" s="92" t="s">
        <v>201</v>
      </c>
      <c r="J59" s="118" t="s">
        <v>124</v>
      </c>
      <c r="K59" s="125" t="s">
        <v>156</v>
      </c>
      <c r="L59" s="94" t="s">
        <v>69</v>
      </c>
      <c r="M59" s="92" t="s">
        <v>458</v>
      </c>
      <c r="N59" s="95" t="s">
        <v>484</v>
      </c>
      <c r="O59" s="92"/>
      <c r="P59" s="95"/>
      <c r="Q59" s="92" t="s">
        <v>69</v>
      </c>
      <c r="R59" s="118" t="s">
        <v>69</v>
      </c>
      <c r="S59" s="131"/>
      <c r="T59" s="92"/>
      <c r="U59" s="95"/>
      <c r="V59" s="92" t="s">
        <v>484</v>
      </c>
      <c r="W59" s="95" t="s">
        <v>93</v>
      </c>
      <c r="X59" s="92" t="s">
        <v>69</v>
      </c>
      <c r="Y59" s="95"/>
      <c r="Z59" s="132"/>
      <c r="AA59" s="135" t="s">
        <v>489</v>
      </c>
      <c r="AB59" s="138"/>
      <c r="AC59" s="138"/>
      <c r="AD59" s="138"/>
      <c r="AE59" s="138"/>
      <c r="AF59" s="138"/>
      <c r="AG59" s="138"/>
      <c r="AH59" s="138">
        <v>1</v>
      </c>
      <c r="AI59" s="138"/>
      <c r="AJ59" s="138"/>
      <c r="AK59" s="138"/>
      <c r="AL59" s="138" t="s">
        <v>633</v>
      </c>
    </row>
    <row r="60" spans="1:190" s="2" customFormat="1" ht="24.75" customHeight="1" x14ac:dyDescent="0.3">
      <c r="A60" s="117">
        <v>57</v>
      </c>
      <c r="B60" s="91" t="s">
        <v>634</v>
      </c>
      <c r="C60" s="92" t="s">
        <v>515</v>
      </c>
      <c r="D60" s="93" t="s">
        <v>555</v>
      </c>
      <c r="E60" s="118" t="s">
        <v>567</v>
      </c>
      <c r="F60" s="125" t="s">
        <v>166</v>
      </c>
      <c r="G60" s="92">
        <v>1</v>
      </c>
      <c r="H60" s="94" t="s">
        <v>39</v>
      </c>
      <c r="I60" s="92" t="s">
        <v>201</v>
      </c>
      <c r="J60" s="118" t="s">
        <v>123</v>
      </c>
      <c r="K60" s="125" t="s">
        <v>156</v>
      </c>
      <c r="L60" s="94" t="s">
        <v>69</v>
      </c>
      <c r="M60" s="92" t="s">
        <v>458</v>
      </c>
      <c r="N60" s="95" t="s">
        <v>484</v>
      </c>
      <c r="O60" s="92"/>
      <c r="P60" s="95" t="s">
        <v>484</v>
      </c>
      <c r="Q60" s="92" t="s">
        <v>69</v>
      </c>
      <c r="R60" s="118" t="s">
        <v>69</v>
      </c>
      <c r="S60" s="131"/>
      <c r="T60" s="92"/>
      <c r="U60" s="95"/>
      <c r="V60" s="92" t="s">
        <v>484</v>
      </c>
      <c r="W60" s="95" t="s">
        <v>93</v>
      </c>
      <c r="X60" s="92" t="s">
        <v>69</v>
      </c>
      <c r="Y60" s="95"/>
      <c r="Z60" s="132"/>
      <c r="AA60" s="135" t="s">
        <v>489</v>
      </c>
      <c r="AB60" s="138"/>
      <c r="AC60" s="138"/>
      <c r="AD60" s="138"/>
      <c r="AE60" s="138"/>
      <c r="AF60" s="138"/>
      <c r="AG60" s="138"/>
      <c r="AH60" s="138"/>
      <c r="AI60" s="138">
        <v>1</v>
      </c>
      <c r="AJ60" s="138"/>
      <c r="AK60" s="138"/>
      <c r="AL60" s="138"/>
    </row>
    <row r="61" spans="1:190" s="2" customFormat="1" ht="24.75" customHeight="1" x14ac:dyDescent="0.3">
      <c r="A61" s="117">
        <v>58</v>
      </c>
      <c r="B61" s="91" t="s">
        <v>631</v>
      </c>
      <c r="C61" s="92" t="s">
        <v>515</v>
      </c>
      <c r="D61" s="93" t="s">
        <v>555</v>
      </c>
      <c r="E61" s="118" t="s">
        <v>522</v>
      </c>
      <c r="F61" s="125" t="s">
        <v>170</v>
      </c>
      <c r="G61" s="92">
        <v>1</v>
      </c>
      <c r="H61" s="94" t="s">
        <v>125</v>
      </c>
      <c r="I61" s="92" t="s">
        <v>192</v>
      </c>
      <c r="J61" s="118" t="s">
        <v>123</v>
      </c>
      <c r="K61" s="125" t="s">
        <v>131</v>
      </c>
      <c r="L61" s="94" t="s">
        <v>557</v>
      </c>
      <c r="M61" s="92" t="s">
        <v>554</v>
      </c>
      <c r="N61" s="95"/>
      <c r="O61" s="92" t="s">
        <v>484</v>
      </c>
      <c r="P61" s="95"/>
      <c r="Q61" s="92" t="s">
        <v>69</v>
      </c>
      <c r="R61" s="118" t="s">
        <v>69</v>
      </c>
      <c r="S61" s="131" t="s">
        <v>484</v>
      </c>
      <c r="T61" s="92" t="s">
        <v>484</v>
      </c>
      <c r="U61" s="95" t="s">
        <v>484</v>
      </c>
      <c r="V61" s="92" t="s">
        <v>484</v>
      </c>
      <c r="W61" s="95" t="s">
        <v>93</v>
      </c>
      <c r="X61" s="92" t="s">
        <v>50</v>
      </c>
      <c r="Y61" s="95" t="s">
        <v>484</v>
      </c>
      <c r="Z61" s="132"/>
      <c r="AA61" s="135" t="s">
        <v>489</v>
      </c>
      <c r="AB61" s="138"/>
      <c r="AC61" s="138"/>
      <c r="AD61" s="138"/>
      <c r="AE61" s="138"/>
      <c r="AF61" s="138"/>
      <c r="AG61" s="138"/>
      <c r="AH61" s="138"/>
      <c r="AI61" s="138"/>
      <c r="AJ61" s="138"/>
      <c r="AK61" s="138"/>
      <c r="AL61" s="138"/>
    </row>
    <row r="62" spans="1:190" s="2" customFormat="1" ht="24.75" customHeight="1" x14ac:dyDescent="0.3">
      <c r="A62" s="117">
        <v>59</v>
      </c>
      <c r="B62" s="91" t="s">
        <v>628</v>
      </c>
      <c r="C62" s="92" t="s">
        <v>515</v>
      </c>
      <c r="D62" s="93" t="s">
        <v>555</v>
      </c>
      <c r="E62" s="118" t="s">
        <v>499</v>
      </c>
      <c r="F62" s="125" t="s">
        <v>170</v>
      </c>
      <c r="G62" s="92">
        <v>1</v>
      </c>
      <c r="H62" s="94" t="s">
        <v>125</v>
      </c>
      <c r="I62" s="92" t="s">
        <v>192</v>
      </c>
      <c r="J62" s="118" t="s">
        <v>124</v>
      </c>
      <c r="K62" s="125" t="s">
        <v>129</v>
      </c>
      <c r="L62" s="94" t="s">
        <v>568</v>
      </c>
      <c r="M62" s="92" t="s">
        <v>554</v>
      </c>
      <c r="N62" s="95"/>
      <c r="O62" s="92" t="s">
        <v>484</v>
      </c>
      <c r="P62" s="95" t="s">
        <v>484</v>
      </c>
      <c r="Q62" s="92" t="s">
        <v>69</v>
      </c>
      <c r="R62" s="118" t="s">
        <v>69</v>
      </c>
      <c r="S62" s="131" t="s">
        <v>484</v>
      </c>
      <c r="T62" s="92" t="s">
        <v>484</v>
      </c>
      <c r="U62" s="95"/>
      <c r="V62" s="92" t="s">
        <v>484</v>
      </c>
      <c r="W62" s="95" t="s">
        <v>93</v>
      </c>
      <c r="X62" s="92" t="s">
        <v>50</v>
      </c>
      <c r="Y62" s="95" t="s">
        <v>484</v>
      </c>
      <c r="Z62" s="132"/>
      <c r="AA62" s="135" t="s">
        <v>485</v>
      </c>
      <c r="AB62" s="138"/>
      <c r="AC62" s="138"/>
      <c r="AD62" s="138"/>
      <c r="AE62" s="138"/>
      <c r="AF62" s="138"/>
      <c r="AG62" s="138"/>
      <c r="AH62" s="138"/>
      <c r="AI62" s="138"/>
      <c r="AJ62" s="138"/>
      <c r="AK62" s="138"/>
      <c r="AL62" s="138"/>
    </row>
    <row r="63" spans="1:190" s="2" customFormat="1" ht="50.5" thickBot="1" x14ac:dyDescent="0.35">
      <c r="A63" s="119">
        <v>60</v>
      </c>
      <c r="B63" s="120" t="s">
        <v>643</v>
      </c>
      <c r="C63" s="121" t="s">
        <v>515</v>
      </c>
      <c r="D63" s="122" t="s">
        <v>555</v>
      </c>
      <c r="E63" s="123" t="s">
        <v>571</v>
      </c>
      <c r="F63" s="126" t="s">
        <v>172</v>
      </c>
      <c r="G63" s="121">
        <v>2</v>
      </c>
      <c r="H63" s="127" t="s">
        <v>38</v>
      </c>
      <c r="I63" s="121" t="s">
        <v>74</v>
      </c>
      <c r="J63" s="123" t="s">
        <v>82</v>
      </c>
      <c r="K63" s="126" t="s">
        <v>144</v>
      </c>
      <c r="L63" s="127" t="s">
        <v>146</v>
      </c>
      <c r="M63" s="121" t="s">
        <v>570</v>
      </c>
      <c r="N63" s="128"/>
      <c r="O63" s="121" t="s">
        <v>484</v>
      </c>
      <c r="P63" s="128"/>
      <c r="Q63" s="121" t="s">
        <v>69</v>
      </c>
      <c r="R63" s="123" t="s">
        <v>69</v>
      </c>
      <c r="S63" s="133" t="s">
        <v>484</v>
      </c>
      <c r="T63" s="121" t="s">
        <v>484</v>
      </c>
      <c r="U63" s="128"/>
      <c r="V63" s="121" t="s">
        <v>484</v>
      </c>
      <c r="W63" s="128" t="s">
        <v>94</v>
      </c>
      <c r="X63" s="121" t="s">
        <v>51</v>
      </c>
      <c r="Y63" s="128" t="s">
        <v>484</v>
      </c>
      <c r="Z63" s="134" t="s">
        <v>484</v>
      </c>
      <c r="AA63" s="136" t="s">
        <v>485</v>
      </c>
      <c r="AB63" s="139"/>
      <c r="AC63" s="139"/>
      <c r="AD63" s="139"/>
      <c r="AE63" s="139"/>
      <c r="AF63" s="139"/>
      <c r="AG63" s="139"/>
      <c r="AH63" s="139"/>
      <c r="AI63" s="139"/>
      <c r="AJ63" s="139"/>
      <c r="AK63" s="139"/>
      <c r="AL63" s="139" t="s">
        <v>644</v>
      </c>
    </row>
    <row r="64" spans="1:190" s="22" customFormat="1" ht="15" thickBot="1" x14ac:dyDescent="0.4">
      <c r="A64"/>
      <c r="B64"/>
      <c r="C64"/>
      <c r="D64"/>
      <c r="E64"/>
      <c r="F64"/>
      <c r="G64"/>
      <c r="H64"/>
      <c r="I64"/>
      <c r="J64"/>
      <c r="K64"/>
      <c r="L64"/>
      <c r="M64"/>
      <c r="N64"/>
      <c r="O64"/>
      <c r="P64"/>
      <c r="Q64"/>
      <c r="R64"/>
      <c r="S64"/>
      <c r="T64"/>
      <c r="U64"/>
      <c r="V64"/>
      <c r="W64"/>
      <c r="X64"/>
      <c r="Y64"/>
      <c r="Z64"/>
      <c r="AA64"/>
      <c r="AB64" s="23">
        <f t="shared" ref="AB64:AK64" ca="1" si="0">SUM(INDIRECT(ADDRESS(4,COLUMN(),4) &amp; ":" &amp; ADDRESS(ROW()-1,COLUMN(),4)))</f>
        <v>2</v>
      </c>
      <c r="AC64" s="23">
        <f t="shared" ca="1" si="0"/>
        <v>1</v>
      </c>
      <c r="AD64" s="23">
        <f t="shared" ca="1" si="0"/>
        <v>3</v>
      </c>
      <c r="AE64" s="23">
        <f t="shared" ca="1" si="0"/>
        <v>1</v>
      </c>
      <c r="AF64" s="23">
        <f t="shared" ca="1" si="0"/>
        <v>1</v>
      </c>
      <c r="AG64" s="23">
        <f t="shared" ca="1" si="0"/>
        <v>2</v>
      </c>
      <c r="AH64" s="23">
        <f t="shared" ca="1" si="0"/>
        <v>2</v>
      </c>
      <c r="AI64" s="23">
        <f t="shared" ca="1" si="0"/>
        <v>1</v>
      </c>
      <c r="AJ64" s="23">
        <f t="shared" ca="1" si="0"/>
        <v>1</v>
      </c>
      <c r="AK64" s="23">
        <f t="shared" ca="1" si="0"/>
        <v>1</v>
      </c>
      <c r="AL64" s="24" t="s">
        <v>0</v>
      </c>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c r="EA64"/>
      <c r="EB64"/>
      <c r="EC64"/>
      <c r="ED64"/>
      <c r="EE64"/>
      <c r="EF64"/>
      <c r="EG64"/>
      <c r="EH64"/>
      <c r="EI64"/>
      <c r="EJ64"/>
      <c r="EK64"/>
      <c r="EL64"/>
      <c r="EM64"/>
      <c r="EN64"/>
      <c r="EO64"/>
      <c r="EP64"/>
      <c r="EQ64"/>
      <c r="ER64"/>
      <c r="ES64"/>
      <c r="ET64"/>
      <c r="EU64"/>
      <c r="EV64"/>
      <c r="EW64"/>
      <c r="EX64"/>
      <c r="EY64"/>
      <c r="EZ64"/>
      <c r="FA64"/>
      <c r="FB64"/>
      <c r="FC64"/>
      <c r="FD64"/>
      <c r="FE64"/>
      <c r="FF64"/>
      <c r="FG64"/>
      <c r="FH64"/>
      <c r="FI64"/>
      <c r="FJ64"/>
      <c r="FK64"/>
      <c r="FL64"/>
      <c r="FM64"/>
      <c r="FN64"/>
      <c r="FO64"/>
      <c r="FP64"/>
      <c r="FQ64"/>
      <c r="FR64"/>
      <c r="FS64"/>
      <c r="FT64"/>
      <c r="FU64"/>
      <c r="FV64"/>
      <c r="FW64"/>
      <c r="FX64"/>
      <c r="FY64"/>
      <c r="FZ64"/>
      <c r="GA64"/>
      <c r="GB64"/>
      <c r="GC64"/>
      <c r="GD64"/>
      <c r="GE64"/>
      <c r="GF64"/>
      <c r="GG64"/>
      <c r="GH64"/>
    </row>
  </sheetData>
  <sheetProtection autoFilter="0"/>
  <autoFilter ref="A3:AL64" xr:uid="{00000000-0009-0000-0000-000000000000}"/>
  <mergeCells count="5">
    <mergeCell ref="F2:J2"/>
    <mergeCell ref="K2:R2"/>
    <mergeCell ref="S2:Z2"/>
    <mergeCell ref="S1:AA1"/>
    <mergeCell ref="AB2:AK2"/>
  </mergeCells>
  <pageMargins left="0.23622047244094491" right="0.23622047244094491" top="0.59055118110236227" bottom="0.39370078740157483" header="0.11811023622047245" footer="0.11811023622047245"/>
  <pageSetup paperSize="8" scale="52" fitToHeight="0" orientation="landscape" r:id="rId1"/>
  <headerFooter>
    <oddHeader>&amp;L&amp;"-,Fett"&amp;16Prüfprotokoll Brand- und Rauchschutztüren&amp;R&amp;G</oddHeader>
    <oddFooter>&amp;L&amp;F&amp;C&amp;N&amp;R&amp;D</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5601" r:id="rId5" name="Button 5">
              <controlPr defaultSize="0" print="0" autoFill="0" autoPict="0" macro="[0]!CreateTemplate">
                <anchor>
                  <from>
                    <xdr:col>0</xdr:col>
                    <xdr:colOff>63500</xdr:colOff>
                    <xdr:row>1</xdr:row>
                    <xdr:rowOff>69850</xdr:rowOff>
                  </from>
                  <to>
                    <xdr:col>0</xdr:col>
                    <xdr:colOff>711200</xdr:colOff>
                    <xdr:row>1</xdr:row>
                    <xdr:rowOff>584200</xdr:rowOff>
                  </to>
                </anchor>
              </controlPr>
            </control>
          </mc:Choice>
        </mc:AlternateContent>
        <mc:AlternateContent xmlns:mc="http://schemas.openxmlformats.org/markup-compatibility/2006">
          <mc:Choice Requires="x14">
            <control shapeId="25602" r:id="rId6" name="Button 7">
              <controlPr defaultSize="0" print="0" autoFill="0" autoPict="0" macro="[0]!CreateDoor">
                <anchor>
                  <from>
                    <xdr:col>2</xdr:col>
                    <xdr:colOff>101600</xdr:colOff>
                    <xdr:row>1</xdr:row>
                    <xdr:rowOff>69850</xdr:rowOff>
                  </from>
                  <to>
                    <xdr:col>3</xdr:col>
                    <xdr:colOff>0</xdr:colOff>
                    <xdr:row>1</xdr:row>
                    <xdr:rowOff>615950</xdr:rowOff>
                  </to>
                </anchor>
              </controlPr>
            </control>
          </mc:Choice>
        </mc:AlternateContent>
        <mc:AlternateContent xmlns:mc="http://schemas.openxmlformats.org/markup-compatibility/2006">
          <mc:Choice Requires="x14">
            <control shapeId="25603" r:id="rId7" name="Button 8">
              <controlPr defaultSize="0" print="0" autoFill="0" autoPict="0" macro="[0]!ChangeDoor">
                <anchor>
                  <from>
                    <xdr:col>3</xdr:col>
                    <xdr:colOff>69850</xdr:colOff>
                    <xdr:row>1</xdr:row>
                    <xdr:rowOff>69850</xdr:rowOff>
                  </from>
                  <to>
                    <xdr:col>3</xdr:col>
                    <xdr:colOff>736600</xdr:colOff>
                    <xdr:row>1</xdr:row>
                    <xdr:rowOff>615950</xdr:rowOff>
                  </to>
                </anchor>
              </controlPr>
            </control>
          </mc:Choice>
        </mc:AlternateContent>
        <mc:AlternateContent xmlns:mc="http://schemas.openxmlformats.org/markup-compatibility/2006">
          <mc:Choice Requires="x14">
            <control shapeId="25604" r:id="rId8" name="Button 9">
              <controlPr defaultSize="0" print="0" autoFill="0" autoPict="0" macro="[0]!CreateInspection">
                <anchor>
                  <from>
                    <xdr:col>1</xdr:col>
                    <xdr:colOff>63500</xdr:colOff>
                    <xdr:row>1</xdr:row>
                    <xdr:rowOff>101600</xdr:rowOff>
                  </from>
                  <to>
                    <xdr:col>1</xdr:col>
                    <xdr:colOff>736600</xdr:colOff>
                    <xdr:row>1</xdr:row>
                    <xdr:rowOff>584200</xdr:rowOff>
                  </to>
                </anchor>
              </controlPr>
            </control>
          </mc:Choice>
        </mc:AlternateContent>
        <mc:AlternateContent xmlns:mc="http://schemas.openxmlformats.org/markup-compatibility/2006">
          <mc:Choice Requires="x14">
            <control shapeId="25605" r:id="rId9" name="Button 10">
              <controlPr defaultSize="0" print="0" autoFill="0" autoPict="0" macro="[0]!searchAndReplace">
                <anchor>
                  <from>
                    <xdr:col>4</xdr:col>
                    <xdr:colOff>69850</xdr:colOff>
                    <xdr:row>1</xdr:row>
                    <xdr:rowOff>101600</xdr:rowOff>
                  </from>
                  <to>
                    <xdr:col>4</xdr:col>
                    <xdr:colOff>762000</xdr:colOff>
                    <xdr:row>1</xdr:row>
                    <xdr:rowOff>584200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0A4302-29B6-41FA-9B87-06C929EFD9E8}">
  <sheetPr codeName="Tabelle10">
    <pageSetUpPr fitToPage="1"/>
  </sheetPr>
  <dimension ref="A1:HI64"/>
  <sheetViews>
    <sheetView topLeftCell="T1" zoomScale="87" zoomScaleNormal="85" workbookViewId="0">
      <pane ySplit="3" topLeftCell="A50" activePane="bottomLeft" state="frozen"/>
      <selection pane="bottomLeft" activeCell="BN54" sqref="BN54"/>
    </sheetView>
  </sheetViews>
  <sheetFormatPr baseColWidth="10" defaultRowHeight="14.5" x14ac:dyDescent="0.35"/>
  <cols>
    <col min="1" max="1" width="11.453125" customWidth="1"/>
    <col min="5" max="5" width="20.453125" customWidth="1"/>
    <col min="7" max="7" width="11.453125" customWidth="1"/>
    <col min="8" max="8" width="21.453125" customWidth="1"/>
    <col min="9" max="9" width="12.453125" customWidth="1"/>
    <col min="10" max="10" width="11.453125" customWidth="1"/>
    <col min="11" max="11" width="14.1796875" customWidth="1"/>
    <col min="12" max="12" width="20.453125" customWidth="1"/>
    <col min="13" max="13" width="11.453125" customWidth="1"/>
    <col min="14" max="16" width="6.54296875" customWidth="1"/>
    <col min="17" max="18" width="11.453125" customWidth="1"/>
    <col min="19" max="26" width="6.54296875" customWidth="1"/>
    <col min="27" max="27" width="6.1796875" customWidth="1"/>
    <col min="28" max="29" width="5.81640625" hidden="1" customWidth="1"/>
    <col min="30" max="31" width="5.81640625" customWidth="1"/>
    <col min="32" max="33" width="5.81640625" hidden="1" customWidth="1"/>
    <col min="34" max="35" width="5.81640625" customWidth="1"/>
    <col min="36" max="36" width="5.81640625" hidden="1" customWidth="1"/>
    <col min="37" max="37" width="5.81640625" customWidth="1"/>
    <col min="38" max="40" width="5.81640625" hidden="1" customWidth="1"/>
    <col min="41" max="41" width="5.81640625" customWidth="1"/>
    <col min="42" max="42" width="5.81640625" hidden="1" customWidth="1"/>
    <col min="43" max="43" width="5.81640625" customWidth="1"/>
    <col min="44" max="44" width="5.81640625" hidden="1" customWidth="1"/>
    <col min="45" max="45" width="9.1796875" bestFit="1" customWidth="1"/>
    <col min="46" max="48" width="5.81640625" customWidth="1"/>
    <col min="49" max="49" width="5.81640625" hidden="1" customWidth="1"/>
    <col min="50" max="50" width="5.81640625" customWidth="1"/>
    <col min="51" max="51" width="5.81640625" hidden="1" customWidth="1"/>
    <col min="52" max="55" width="5.81640625" customWidth="1"/>
    <col min="56" max="57" width="5.81640625" hidden="1" customWidth="1"/>
    <col min="58" max="59" width="5.81640625" customWidth="1"/>
    <col min="60" max="61" width="5.81640625" hidden="1" customWidth="1"/>
    <col min="62" max="63" width="5.81640625" customWidth="1"/>
    <col min="64" max="64" width="5.81640625" hidden="1" customWidth="1"/>
    <col min="65" max="65" width="52.1796875" customWidth="1"/>
  </cols>
  <sheetData>
    <row r="1" spans="1:65" ht="18.75" customHeight="1" thickBot="1" x14ac:dyDescent="0.4">
      <c r="A1" s="6" t="s">
        <v>481</v>
      </c>
      <c r="B1" s="7"/>
      <c r="C1" s="8"/>
      <c r="D1" s="8"/>
      <c r="E1" s="8"/>
      <c r="F1" s="8"/>
      <c r="G1" s="48"/>
      <c r="H1" s="48"/>
      <c r="I1" s="48"/>
      <c r="J1" s="7"/>
      <c r="K1" s="48"/>
      <c r="L1" s="48"/>
      <c r="M1" s="48"/>
      <c r="N1" s="48"/>
      <c r="O1" s="48"/>
      <c r="P1" s="48"/>
      <c r="Q1" s="48"/>
      <c r="R1" s="49"/>
      <c r="S1" s="21"/>
      <c r="T1" s="20"/>
      <c r="U1" s="20"/>
      <c r="V1" s="21"/>
      <c r="W1" s="20"/>
      <c r="X1" s="104"/>
      <c r="Y1" s="104"/>
      <c r="Z1" s="104"/>
      <c r="AA1" s="105" t="s">
        <v>574</v>
      </c>
      <c r="AB1" s="114">
        <v>1</v>
      </c>
      <c r="AC1" s="114">
        <v>2</v>
      </c>
      <c r="AD1" s="114">
        <v>3</v>
      </c>
      <c r="AE1" s="114">
        <v>4</v>
      </c>
      <c r="AF1" s="114">
        <v>5</v>
      </c>
      <c r="AG1" s="114">
        <v>6</v>
      </c>
      <c r="AH1" s="114">
        <v>7</v>
      </c>
      <c r="AI1" s="114">
        <v>8</v>
      </c>
      <c r="AJ1" s="114">
        <v>9</v>
      </c>
      <c r="AK1" s="114">
        <v>10</v>
      </c>
      <c r="AL1" s="114">
        <v>11</v>
      </c>
      <c r="AM1" s="114">
        <v>12</v>
      </c>
      <c r="AN1" s="114">
        <v>13</v>
      </c>
      <c r="AO1" s="114">
        <v>12</v>
      </c>
      <c r="AP1" s="114">
        <v>14</v>
      </c>
      <c r="AQ1" s="114">
        <v>13</v>
      </c>
      <c r="AR1" s="114">
        <v>16</v>
      </c>
      <c r="AS1" s="114">
        <v>15</v>
      </c>
      <c r="AT1" s="114">
        <v>17</v>
      </c>
      <c r="AU1" s="114">
        <v>18</v>
      </c>
      <c r="AV1" s="114">
        <v>19</v>
      </c>
      <c r="AW1" s="114">
        <v>21</v>
      </c>
      <c r="AX1" s="114">
        <v>21</v>
      </c>
      <c r="AY1" s="114">
        <v>23</v>
      </c>
      <c r="AZ1" s="114">
        <v>22</v>
      </c>
      <c r="BA1" s="114">
        <v>23</v>
      </c>
      <c r="BB1" s="114" t="s">
        <v>582</v>
      </c>
      <c r="BC1" s="114">
        <v>24</v>
      </c>
      <c r="BD1" s="114">
        <v>27</v>
      </c>
      <c r="BE1" s="114">
        <v>28</v>
      </c>
      <c r="BF1" s="114">
        <v>26</v>
      </c>
      <c r="BG1" s="114">
        <v>27</v>
      </c>
      <c r="BH1" s="114">
        <v>31</v>
      </c>
      <c r="BI1" s="114">
        <v>32</v>
      </c>
      <c r="BJ1" s="114">
        <v>30</v>
      </c>
      <c r="BK1" s="114">
        <v>51</v>
      </c>
      <c r="BL1" s="114">
        <v>34</v>
      </c>
      <c r="BM1" s="106"/>
    </row>
    <row r="2" spans="1:65" ht="52.5" customHeight="1" thickBot="1" x14ac:dyDescent="0.4">
      <c r="A2" s="9"/>
      <c r="B2" s="10"/>
      <c r="C2" s="8"/>
      <c r="D2" s="48"/>
      <c r="E2" s="49"/>
      <c r="F2" s="143" t="s">
        <v>26</v>
      </c>
      <c r="G2" s="144"/>
      <c r="H2" s="144"/>
      <c r="I2" s="144"/>
      <c r="J2" s="145"/>
      <c r="K2" s="143" t="s">
        <v>25</v>
      </c>
      <c r="L2" s="144"/>
      <c r="M2" s="144"/>
      <c r="N2" s="144"/>
      <c r="O2" s="144"/>
      <c r="P2" s="144"/>
      <c r="Q2" s="144"/>
      <c r="R2" s="144"/>
      <c r="S2" s="143" t="s">
        <v>24</v>
      </c>
      <c r="T2" s="144"/>
      <c r="U2" s="144"/>
      <c r="V2" s="144"/>
      <c r="W2" s="144"/>
      <c r="X2" s="144"/>
      <c r="Y2" s="144"/>
      <c r="Z2" s="145"/>
      <c r="AA2" s="11" t="s">
        <v>23</v>
      </c>
      <c r="AB2" s="149"/>
      <c r="AC2" s="149"/>
      <c r="AD2" s="149"/>
      <c r="AE2" s="149"/>
      <c r="AF2" s="149"/>
      <c r="AG2" s="149"/>
      <c r="AH2" s="149"/>
      <c r="AI2" s="149"/>
      <c r="AJ2" s="149"/>
      <c r="AK2" s="149"/>
      <c r="AL2" s="149"/>
      <c r="AM2" s="149"/>
      <c r="AN2" s="149"/>
      <c r="AO2" s="149"/>
      <c r="AP2" s="149"/>
      <c r="AQ2" s="149"/>
      <c r="AR2" s="149"/>
      <c r="AS2" s="149"/>
      <c r="AT2" s="149"/>
      <c r="AU2" s="149"/>
      <c r="AV2" s="149"/>
      <c r="AW2" s="149"/>
      <c r="AX2" s="149"/>
      <c r="AY2" s="149"/>
      <c r="AZ2" s="149"/>
      <c r="BA2" s="149"/>
      <c r="BB2" s="149"/>
      <c r="BC2" s="149"/>
      <c r="BD2" s="149"/>
      <c r="BE2" s="149"/>
      <c r="BF2" s="149"/>
      <c r="BG2" s="149"/>
      <c r="BH2" s="149"/>
      <c r="BI2" s="149"/>
      <c r="BJ2" s="149"/>
      <c r="BK2" s="149"/>
      <c r="BL2" s="149"/>
      <c r="BM2" s="1" t="s">
        <v>41</v>
      </c>
    </row>
    <row r="3" spans="1:65" ht="201.75" customHeight="1" thickBot="1" x14ac:dyDescent="0.4">
      <c r="A3" s="60" t="s">
        <v>22</v>
      </c>
      <c r="B3" s="61" t="s">
        <v>21</v>
      </c>
      <c r="C3" s="61" t="s">
        <v>20</v>
      </c>
      <c r="D3" s="61" t="s">
        <v>19</v>
      </c>
      <c r="E3" s="62" t="s">
        <v>18</v>
      </c>
      <c r="F3" s="63" t="s">
        <v>27</v>
      </c>
      <c r="G3" s="64" t="s">
        <v>17</v>
      </c>
      <c r="H3" s="64" t="s">
        <v>126</v>
      </c>
      <c r="I3" s="64" t="s">
        <v>16</v>
      </c>
      <c r="J3" s="62" t="s">
        <v>15</v>
      </c>
      <c r="K3" s="65" t="s">
        <v>28</v>
      </c>
      <c r="L3" s="61" t="s">
        <v>29</v>
      </c>
      <c r="M3" s="61" t="s">
        <v>42</v>
      </c>
      <c r="N3" s="61" t="s">
        <v>14</v>
      </c>
      <c r="O3" s="61" t="s">
        <v>13</v>
      </c>
      <c r="P3" s="61" t="s">
        <v>12</v>
      </c>
      <c r="Q3" s="61" t="s">
        <v>11</v>
      </c>
      <c r="R3" s="66" t="s">
        <v>10</v>
      </c>
      <c r="S3" s="67" t="s">
        <v>9</v>
      </c>
      <c r="T3" s="61" t="s">
        <v>8</v>
      </c>
      <c r="U3" s="68" t="s">
        <v>7</v>
      </c>
      <c r="V3" s="61" t="s">
        <v>6</v>
      </c>
      <c r="W3" s="68" t="s">
        <v>5</v>
      </c>
      <c r="X3" s="61" t="s">
        <v>4</v>
      </c>
      <c r="Y3" s="68" t="s">
        <v>3</v>
      </c>
      <c r="Z3" s="66" t="s">
        <v>2</v>
      </c>
      <c r="AA3" s="69" t="s">
        <v>1</v>
      </c>
      <c r="AB3" s="115" t="s">
        <v>576</v>
      </c>
      <c r="AC3" s="115" t="s">
        <v>577</v>
      </c>
      <c r="AD3" s="89" t="s">
        <v>487</v>
      </c>
      <c r="AE3" s="89" t="s">
        <v>575</v>
      </c>
      <c r="AF3" s="108" t="s">
        <v>211</v>
      </c>
      <c r="AG3" s="108" t="s">
        <v>320</v>
      </c>
      <c r="AH3" s="89" t="s">
        <v>316</v>
      </c>
      <c r="AI3" s="89" t="s">
        <v>337</v>
      </c>
      <c r="AJ3" s="108" t="s">
        <v>213</v>
      </c>
      <c r="AK3" s="89" t="s">
        <v>502</v>
      </c>
      <c r="AL3" s="108" t="s">
        <v>260</v>
      </c>
      <c r="AM3" s="108" t="s">
        <v>411</v>
      </c>
      <c r="AN3" s="108" t="s">
        <v>507</v>
      </c>
      <c r="AO3" s="89" t="s">
        <v>307</v>
      </c>
      <c r="AP3" s="112" t="s">
        <v>509</v>
      </c>
      <c r="AQ3" s="89" t="s">
        <v>311</v>
      </c>
      <c r="AR3" s="108" t="s">
        <v>289</v>
      </c>
      <c r="AS3" s="89" t="s">
        <v>269</v>
      </c>
      <c r="AT3" s="89" t="s">
        <v>472</v>
      </c>
      <c r="AU3" s="89" t="s">
        <v>228</v>
      </c>
      <c r="AV3" s="89" t="s">
        <v>471</v>
      </c>
      <c r="AW3" s="108" t="s">
        <v>212</v>
      </c>
      <c r="AX3" s="89" t="s">
        <v>345</v>
      </c>
      <c r="AY3" s="108" t="s">
        <v>530</v>
      </c>
      <c r="AZ3" s="89" t="s">
        <v>591</v>
      </c>
      <c r="BA3" s="89" t="s">
        <v>298</v>
      </c>
      <c r="BB3" s="89" t="s">
        <v>580</v>
      </c>
      <c r="BC3" s="89" t="s">
        <v>285</v>
      </c>
      <c r="BD3" s="108" t="s">
        <v>210</v>
      </c>
      <c r="BE3" s="108" t="s">
        <v>464</v>
      </c>
      <c r="BF3" s="89" t="s">
        <v>468</v>
      </c>
      <c r="BG3" s="89" t="s">
        <v>249</v>
      </c>
      <c r="BH3" s="108" t="s">
        <v>306</v>
      </c>
      <c r="BI3" s="108" t="s">
        <v>321</v>
      </c>
      <c r="BJ3" s="89" t="s">
        <v>229</v>
      </c>
      <c r="BK3" s="89" t="s">
        <v>586</v>
      </c>
      <c r="BL3" s="108" t="s">
        <v>573</v>
      </c>
      <c r="BM3" s="47" t="s">
        <v>588</v>
      </c>
    </row>
    <row r="4" spans="1:65" s="2" customFormat="1" ht="24.75" customHeight="1" x14ac:dyDescent="0.3">
      <c r="A4" s="70">
        <v>1</v>
      </c>
      <c r="B4" s="71">
        <v>1</v>
      </c>
      <c r="C4" s="72" t="s">
        <v>482</v>
      </c>
      <c r="D4" s="73" t="s">
        <v>498</v>
      </c>
      <c r="E4" s="72" t="s">
        <v>483</v>
      </c>
      <c r="F4" s="74" t="s">
        <v>170</v>
      </c>
      <c r="G4" s="72">
        <v>1</v>
      </c>
      <c r="H4" s="74" t="s">
        <v>70</v>
      </c>
      <c r="I4" s="72" t="s">
        <v>78</v>
      </c>
      <c r="J4" s="72" t="s">
        <v>124</v>
      </c>
      <c r="K4" s="74" t="s">
        <v>141</v>
      </c>
      <c r="L4" s="74" t="s">
        <v>69</v>
      </c>
      <c r="M4" s="72" t="s">
        <v>459</v>
      </c>
      <c r="N4" s="75" t="s">
        <v>484</v>
      </c>
      <c r="O4" s="72"/>
      <c r="P4" s="75" t="s">
        <v>484</v>
      </c>
      <c r="Q4" s="72" t="s">
        <v>69</v>
      </c>
      <c r="R4" s="72" t="s">
        <v>69</v>
      </c>
      <c r="S4" s="75"/>
      <c r="T4" s="72"/>
      <c r="U4" s="75"/>
      <c r="V4" s="72" t="s">
        <v>484</v>
      </c>
      <c r="W4" s="75" t="s">
        <v>94</v>
      </c>
      <c r="X4" s="72" t="s">
        <v>51</v>
      </c>
      <c r="Y4" s="75"/>
      <c r="Z4" s="76"/>
      <c r="AA4" s="77" t="s">
        <v>485</v>
      </c>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88"/>
      <c r="BJ4" s="88"/>
      <c r="BK4" s="88"/>
      <c r="BL4" s="88"/>
      <c r="BM4" s="59"/>
    </row>
    <row r="5" spans="1:65" s="2" customFormat="1" ht="24.75" customHeight="1" x14ac:dyDescent="0.3">
      <c r="A5" s="90">
        <v>2</v>
      </c>
      <c r="B5" s="91">
        <v>2</v>
      </c>
      <c r="C5" s="92" t="s">
        <v>482</v>
      </c>
      <c r="D5" s="93" t="s">
        <v>498</v>
      </c>
      <c r="E5" s="92" t="s">
        <v>483</v>
      </c>
      <c r="F5" s="94" t="s">
        <v>170</v>
      </c>
      <c r="G5" s="92">
        <v>1</v>
      </c>
      <c r="H5" s="94" t="s">
        <v>70</v>
      </c>
      <c r="I5" s="92" t="s">
        <v>78</v>
      </c>
      <c r="J5" s="92" t="s">
        <v>123</v>
      </c>
      <c r="K5" s="94" t="s">
        <v>141</v>
      </c>
      <c r="L5" s="94" t="s">
        <v>69</v>
      </c>
      <c r="M5" s="92" t="s">
        <v>459</v>
      </c>
      <c r="N5" s="95" t="s">
        <v>484</v>
      </c>
      <c r="O5" s="92"/>
      <c r="P5" s="95" t="s">
        <v>484</v>
      </c>
      <c r="Q5" s="92" t="s">
        <v>69</v>
      </c>
      <c r="R5" s="92" t="s">
        <v>69</v>
      </c>
      <c r="S5" s="95"/>
      <c r="T5" s="92"/>
      <c r="U5" s="95"/>
      <c r="V5" s="92" t="s">
        <v>484</v>
      </c>
      <c r="W5" s="95" t="s">
        <v>94</v>
      </c>
      <c r="X5" s="92" t="s">
        <v>51</v>
      </c>
      <c r="Y5" s="95"/>
      <c r="Z5" s="96"/>
      <c r="AA5" s="97" t="s">
        <v>485</v>
      </c>
      <c r="AB5" s="98"/>
      <c r="AC5" s="98"/>
      <c r="AD5" s="98"/>
      <c r="AE5" s="98"/>
      <c r="AF5" s="98"/>
      <c r="AG5" s="98"/>
      <c r="AH5" s="98"/>
      <c r="AI5" s="98"/>
      <c r="AJ5" s="98"/>
      <c r="AK5" s="98"/>
      <c r="AL5" s="98"/>
      <c r="AM5" s="98"/>
      <c r="AN5" s="98"/>
      <c r="AO5" s="98"/>
      <c r="AP5" s="98"/>
      <c r="AQ5" s="98"/>
      <c r="AR5" s="98"/>
      <c r="AS5" s="98"/>
      <c r="AT5" s="98"/>
      <c r="AU5" s="98"/>
      <c r="AV5" s="98"/>
      <c r="AW5" s="98"/>
      <c r="AX5" s="98"/>
      <c r="AY5" s="98"/>
      <c r="AZ5" s="98"/>
      <c r="BA5" s="98"/>
      <c r="BB5" s="98"/>
      <c r="BC5" s="98"/>
      <c r="BD5" s="98"/>
      <c r="BE5" s="98"/>
      <c r="BF5" s="98"/>
      <c r="BG5" s="98"/>
      <c r="BH5" s="98"/>
      <c r="BI5" s="98"/>
      <c r="BJ5" s="98"/>
      <c r="BK5" s="98"/>
      <c r="BL5" s="98"/>
      <c r="BM5" s="99"/>
    </row>
    <row r="6" spans="1:65" s="2" customFormat="1" ht="24.75" customHeight="1" x14ac:dyDescent="0.3">
      <c r="A6" s="90">
        <v>3</v>
      </c>
      <c r="B6" s="91">
        <v>3</v>
      </c>
      <c r="C6" s="92" t="s">
        <v>488</v>
      </c>
      <c r="D6" s="93" t="s">
        <v>498</v>
      </c>
      <c r="E6" s="92" t="s">
        <v>483</v>
      </c>
      <c r="F6" s="94" t="s">
        <v>166</v>
      </c>
      <c r="G6" s="92">
        <v>1</v>
      </c>
      <c r="H6" s="94" t="s">
        <v>70</v>
      </c>
      <c r="I6" s="92" t="s">
        <v>68</v>
      </c>
      <c r="J6" s="92" t="s">
        <v>123</v>
      </c>
      <c r="K6" s="94" t="s">
        <v>128</v>
      </c>
      <c r="L6" s="94" t="s">
        <v>69</v>
      </c>
      <c r="M6" s="92" t="s">
        <v>460</v>
      </c>
      <c r="N6" s="95"/>
      <c r="O6" s="92"/>
      <c r="P6" s="95"/>
      <c r="Q6" s="92" t="s">
        <v>69</v>
      </c>
      <c r="R6" s="92" t="s">
        <v>69</v>
      </c>
      <c r="S6" s="95" t="s">
        <v>484</v>
      </c>
      <c r="T6" s="92"/>
      <c r="U6" s="95"/>
      <c r="V6" s="92" t="s">
        <v>484</v>
      </c>
      <c r="W6" s="95" t="s">
        <v>94</v>
      </c>
      <c r="X6" s="92" t="s">
        <v>69</v>
      </c>
      <c r="Y6" s="95"/>
      <c r="Z6" s="96"/>
      <c r="AA6" s="97" t="s">
        <v>489</v>
      </c>
      <c r="AB6" s="92"/>
      <c r="AC6" s="92"/>
      <c r="AD6" s="98">
        <v>0</v>
      </c>
      <c r="AE6" s="98"/>
      <c r="AF6" s="98"/>
      <c r="AG6" s="98"/>
      <c r="AH6" s="98"/>
      <c r="AI6" s="98"/>
      <c r="AJ6" s="98"/>
      <c r="AK6" s="98"/>
      <c r="AL6" s="98"/>
      <c r="AM6" s="98"/>
      <c r="AN6" s="98"/>
      <c r="AO6" s="98"/>
      <c r="AP6" s="98"/>
      <c r="AQ6" s="98"/>
      <c r="AR6" s="98"/>
      <c r="AS6" s="98"/>
      <c r="AT6" s="98"/>
      <c r="AU6" s="98"/>
      <c r="AV6" s="98"/>
      <c r="AW6" s="98"/>
      <c r="AX6" s="98"/>
      <c r="AY6" s="98"/>
      <c r="AZ6" s="98"/>
      <c r="BA6" s="98"/>
      <c r="BB6" s="98"/>
      <c r="BC6" s="98"/>
      <c r="BD6" s="98"/>
      <c r="BE6" s="98"/>
      <c r="BF6" s="98"/>
      <c r="BG6" s="98"/>
      <c r="BH6" s="98"/>
      <c r="BI6" s="98"/>
      <c r="BJ6" s="98"/>
      <c r="BK6" s="98"/>
      <c r="BL6" s="98"/>
      <c r="BM6" s="99"/>
    </row>
    <row r="7" spans="1:65" s="2" customFormat="1" ht="24.75" customHeight="1" x14ac:dyDescent="0.3">
      <c r="A7" s="90">
        <v>4</v>
      </c>
      <c r="B7" s="91">
        <v>4</v>
      </c>
      <c r="C7" s="92" t="s">
        <v>488</v>
      </c>
      <c r="D7" s="93" t="s">
        <v>498</v>
      </c>
      <c r="E7" s="92" t="s">
        <v>491</v>
      </c>
      <c r="F7" s="94" t="s">
        <v>172</v>
      </c>
      <c r="G7" s="92">
        <v>2</v>
      </c>
      <c r="H7" s="94" t="s">
        <v>39</v>
      </c>
      <c r="I7" s="92" t="s">
        <v>68</v>
      </c>
      <c r="J7" s="92" t="s">
        <v>83</v>
      </c>
      <c r="K7" s="94" t="s">
        <v>142</v>
      </c>
      <c r="L7" s="94" t="s">
        <v>490</v>
      </c>
      <c r="M7" s="92" t="s">
        <v>459</v>
      </c>
      <c r="N7" s="95" t="s">
        <v>484</v>
      </c>
      <c r="O7" s="92"/>
      <c r="P7" s="95"/>
      <c r="Q7" s="92" t="s">
        <v>69</v>
      </c>
      <c r="R7" s="92" t="s">
        <v>69</v>
      </c>
      <c r="S7" s="95" t="s">
        <v>484</v>
      </c>
      <c r="T7" s="92"/>
      <c r="U7" s="95"/>
      <c r="V7" s="92" t="s">
        <v>484</v>
      </c>
      <c r="W7" s="95" t="s">
        <v>397</v>
      </c>
      <c r="X7" s="92" t="s">
        <v>50</v>
      </c>
      <c r="Y7" s="95" t="s">
        <v>484</v>
      </c>
      <c r="Z7" s="96"/>
      <c r="AA7" s="97" t="s">
        <v>489</v>
      </c>
      <c r="AB7" s="92"/>
      <c r="AC7" s="92"/>
      <c r="AD7" s="92"/>
      <c r="AE7" s="98">
        <v>0</v>
      </c>
      <c r="AF7" s="98">
        <v>1</v>
      </c>
      <c r="AG7" s="98"/>
      <c r="AH7" s="98"/>
      <c r="AI7" s="98"/>
      <c r="AJ7" s="98"/>
      <c r="AK7" s="98"/>
      <c r="AL7" s="98"/>
      <c r="AM7" s="98"/>
      <c r="AN7" s="98"/>
      <c r="AO7" s="98"/>
      <c r="AP7" s="98"/>
      <c r="AQ7" s="98"/>
      <c r="AR7" s="98"/>
      <c r="AS7" s="98"/>
      <c r="AT7" s="98"/>
      <c r="AU7" s="98"/>
      <c r="AV7" s="98"/>
      <c r="AW7" s="98"/>
      <c r="AX7" s="98"/>
      <c r="AY7" s="98"/>
      <c r="AZ7" s="98"/>
      <c r="BA7" s="98"/>
      <c r="BB7" s="98"/>
      <c r="BC7" s="98"/>
      <c r="BD7" s="98"/>
      <c r="BE7" s="98"/>
      <c r="BF7" s="98"/>
      <c r="BG7" s="98"/>
      <c r="BH7" s="98"/>
      <c r="BI7" s="98"/>
      <c r="BJ7" s="98"/>
      <c r="BK7" s="98"/>
      <c r="BL7" s="98"/>
      <c r="BM7" s="99" t="s">
        <v>492</v>
      </c>
    </row>
    <row r="8" spans="1:65" s="2" customFormat="1" ht="24.75" customHeight="1" x14ac:dyDescent="0.3">
      <c r="A8" s="90">
        <v>5</v>
      </c>
      <c r="B8" s="91">
        <v>5</v>
      </c>
      <c r="C8" s="92" t="s">
        <v>488</v>
      </c>
      <c r="D8" s="93" t="s">
        <v>498</v>
      </c>
      <c r="E8" s="92" t="s">
        <v>483</v>
      </c>
      <c r="F8" s="94" t="s">
        <v>170</v>
      </c>
      <c r="G8" s="92">
        <v>1</v>
      </c>
      <c r="H8" s="94" t="s">
        <v>70</v>
      </c>
      <c r="I8" s="92" t="s">
        <v>78</v>
      </c>
      <c r="J8" s="92" t="s">
        <v>123</v>
      </c>
      <c r="K8" s="94" t="s">
        <v>141</v>
      </c>
      <c r="L8" s="94" t="s">
        <v>69</v>
      </c>
      <c r="M8" s="92" t="s">
        <v>459</v>
      </c>
      <c r="N8" s="95" t="s">
        <v>484</v>
      </c>
      <c r="O8" s="92"/>
      <c r="P8" s="95"/>
      <c r="Q8" s="92" t="s">
        <v>69</v>
      </c>
      <c r="R8" s="92" t="s">
        <v>69</v>
      </c>
      <c r="S8" s="95" t="s">
        <v>484</v>
      </c>
      <c r="T8" s="92"/>
      <c r="U8" s="95"/>
      <c r="V8" s="92" t="s">
        <v>484</v>
      </c>
      <c r="W8" s="95" t="s">
        <v>94</v>
      </c>
      <c r="X8" s="92" t="s">
        <v>51</v>
      </c>
      <c r="Y8" s="95"/>
      <c r="Z8" s="96"/>
      <c r="AA8" s="97" t="s">
        <v>485</v>
      </c>
      <c r="AB8" s="92"/>
      <c r="AC8" s="92"/>
      <c r="AD8" s="92"/>
      <c r="AE8" s="92"/>
      <c r="AF8" s="98"/>
      <c r="AG8" s="98"/>
      <c r="AH8" s="98"/>
      <c r="AI8" s="98"/>
      <c r="AJ8" s="98"/>
      <c r="AK8" s="98"/>
      <c r="AL8" s="98"/>
      <c r="AM8" s="98"/>
      <c r="AN8" s="98"/>
      <c r="AO8" s="98"/>
      <c r="AP8" s="98"/>
      <c r="AQ8" s="98"/>
      <c r="AR8" s="98"/>
      <c r="AS8" s="98"/>
      <c r="AT8" s="98"/>
      <c r="AU8" s="98"/>
      <c r="AV8" s="98"/>
      <c r="AW8" s="98"/>
      <c r="AX8" s="98"/>
      <c r="AY8" s="98"/>
      <c r="AZ8" s="98"/>
      <c r="BA8" s="98"/>
      <c r="BB8" s="98"/>
      <c r="BC8" s="98"/>
      <c r="BD8" s="98"/>
      <c r="BE8" s="98"/>
      <c r="BF8" s="98"/>
      <c r="BG8" s="98"/>
      <c r="BH8" s="98"/>
      <c r="BI8" s="98"/>
      <c r="BJ8" s="98"/>
      <c r="BK8" s="98"/>
      <c r="BL8" s="98"/>
      <c r="BM8" s="99"/>
    </row>
    <row r="9" spans="1:65" s="2" customFormat="1" ht="24.75" customHeight="1" x14ac:dyDescent="0.3">
      <c r="A9" s="90">
        <v>6</v>
      </c>
      <c r="B9" s="91">
        <v>6</v>
      </c>
      <c r="C9" s="92" t="s">
        <v>493</v>
      </c>
      <c r="D9" s="93" t="s">
        <v>498</v>
      </c>
      <c r="E9" s="92" t="s">
        <v>501</v>
      </c>
      <c r="F9" s="94" t="s">
        <v>172</v>
      </c>
      <c r="G9" s="92">
        <v>2</v>
      </c>
      <c r="H9" s="94" t="s">
        <v>39</v>
      </c>
      <c r="I9" s="92" t="s">
        <v>68</v>
      </c>
      <c r="J9" s="92" t="s">
        <v>83</v>
      </c>
      <c r="K9" s="94" t="s">
        <v>142</v>
      </c>
      <c r="L9" s="94" t="s">
        <v>490</v>
      </c>
      <c r="M9" s="92" t="s">
        <v>459</v>
      </c>
      <c r="N9" s="95" t="s">
        <v>484</v>
      </c>
      <c r="O9" s="92"/>
      <c r="P9" s="95"/>
      <c r="Q9" s="92" t="s">
        <v>69</v>
      </c>
      <c r="R9" s="92" t="s">
        <v>69</v>
      </c>
      <c r="S9" s="95" t="s">
        <v>484</v>
      </c>
      <c r="T9" s="92" t="s">
        <v>484</v>
      </c>
      <c r="U9" s="95"/>
      <c r="V9" s="92" t="s">
        <v>484</v>
      </c>
      <c r="W9" s="95" t="s">
        <v>397</v>
      </c>
      <c r="X9" s="92" t="s">
        <v>50</v>
      </c>
      <c r="Y9" s="95" t="s">
        <v>484</v>
      </c>
      <c r="Z9" s="96"/>
      <c r="AA9" s="97" t="s">
        <v>489</v>
      </c>
      <c r="AB9" s="92"/>
      <c r="AC9" s="92"/>
      <c r="AD9" s="92"/>
      <c r="AE9" s="92"/>
      <c r="AF9" s="98">
        <v>1</v>
      </c>
      <c r="AG9" s="98"/>
      <c r="AH9" s="98"/>
      <c r="AI9" s="98"/>
      <c r="AJ9" s="98"/>
      <c r="AK9" s="98"/>
      <c r="AL9" s="98"/>
      <c r="AM9" s="98"/>
      <c r="AN9" s="98"/>
      <c r="AO9" s="98"/>
      <c r="AP9" s="98"/>
      <c r="AQ9" s="98"/>
      <c r="AR9" s="98"/>
      <c r="AS9" s="98"/>
      <c r="AT9" s="98"/>
      <c r="AU9" s="98"/>
      <c r="AV9" s="98"/>
      <c r="AW9" s="98"/>
      <c r="AX9" s="98"/>
      <c r="AY9" s="98"/>
      <c r="AZ9" s="98"/>
      <c r="BA9" s="98"/>
      <c r="BB9" s="98"/>
      <c r="BC9" s="98"/>
      <c r="BD9" s="98"/>
      <c r="BE9" s="98"/>
      <c r="BF9" s="98"/>
      <c r="BG9" s="98"/>
      <c r="BH9" s="98"/>
      <c r="BI9" s="98"/>
      <c r="BJ9" s="98"/>
      <c r="BK9" s="98"/>
      <c r="BL9" s="98"/>
      <c r="BM9" s="99" t="s">
        <v>494</v>
      </c>
    </row>
    <row r="10" spans="1:65" s="2" customFormat="1" ht="24.75" customHeight="1" x14ac:dyDescent="0.3">
      <c r="A10" s="90">
        <v>7</v>
      </c>
      <c r="B10" s="91">
        <v>7</v>
      </c>
      <c r="C10" s="92" t="s">
        <v>493</v>
      </c>
      <c r="D10" s="93" t="s">
        <v>498</v>
      </c>
      <c r="E10" s="92" t="s">
        <v>501</v>
      </c>
      <c r="F10" s="94" t="s">
        <v>172</v>
      </c>
      <c r="G10" s="92">
        <v>2</v>
      </c>
      <c r="H10" s="94" t="s">
        <v>39</v>
      </c>
      <c r="I10" s="92" t="s">
        <v>68</v>
      </c>
      <c r="J10" s="92" t="s">
        <v>83</v>
      </c>
      <c r="K10" s="94" t="s">
        <v>142</v>
      </c>
      <c r="L10" s="94" t="s">
        <v>490</v>
      </c>
      <c r="M10" s="92" t="s">
        <v>459</v>
      </c>
      <c r="N10" s="95" t="s">
        <v>484</v>
      </c>
      <c r="O10" s="92"/>
      <c r="P10" s="95"/>
      <c r="Q10" s="92" t="s">
        <v>69</v>
      </c>
      <c r="R10" s="92" t="s">
        <v>69</v>
      </c>
      <c r="S10" s="95" t="s">
        <v>484</v>
      </c>
      <c r="T10" s="92" t="s">
        <v>484</v>
      </c>
      <c r="U10" s="95"/>
      <c r="V10" s="92" t="s">
        <v>484</v>
      </c>
      <c r="W10" s="95" t="s">
        <v>397</v>
      </c>
      <c r="X10" s="92" t="s">
        <v>51</v>
      </c>
      <c r="Y10" s="95" t="s">
        <v>484</v>
      </c>
      <c r="Z10" s="96"/>
      <c r="AA10" s="97" t="s">
        <v>489</v>
      </c>
      <c r="AB10" s="92"/>
      <c r="AC10" s="92"/>
      <c r="AD10" s="92"/>
      <c r="AE10" s="92"/>
      <c r="AF10" s="98">
        <v>1</v>
      </c>
      <c r="AG10" s="98"/>
      <c r="AH10" s="98"/>
      <c r="AI10" s="98"/>
      <c r="AJ10" s="98"/>
      <c r="AK10" s="98"/>
      <c r="AL10" s="98"/>
      <c r="AM10" s="98"/>
      <c r="AN10" s="98"/>
      <c r="AO10" s="98"/>
      <c r="AP10" s="98"/>
      <c r="AQ10" s="98"/>
      <c r="AR10" s="98"/>
      <c r="AS10" s="98"/>
      <c r="AT10" s="98"/>
      <c r="AU10" s="98"/>
      <c r="AV10" s="98"/>
      <c r="AW10" s="98"/>
      <c r="AX10" s="98"/>
      <c r="AY10" s="98"/>
      <c r="AZ10" s="98"/>
      <c r="BA10" s="98"/>
      <c r="BB10" s="98"/>
      <c r="BC10" s="98"/>
      <c r="BD10" s="98"/>
      <c r="BE10" s="98"/>
      <c r="BF10" s="98"/>
      <c r="BG10" s="98"/>
      <c r="BH10" s="98"/>
      <c r="BI10" s="98"/>
      <c r="BJ10" s="98"/>
      <c r="BK10" s="98"/>
      <c r="BL10" s="98"/>
      <c r="BM10" s="99"/>
    </row>
    <row r="11" spans="1:65" s="2" customFormat="1" ht="37.5" x14ac:dyDescent="0.3">
      <c r="A11" s="90">
        <v>8</v>
      </c>
      <c r="B11" s="91">
        <v>8</v>
      </c>
      <c r="C11" s="92" t="s">
        <v>493</v>
      </c>
      <c r="D11" s="93" t="s">
        <v>498</v>
      </c>
      <c r="E11" s="92" t="s">
        <v>500</v>
      </c>
      <c r="F11" s="94" t="s">
        <v>167</v>
      </c>
      <c r="G11" s="92">
        <v>1</v>
      </c>
      <c r="H11" s="94" t="s">
        <v>39</v>
      </c>
      <c r="I11" s="92" t="s">
        <v>76</v>
      </c>
      <c r="J11" s="92" t="s">
        <v>124</v>
      </c>
      <c r="K11" s="94" t="s">
        <v>182</v>
      </c>
      <c r="L11" s="94" t="s">
        <v>328</v>
      </c>
      <c r="M11" s="92" t="s">
        <v>459</v>
      </c>
      <c r="N11" s="95"/>
      <c r="O11" s="92" t="s">
        <v>484</v>
      </c>
      <c r="P11" s="95"/>
      <c r="Q11" s="92" t="s">
        <v>69</v>
      </c>
      <c r="R11" s="92" t="s">
        <v>69</v>
      </c>
      <c r="S11" s="95"/>
      <c r="T11" s="92"/>
      <c r="U11" s="95"/>
      <c r="V11" s="92" t="s">
        <v>484</v>
      </c>
      <c r="W11" s="95" t="s">
        <v>94</v>
      </c>
      <c r="X11" s="92" t="s">
        <v>100</v>
      </c>
      <c r="Y11" s="95"/>
      <c r="Z11" s="96"/>
      <c r="AA11" s="97" t="s">
        <v>489</v>
      </c>
      <c r="AB11" s="92"/>
      <c r="AC11" s="92"/>
      <c r="AD11" s="92"/>
      <c r="AE11" s="92"/>
      <c r="AF11" s="92"/>
      <c r="AG11" s="92">
        <v>1</v>
      </c>
      <c r="AH11" s="98">
        <v>0</v>
      </c>
      <c r="AI11" s="98">
        <v>0</v>
      </c>
      <c r="AJ11" s="98"/>
      <c r="AK11" s="98"/>
      <c r="AL11" s="98"/>
      <c r="AM11" s="98"/>
      <c r="AN11" s="98"/>
      <c r="AO11" s="98"/>
      <c r="AP11" s="98"/>
      <c r="AQ11" s="98"/>
      <c r="AR11" s="98"/>
      <c r="AS11" s="98"/>
      <c r="AT11" s="98"/>
      <c r="AU11" s="98"/>
      <c r="AV11" s="98"/>
      <c r="AW11" s="98"/>
      <c r="AX11" s="98"/>
      <c r="AY11" s="98"/>
      <c r="AZ11" s="98">
        <v>0</v>
      </c>
      <c r="BA11" s="98"/>
      <c r="BB11" s="98"/>
      <c r="BC11" s="98"/>
      <c r="BD11" s="98"/>
      <c r="BE11" s="98"/>
      <c r="BF11" s="98"/>
      <c r="BG11" s="98"/>
      <c r="BH11" s="98"/>
      <c r="BI11" s="98"/>
      <c r="BJ11" s="98"/>
      <c r="BK11" s="98"/>
      <c r="BL11" s="98"/>
      <c r="BM11" s="99" t="s">
        <v>534</v>
      </c>
    </row>
    <row r="12" spans="1:65" s="2" customFormat="1" ht="24.75" customHeight="1" x14ac:dyDescent="0.3">
      <c r="A12" s="90">
        <v>9</v>
      </c>
      <c r="B12" s="91">
        <v>9</v>
      </c>
      <c r="C12" s="92" t="s">
        <v>493</v>
      </c>
      <c r="D12" s="93" t="s">
        <v>498</v>
      </c>
      <c r="E12" s="92">
        <v>219</v>
      </c>
      <c r="F12" s="94" t="s">
        <v>165</v>
      </c>
      <c r="G12" s="92">
        <v>1</v>
      </c>
      <c r="H12" s="94" t="s">
        <v>39</v>
      </c>
      <c r="I12" s="92" t="s">
        <v>68</v>
      </c>
      <c r="J12" s="92" t="s">
        <v>124</v>
      </c>
      <c r="K12" s="103" t="s">
        <v>572</v>
      </c>
      <c r="L12" s="94" t="s">
        <v>69</v>
      </c>
      <c r="M12" s="92" t="s">
        <v>532</v>
      </c>
      <c r="N12" s="95"/>
      <c r="O12" s="92" t="s">
        <v>484</v>
      </c>
      <c r="P12" s="95"/>
      <c r="Q12" s="92" t="s">
        <v>69</v>
      </c>
      <c r="R12" s="92" t="s">
        <v>147</v>
      </c>
      <c r="S12" s="95"/>
      <c r="T12" s="92"/>
      <c r="U12" s="95"/>
      <c r="V12" s="92" t="s">
        <v>484</v>
      </c>
      <c r="W12" s="95" t="s">
        <v>93</v>
      </c>
      <c r="X12" s="92" t="s">
        <v>100</v>
      </c>
      <c r="Y12" s="95"/>
      <c r="Z12" s="96"/>
      <c r="AA12" s="97" t="s">
        <v>489</v>
      </c>
      <c r="AB12" s="92"/>
      <c r="AC12" s="92"/>
      <c r="AD12" s="92"/>
      <c r="AE12" s="92"/>
      <c r="AF12" s="92"/>
      <c r="AG12" s="92"/>
      <c r="AH12" s="92"/>
      <c r="AI12" s="98"/>
      <c r="AJ12" s="98"/>
      <c r="AK12" s="98"/>
      <c r="AL12" s="98"/>
      <c r="AM12" s="98"/>
      <c r="AN12" s="98"/>
      <c r="AO12" s="98"/>
      <c r="AP12" s="98"/>
      <c r="AQ12" s="98"/>
      <c r="AR12" s="98"/>
      <c r="AS12" s="98"/>
      <c r="AT12" s="98"/>
      <c r="AU12" s="98"/>
      <c r="AV12" s="98"/>
      <c r="AW12" s="98"/>
      <c r="AX12" s="98"/>
      <c r="AY12" s="98"/>
      <c r="AZ12" s="98">
        <v>0</v>
      </c>
      <c r="BA12" s="98"/>
      <c r="BB12" s="98"/>
      <c r="BC12" s="98"/>
      <c r="BD12" s="98"/>
      <c r="BE12" s="98"/>
      <c r="BF12" s="98"/>
      <c r="BG12" s="98"/>
      <c r="BH12" s="98"/>
      <c r="BI12" s="98"/>
      <c r="BJ12" s="98"/>
      <c r="BK12" s="98"/>
      <c r="BL12" s="98"/>
      <c r="BM12" s="99" t="s">
        <v>533</v>
      </c>
    </row>
    <row r="13" spans="1:65" s="2" customFormat="1" ht="48.75" customHeight="1" x14ac:dyDescent="0.3">
      <c r="A13" s="90">
        <v>10</v>
      </c>
      <c r="B13" s="91">
        <v>10</v>
      </c>
      <c r="C13" s="92" t="s">
        <v>493</v>
      </c>
      <c r="D13" s="93" t="s">
        <v>498</v>
      </c>
      <c r="E13" s="92" t="s">
        <v>499</v>
      </c>
      <c r="F13" s="94" t="s">
        <v>175</v>
      </c>
      <c r="G13" s="92">
        <v>2</v>
      </c>
      <c r="H13" s="94" t="s">
        <v>71</v>
      </c>
      <c r="I13" s="92" t="s">
        <v>154</v>
      </c>
      <c r="J13" s="92" t="s">
        <v>83</v>
      </c>
      <c r="K13" s="94" t="s">
        <v>129</v>
      </c>
      <c r="L13" s="94" t="s">
        <v>496</v>
      </c>
      <c r="M13" s="92" t="s">
        <v>497</v>
      </c>
      <c r="N13" s="95" t="s">
        <v>484</v>
      </c>
      <c r="O13" s="92"/>
      <c r="P13" s="95"/>
      <c r="Q13" s="92" t="s">
        <v>69</v>
      </c>
      <c r="R13" s="92" t="s">
        <v>69</v>
      </c>
      <c r="S13" s="95" t="s">
        <v>484</v>
      </c>
      <c r="T13" s="92" t="s">
        <v>484</v>
      </c>
      <c r="U13" s="95"/>
      <c r="V13" s="92" t="s">
        <v>484</v>
      </c>
      <c r="W13" s="95" t="s">
        <v>93</v>
      </c>
      <c r="X13" s="92" t="s">
        <v>49</v>
      </c>
      <c r="Y13" s="95" t="s">
        <v>484</v>
      </c>
      <c r="Z13" s="96" t="s">
        <v>484</v>
      </c>
      <c r="AA13" s="97" t="s">
        <v>489</v>
      </c>
      <c r="AB13" s="92"/>
      <c r="AC13" s="92"/>
      <c r="AD13" s="92"/>
      <c r="AE13" s="92"/>
      <c r="AF13" s="92"/>
      <c r="AG13" s="92"/>
      <c r="AH13" s="92">
        <v>0</v>
      </c>
      <c r="AI13" s="92">
        <v>0</v>
      </c>
      <c r="AJ13" s="92">
        <v>0</v>
      </c>
      <c r="AK13" s="92">
        <v>0</v>
      </c>
      <c r="AL13" s="92">
        <v>0</v>
      </c>
      <c r="AM13" s="92">
        <v>0</v>
      </c>
      <c r="AN13" s="92">
        <v>0</v>
      </c>
      <c r="AO13" s="92">
        <v>0</v>
      </c>
      <c r="AP13" s="98"/>
      <c r="AQ13" s="98"/>
      <c r="AR13" s="98"/>
      <c r="AS13" s="98"/>
      <c r="AT13" s="98"/>
      <c r="AU13" s="98"/>
      <c r="AV13" s="98"/>
      <c r="AW13" s="98"/>
      <c r="AX13" s="98"/>
      <c r="AY13" s="98"/>
      <c r="AZ13" s="98"/>
      <c r="BA13" s="98"/>
      <c r="BB13" s="98"/>
      <c r="BC13" s="98"/>
      <c r="BD13" s="98"/>
      <c r="BE13" s="98"/>
      <c r="BF13" s="98"/>
      <c r="BG13" s="98"/>
      <c r="BH13" s="98"/>
      <c r="BI13" s="98"/>
      <c r="BJ13" s="98"/>
      <c r="BK13" s="98"/>
      <c r="BL13" s="98"/>
      <c r="BM13" s="99" t="s">
        <v>584</v>
      </c>
    </row>
    <row r="14" spans="1:65" s="2" customFormat="1" ht="24.75" customHeight="1" x14ac:dyDescent="0.3">
      <c r="A14" s="90">
        <v>11</v>
      </c>
      <c r="B14" s="91">
        <v>11</v>
      </c>
      <c r="C14" s="92" t="s">
        <v>493</v>
      </c>
      <c r="D14" s="93" t="s">
        <v>498</v>
      </c>
      <c r="E14" s="92" t="s">
        <v>499</v>
      </c>
      <c r="F14" s="94" t="s">
        <v>175</v>
      </c>
      <c r="G14" s="92">
        <v>2</v>
      </c>
      <c r="H14" s="94" t="s">
        <v>71</v>
      </c>
      <c r="I14" s="92" t="s">
        <v>154</v>
      </c>
      <c r="J14" s="92" t="s">
        <v>83</v>
      </c>
      <c r="K14" s="94" t="s">
        <v>129</v>
      </c>
      <c r="L14" s="94" t="s">
        <v>496</v>
      </c>
      <c r="M14" s="92" t="s">
        <v>497</v>
      </c>
      <c r="N14" s="95" t="s">
        <v>484</v>
      </c>
      <c r="O14" s="92"/>
      <c r="P14" s="95"/>
      <c r="Q14" s="92" t="s">
        <v>69</v>
      </c>
      <c r="R14" s="92" t="s">
        <v>69</v>
      </c>
      <c r="S14" s="95" t="s">
        <v>484</v>
      </c>
      <c r="T14" s="92" t="s">
        <v>484</v>
      </c>
      <c r="U14" s="95"/>
      <c r="V14" s="92" t="s">
        <v>484</v>
      </c>
      <c r="W14" s="95" t="s">
        <v>93</v>
      </c>
      <c r="X14" s="92" t="s">
        <v>50</v>
      </c>
      <c r="Y14" s="95" t="s">
        <v>484</v>
      </c>
      <c r="Z14" s="96"/>
      <c r="AA14" s="97" t="s">
        <v>489</v>
      </c>
      <c r="AB14" s="92"/>
      <c r="AC14" s="92"/>
      <c r="AD14" s="92"/>
      <c r="AE14" s="92"/>
      <c r="AF14" s="92"/>
      <c r="AG14" s="92"/>
      <c r="AH14" s="92">
        <v>0</v>
      </c>
      <c r="AI14" s="92">
        <v>0</v>
      </c>
      <c r="AJ14" s="92"/>
      <c r="AK14" s="98"/>
      <c r="AL14" s="98"/>
      <c r="AM14" s="109">
        <v>1</v>
      </c>
      <c r="AN14" s="109"/>
      <c r="AO14" s="98">
        <v>0</v>
      </c>
      <c r="AP14" s="98"/>
      <c r="AQ14" s="98"/>
      <c r="AR14" s="98"/>
      <c r="AS14" s="98"/>
      <c r="AT14" s="98"/>
      <c r="AU14" s="98"/>
      <c r="AV14" s="98"/>
      <c r="AW14" s="98"/>
      <c r="AX14" s="98"/>
      <c r="AY14" s="98"/>
      <c r="AZ14" s="98"/>
      <c r="BA14" s="98"/>
      <c r="BB14" s="98"/>
      <c r="BC14" s="98"/>
      <c r="BD14" s="98"/>
      <c r="BE14" s="98"/>
      <c r="BF14" s="98"/>
      <c r="BG14" s="98"/>
      <c r="BH14" s="98"/>
      <c r="BI14" s="98"/>
      <c r="BJ14" s="98"/>
      <c r="BK14" s="98"/>
      <c r="BL14" s="98"/>
      <c r="BM14" s="99" t="s">
        <v>585</v>
      </c>
    </row>
    <row r="15" spans="1:65" s="2" customFormat="1" ht="24.75" customHeight="1" x14ac:dyDescent="0.3">
      <c r="A15" s="90">
        <v>12</v>
      </c>
      <c r="B15" s="91">
        <v>12</v>
      </c>
      <c r="C15" s="92" t="s">
        <v>493</v>
      </c>
      <c r="D15" s="93" t="s">
        <v>498</v>
      </c>
      <c r="E15" s="92" t="s">
        <v>505</v>
      </c>
      <c r="F15" s="94" t="s">
        <v>169</v>
      </c>
      <c r="G15" s="92">
        <v>1</v>
      </c>
      <c r="H15" s="94" t="s">
        <v>71</v>
      </c>
      <c r="I15" s="92" t="s">
        <v>154</v>
      </c>
      <c r="J15" s="92" t="s">
        <v>123</v>
      </c>
      <c r="K15" s="94" t="s">
        <v>129</v>
      </c>
      <c r="L15" s="94" t="s">
        <v>69</v>
      </c>
      <c r="M15" s="92" t="s">
        <v>504</v>
      </c>
      <c r="N15" s="95" t="s">
        <v>484</v>
      </c>
      <c r="O15" s="92"/>
      <c r="P15" s="95"/>
      <c r="Q15" s="92" t="s">
        <v>69</v>
      </c>
      <c r="R15" s="92" t="s">
        <v>69</v>
      </c>
      <c r="S15" s="95"/>
      <c r="T15" s="92"/>
      <c r="U15" s="95"/>
      <c r="V15" s="92" t="s">
        <v>484</v>
      </c>
      <c r="W15" s="95" t="s">
        <v>93</v>
      </c>
      <c r="X15" s="92" t="s">
        <v>50</v>
      </c>
      <c r="Y15" s="95"/>
      <c r="Z15" s="96"/>
      <c r="AA15" s="97" t="s">
        <v>485</v>
      </c>
      <c r="AB15" s="92"/>
      <c r="AC15" s="92"/>
      <c r="AD15" s="92"/>
      <c r="AE15" s="92"/>
      <c r="AF15" s="92"/>
      <c r="AG15" s="92"/>
      <c r="AH15" s="92"/>
      <c r="AI15" s="92"/>
      <c r="AJ15" s="92"/>
      <c r="AK15" s="92"/>
      <c r="AL15" s="92"/>
      <c r="AM15" s="98"/>
      <c r="AN15" s="109"/>
      <c r="AO15" s="98"/>
      <c r="AP15" s="98"/>
      <c r="AQ15" s="98"/>
      <c r="AR15" s="98"/>
      <c r="AS15" s="98"/>
      <c r="AT15" s="98"/>
      <c r="AU15" s="98"/>
      <c r="AV15" s="98"/>
      <c r="AW15" s="98"/>
      <c r="AX15" s="98"/>
      <c r="AY15" s="98"/>
      <c r="AZ15" s="98"/>
      <c r="BA15" s="98"/>
      <c r="BB15" s="98"/>
      <c r="BC15" s="98"/>
      <c r="BD15" s="98"/>
      <c r="BE15" s="98"/>
      <c r="BF15" s="98"/>
      <c r="BG15" s="98"/>
      <c r="BH15" s="98"/>
      <c r="BI15" s="98"/>
      <c r="BJ15" s="98"/>
      <c r="BK15" s="98"/>
      <c r="BL15" s="98"/>
      <c r="BM15" s="99" t="s">
        <v>506</v>
      </c>
    </row>
    <row r="16" spans="1:65" s="2" customFormat="1" ht="48.75" customHeight="1" x14ac:dyDescent="0.3">
      <c r="A16" s="90">
        <v>13</v>
      </c>
      <c r="B16" s="91">
        <v>13</v>
      </c>
      <c r="C16" s="92" t="s">
        <v>493</v>
      </c>
      <c r="D16" s="93" t="s">
        <v>498</v>
      </c>
      <c r="E16" s="92" t="s">
        <v>508</v>
      </c>
      <c r="F16" s="94" t="s">
        <v>175</v>
      </c>
      <c r="G16" s="92">
        <v>2</v>
      </c>
      <c r="H16" s="94" t="s">
        <v>71</v>
      </c>
      <c r="I16" s="92" t="s">
        <v>154</v>
      </c>
      <c r="J16" s="92" t="s">
        <v>83</v>
      </c>
      <c r="K16" s="94" t="s">
        <v>129</v>
      </c>
      <c r="L16" s="94" t="s">
        <v>496</v>
      </c>
      <c r="M16" s="92" t="s">
        <v>497</v>
      </c>
      <c r="N16" s="95" t="s">
        <v>484</v>
      </c>
      <c r="O16" s="92"/>
      <c r="P16" s="95"/>
      <c r="Q16" s="92" t="s">
        <v>69</v>
      </c>
      <c r="R16" s="92" t="s">
        <v>69</v>
      </c>
      <c r="S16" s="95"/>
      <c r="T16" s="92"/>
      <c r="U16" s="95"/>
      <c r="V16" s="92" t="s">
        <v>484</v>
      </c>
      <c r="W16" s="95" t="s">
        <v>93</v>
      </c>
      <c r="X16" s="92" t="s">
        <v>50</v>
      </c>
      <c r="Y16" s="95"/>
      <c r="Z16" s="96" t="s">
        <v>484</v>
      </c>
      <c r="AA16" s="97" t="s">
        <v>489</v>
      </c>
      <c r="AB16" s="92"/>
      <c r="AC16" s="92"/>
      <c r="AD16" s="92"/>
      <c r="AE16" s="92"/>
      <c r="AF16" s="92"/>
      <c r="AG16" s="92"/>
      <c r="AH16" s="92">
        <v>0</v>
      </c>
      <c r="AI16" s="92">
        <v>0</v>
      </c>
      <c r="AJ16" s="110">
        <v>1</v>
      </c>
      <c r="AK16" s="92"/>
      <c r="AL16" s="92"/>
      <c r="AM16" s="92"/>
      <c r="AN16" s="110">
        <v>1</v>
      </c>
      <c r="AO16" s="98">
        <v>0</v>
      </c>
      <c r="AP16" s="113">
        <v>1</v>
      </c>
      <c r="AQ16" s="98"/>
      <c r="AR16" s="98"/>
      <c r="AS16" s="98"/>
      <c r="AT16" s="98"/>
      <c r="AU16" s="98"/>
      <c r="AV16" s="98"/>
      <c r="AW16" s="98"/>
      <c r="AX16" s="98"/>
      <c r="AY16" s="98"/>
      <c r="AZ16" s="98"/>
      <c r="BA16" s="98"/>
      <c r="BB16" s="98"/>
      <c r="BC16" s="98"/>
      <c r="BD16" s="98"/>
      <c r="BE16" s="98"/>
      <c r="BF16" s="98"/>
      <c r="BG16" s="98"/>
      <c r="BH16" s="98"/>
      <c r="BI16" s="98"/>
      <c r="BJ16" s="98"/>
      <c r="BK16" s="98"/>
      <c r="BL16" s="98"/>
      <c r="BM16" s="99" t="s">
        <v>510</v>
      </c>
    </row>
    <row r="17" spans="1:65" s="2" customFormat="1" ht="48.75" customHeight="1" x14ac:dyDescent="0.3">
      <c r="A17" s="90">
        <v>14</v>
      </c>
      <c r="B17" s="91">
        <v>14</v>
      </c>
      <c r="C17" s="92" t="s">
        <v>511</v>
      </c>
      <c r="D17" s="93" t="s">
        <v>498</v>
      </c>
      <c r="E17" s="92" t="s">
        <v>508</v>
      </c>
      <c r="F17" s="94" t="s">
        <v>175</v>
      </c>
      <c r="G17" s="92">
        <v>2</v>
      </c>
      <c r="H17" s="94" t="s">
        <v>71</v>
      </c>
      <c r="I17" s="92" t="s">
        <v>154</v>
      </c>
      <c r="J17" s="92" t="s">
        <v>83</v>
      </c>
      <c r="K17" s="94" t="s">
        <v>129</v>
      </c>
      <c r="L17" s="94" t="s">
        <v>496</v>
      </c>
      <c r="M17" s="92" t="s">
        <v>497</v>
      </c>
      <c r="N17" s="95" t="s">
        <v>484</v>
      </c>
      <c r="O17" s="92"/>
      <c r="P17" s="95"/>
      <c r="Q17" s="92" t="s">
        <v>69</v>
      </c>
      <c r="R17" s="92" t="s">
        <v>69</v>
      </c>
      <c r="S17" s="95"/>
      <c r="T17" s="92"/>
      <c r="U17" s="95"/>
      <c r="V17" s="92" t="s">
        <v>484</v>
      </c>
      <c r="W17" s="95" t="s">
        <v>93</v>
      </c>
      <c r="X17" s="92" t="s">
        <v>50</v>
      </c>
      <c r="Y17" s="95"/>
      <c r="Z17" s="96" t="s">
        <v>484</v>
      </c>
      <c r="AA17" s="97" t="s">
        <v>489</v>
      </c>
      <c r="AB17" s="92"/>
      <c r="AC17" s="92"/>
      <c r="AD17" s="92"/>
      <c r="AE17" s="92"/>
      <c r="AF17" s="92"/>
      <c r="AG17" s="92"/>
      <c r="AH17" s="92">
        <v>0</v>
      </c>
      <c r="AI17" s="92">
        <v>0</v>
      </c>
      <c r="AJ17" s="110">
        <v>1</v>
      </c>
      <c r="AK17" s="92"/>
      <c r="AL17" s="92"/>
      <c r="AM17" s="110">
        <v>1</v>
      </c>
      <c r="AN17" s="110">
        <v>1</v>
      </c>
      <c r="AO17" s="92">
        <v>0</v>
      </c>
      <c r="AP17" s="98"/>
      <c r="AQ17" s="98"/>
      <c r="AR17" s="98"/>
      <c r="AS17" s="98"/>
      <c r="AT17" s="98"/>
      <c r="AU17" s="98"/>
      <c r="AV17" s="98"/>
      <c r="AW17" s="98"/>
      <c r="AX17" s="98"/>
      <c r="AY17" s="98"/>
      <c r="AZ17" s="98"/>
      <c r="BA17" s="98"/>
      <c r="BB17" s="98"/>
      <c r="BC17" s="98"/>
      <c r="BD17" s="98"/>
      <c r="BE17" s="98"/>
      <c r="BF17" s="98"/>
      <c r="BG17" s="98"/>
      <c r="BH17" s="98"/>
      <c r="BI17" s="98"/>
      <c r="BJ17" s="98"/>
      <c r="BK17" s="98"/>
      <c r="BL17" s="98"/>
      <c r="BM17" s="99" t="s">
        <v>503</v>
      </c>
    </row>
    <row r="18" spans="1:65" s="2" customFormat="1" ht="24.75" customHeight="1" x14ac:dyDescent="0.3">
      <c r="A18" s="90">
        <v>15</v>
      </c>
      <c r="B18" s="91">
        <v>15</v>
      </c>
      <c r="C18" s="92" t="s">
        <v>511</v>
      </c>
      <c r="D18" s="93" t="s">
        <v>498</v>
      </c>
      <c r="E18" s="92">
        <v>109</v>
      </c>
      <c r="F18" s="94" t="s">
        <v>167</v>
      </c>
      <c r="G18" s="92">
        <v>1</v>
      </c>
      <c r="H18" s="94" t="s">
        <v>39</v>
      </c>
      <c r="I18" s="92" t="s">
        <v>154</v>
      </c>
      <c r="J18" s="92" t="s">
        <v>81</v>
      </c>
      <c r="K18" s="94" t="s">
        <v>69</v>
      </c>
      <c r="L18" s="94" t="s">
        <v>69</v>
      </c>
      <c r="M18" s="92" t="s">
        <v>456</v>
      </c>
      <c r="N18" s="95"/>
      <c r="O18" s="92"/>
      <c r="P18" s="95"/>
      <c r="Q18" s="92" t="s">
        <v>69</v>
      </c>
      <c r="R18" s="92" t="s">
        <v>69</v>
      </c>
      <c r="S18" s="95"/>
      <c r="T18" s="92"/>
      <c r="U18" s="95"/>
      <c r="V18" s="92" t="s">
        <v>484</v>
      </c>
      <c r="W18" s="95" t="s">
        <v>94</v>
      </c>
      <c r="X18" s="92" t="s">
        <v>69</v>
      </c>
      <c r="Y18" s="95"/>
      <c r="Z18" s="96"/>
      <c r="AA18" s="97" t="s">
        <v>489</v>
      </c>
      <c r="AB18" s="92"/>
      <c r="AC18" s="92"/>
      <c r="AD18" s="92"/>
      <c r="AE18" s="92"/>
      <c r="AF18" s="92"/>
      <c r="AG18" s="92"/>
      <c r="AH18" s="92"/>
      <c r="AI18" s="92"/>
      <c r="AJ18" s="92"/>
      <c r="AK18" s="92"/>
      <c r="AL18" s="92"/>
      <c r="AM18" s="92"/>
      <c r="AN18" s="110"/>
      <c r="AO18" s="92"/>
      <c r="AP18" s="92"/>
      <c r="AQ18" s="98">
        <v>0</v>
      </c>
      <c r="AR18" s="98"/>
      <c r="AS18" s="98"/>
      <c r="AT18" s="98"/>
      <c r="AU18" s="98"/>
      <c r="AV18" s="98"/>
      <c r="AW18" s="98"/>
      <c r="AX18" s="98"/>
      <c r="AY18" s="98"/>
      <c r="AZ18" s="98"/>
      <c r="BA18" s="98"/>
      <c r="BB18" s="98"/>
      <c r="BC18" s="98"/>
      <c r="BD18" s="98"/>
      <c r="BE18" s="98"/>
      <c r="BF18" s="98"/>
      <c r="BG18" s="98"/>
      <c r="BH18" s="98"/>
      <c r="BI18" s="98"/>
      <c r="BJ18" s="98"/>
      <c r="BK18" s="98"/>
      <c r="BL18" s="98"/>
      <c r="BM18" s="107" t="s">
        <v>589</v>
      </c>
    </row>
    <row r="19" spans="1:65" s="2" customFormat="1" ht="24.75" customHeight="1" x14ac:dyDescent="0.3">
      <c r="A19" s="90">
        <v>16</v>
      </c>
      <c r="B19" s="91">
        <v>16</v>
      </c>
      <c r="C19" s="92" t="s">
        <v>511</v>
      </c>
      <c r="D19" s="93" t="s">
        <v>498</v>
      </c>
      <c r="E19" s="92">
        <v>114</v>
      </c>
      <c r="F19" s="94" t="s">
        <v>169</v>
      </c>
      <c r="G19" s="92">
        <v>1</v>
      </c>
      <c r="H19" s="94" t="s">
        <v>71</v>
      </c>
      <c r="I19" s="92" t="s">
        <v>154</v>
      </c>
      <c r="J19" s="92" t="s">
        <v>80</v>
      </c>
      <c r="K19" s="94" t="s">
        <v>129</v>
      </c>
      <c r="L19" s="94" t="s">
        <v>69</v>
      </c>
      <c r="M19" s="92" t="s">
        <v>512</v>
      </c>
      <c r="N19" s="95" t="s">
        <v>484</v>
      </c>
      <c r="O19" s="92"/>
      <c r="P19" s="95"/>
      <c r="Q19" s="92" t="s">
        <v>69</v>
      </c>
      <c r="R19" s="92" t="s">
        <v>69</v>
      </c>
      <c r="S19" s="95"/>
      <c r="T19" s="92"/>
      <c r="U19" s="95"/>
      <c r="V19" s="92" t="s">
        <v>484</v>
      </c>
      <c r="W19" s="95" t="s">
        <v>93</v>
      </c>
      <c r="X19" s="92" t="s">
        <v>50</v>
      </c>
      <c r="Y19" s="95"/>
      <c r="Z19" s="96"/>
      <c r="AA19" s="97" t="s">
        <v>489</v>
      </c>
      <c r="AB19" s="92"/>
      <c r="AC19" s="92"/>
      <c r="AD19" s="92"/>
      <c r="AE19" s="92"/>
      <c r="AF19" s="92"/>
      <c r="AG19" s="92"/>
      <c r="AH19" s="92"/>
      <c r="AI19" s="92"/>
      <c r="AJ19" s="92"/>
      <c r="AK19" s="92"/>
      <c r="AL19" s="92"/>
      <c r="AM19" s="92"/>
      <c r="AN19" s="110"/>
      <c r="AO19" s="92"/>
      <c r="AP19" s="92"/>
      <c r="AQ19" s="98"/>
      <c r="AR19" s="109">
        <v>0</v>
      </c>
      <c r="AS19" s="98">
        <v>0</v>
      </c>
      <c r="AT19" s="98"/>
      <c r="AU19" s="98"/>
      <c r="AV19" s="98"/>
      <c r="AW19" s="98"/>
      <c r="AX19" s="98"/>
      <c r="AY19" s="98"/>
      <c r="AZ19" s="98"/>
      <c r="BA19" s="98"/>
      <c r="BB19" s="98"/>
      <c r="BC19" s="98"/>
      <c r="BD19" s="98"/>
      <c r="BE19" s="98"/>
      <c r="BF19" s="98"/>
      <c r="BG19" s="98"/>
      <c r="BH19" s="98"/>
      <c r="BI19" s="98"/>
      <c r="BJ19" s="98"/>
      <c r="BK19" s="98"/>
      <c r="BL19" s="98"/>
      <c r="BM19" s="99" t="s">
        <v>513</v>
      </c>
    </row>
    <row r="20" spans="1:65" s="2" customFormat="1" ht="48.75" customHeight="1" x14ac:dyDescent="0.3">
      <c r="A20" s="90">
        <v>17</v>
      </c>
      <c r="B20" s="91">
        <v>17</v>
      </c>
      <c r="C20" s="92" t="s">
        <v>511</v>
      </c>
      <c r="D20" s="93" t="s">
        <v>498</v>
      </c>
      <c r="E20" s="92" t="s">
        <v>499</v>
      </c>
      <c r="F20" s="94" t="s">
        <v>175</v>
      </c>
      <c r="G20" s="92">
        <v>2</v>
      </c>
      <c r="H20" s="94" t="s">
        <v>71</v>
      </c>
      <c r="I20" s="92" t="s">
        <v>154</v>
      </c>
      <c r="J20" s="92" t="s">
        <v>83</v>
      </c>
      <c r="K20" s="94" t="s">
        <v>129</v>
      </c>
      <c r="L20" s="94" t="s">
        <v>496</v>
      </c>
      <c r="M20" s="92" t="s">
        <v>497</v>
      </c>
      <c r="N20" s="95" t="s">
        <v>484</v>
      </c>
      <c r="O20" s="92"/>
      <c r="P20" s="95"/>
      <c r="Q20" s="92" t="s">
        <v>69</v>
      </c>
      <c r="R20" s="92" t="s">
        <v>69</v>
      </c>
      <c r="S20" s="95" t="s">
        <v>484</v>
      </c>
      <c r="T20" s="92"/>
      <c r="U20" s="95"/>
      <c r="V20" s="92" t="s">
        <v>484</v>
      </c>
      <c r="W20" s="95" t="s">
        <v>93</v>
      </c>
      <c r="X20" s="92" t="s">
        <v>50</v>
      </c>
      <c r="Y20" s="95" t="s">
        <v>484</v>
      </c>
      <c r="Z20" s="96"/>
      <c r="AA20" s="97" t="s">
        <v>489</v>
      </c>
      <c r="AB20" s="92"/>
      <c r="AC20" s="92"/>
      <c r="AD20" s="92"/>
      <c r="AE20" s="92"/>
      <c r="AF20" s="92"/>
      <c r="AG20" s="92"/>
      <c r="AH20" s="92">
        <v>0</v>
      </c>
      <c r="AI20" s="92">
        <v>0</v>
      </c>
      <c r="AJ20" s="110">
        <v>1</v>
      </c>
      <c r="AK20" s="92"/>
      <c r="AL20" s="92"/>
      <c r="AM20" s="110">
        <v>1</v>
      </c>
      <c r="AN20" s="110">
        <v>1</v>
      </c>
      <c r="AO20" s="92">
        <v>0</v>
      </c>
      <c r="AP20" s="92"/>
      <c r="AQ20" s="92"/>
      <c r="AR20" s="92"/>
      <c r="AS20" s="98"/>
      <c r="AT20" s="98"/>
      <c r="AU20" s="98"/>
      <c r="AV20" s="98"/>
      <c r="AW20" s="98"/>
      <c r="AX20" s="98"/>
      <c r="AY20" s="98"/>
      <c r="AZ20" s="98"/>
      <c r="BA20" s="98"/>
      <c r="BB20" s="98"/>
      <c r="BC20" s="98"/>
      <c r="BD20" s="98"/>
      <c r="BE20" s="98"/>
      <c r="BF20" s="98"/>
      <c r="BG20" s="98"/>
      <c r="BH20" s="98"/>
      <c r="BI20" s="98"/>
      <c r="BJ20" s="98"/>
      <c r="BK20" s="98">
        <v>0</v>
      </c>
      <c r="BL20" s="98"/>
      <c r="BM20" s="99" t="s">
        <v>514</v>
      </c>
    </row>
    <row r="21" spans="1:65" s="2" customFormat="1" ht="48.75" customHeight="1" x14ac:dyDescent="0.3">
      <c r="A21" s="90">
        <v>18</v>
      </c>
      <c r="B21" s="91">
        <v>18</v>
      </c>
      <c r="C21" s="92" t="s">
        <v>511</v>
      </c>
      <c r="D21" s="93" t="s">
        <v>498</v>
      </c>
      <c r="E21" s="92" t="s">
        <v>483</v>
      </c>
      <c r="F21" s="94" t="s">
        <v>175</v>
      </c>
      <c r="G21" s="92">
        <v>2</v>
      </c>
      <c r="H21" s="94" t="s">
        <v>71</v>
      </c>
      <c r="I21" s="92" t="s">
        <v>154</v>
      </c>
      <c r="J21" s="92" t="s">
        <v>83</v>
      </c>
      <c r="K21" s="103" t="s">
        <v>141</v>
      </c>
      <c r="L21" s="94" t="s">
        <v>496</v>
      </c>
      <c r="M21" s="92" t="s">
        <v>497</v>
      </c>
      <c r="N21" s="95" t="s">
        <v>484</v>
      </c>
      <c r="O21" s="92"/>
      <c r="P21" s="95"/>
      <c r="Q21" s="92" t="s">
        <v>69</v>
      </c>
      <c r="R21" s="92" t="s">
        <v>69</v>
      </c>
      <c r="S21" s="95" t="s">
        <v>484</v>
      </c>
      <c r="T21" s="92"/>
      <c r="U21" s="95"/>
      <c r="V21" s="92" t="s">
        <v>484</v>
      </c>
      <c r="W21" s="95" t="s">
        <v>93</v>
      </c>
      <c r="X21" s="92" t="s">
        <v>49</v>
      </c>
      <c r="Y21" s="95"/>
      <c r="Z21" s="96" t="s">
        <v>484</v>
      </c>
      <c r="AA21" s="97" t="s">
        <v>489</v>
      </c>
      <c r="AB21" s="92"/>
      <c r="AC21" s="92"/>
      <c r="AD21" s="92"/>
      <c r="AE21" s="92"/>
      <c r="AF21" s="92"/>
      <c r="AG21" s="92"/>
      <c r="AH21" s="92">
        <v>0</v>
      </c>
      <c r="AI21" s="92">
        <v>0</v>
      </c>
      <c r="AJ21" s="110">
        <v>1</v>
      </c>
      <c r="AK21" s="92"/>
      <c r="AL21" s="92"/>
      <c r="AM21" s="110">
        <v>1</v>
      </c>
      <c r="AN21" s="110">
        <v>1</v>
      </c>
      <c r="AO21" s="92">
        <v>0</v>
      </c>
      <c r="AP21" s="92"/>
      <c r="AQ21" s="92"/>
      <c r="AR21" s="92"/>
      <c r="AS21" s="98"/>
      <c r="AT21" s="98"/>
      <c r="AU21" s="98"/>
      <c r="AV21" s="98"/>
      <c r="AW21" s="98"/>
      <c r="AX21" s="98"/>
      <c r="AY21" s="98"/>
      <c r="AZ21" s="98"/>
      <c r="BA21" s="98"/>
      <c r="BB21" s="98"/>
      <c r="BC21" s="98"/>
      <c r="BD21" s="98"/>
      <c r="BE21" s="98"/>
      <c r="BF21" s="98"/>
      <c r="BG21" s="98"/>
      <c r="BH21" s="98"/>
      <c r="BI21" s="98"/>
      <c r="BJ21" s="98"/>
      <c r="BK21" s="98"/>
      <c r="BL21" s="98"/>
      <c r="BM21" s="99" t="s">
        <v>578</v>
      </c>
    </row>
    <row r="22" spans="1:65" s="2" customFormat="1" ht="24.75" customHeight="1" x14ac:dyDescent="0.3">
      <c r="A22" s="90">
        <v>19</v>
      </c>
      <c r="B22" s="91">
        <v>19</v>
      </c>
      <c r="C22" s="92" t="s">
        <v>511</v>
      </c>
      <c r="D22" s="93" t="s">
        <v>498</v>
      </c>
      <c r="E22" s="92" t="s">
        <v>483</v>
      </c>
      <c r="F22" s="94" t="s">
        <v>169</v>
      </c>
      <c r="G22" s="92">
        <v>1</v>
      </c>
      <c r="H22" s="94" t="s">
        <v>71</v>
      </c>
      <c r="I22" s="92" t="s">
        <v>154</v>
      </c>
      <c r="J22" s="92" t="s">
        <v>44</v>
      </c>
      <c r="K22" s="94" t="s">
        <v>129</v>
      </c>
      <c r="L22" s="94" t="s">
        <v>92</v>
      </c>
      <c r="M22" s="92" t="s">
        <v>512</v>
      </c>
      <c r="N22" s="95" t="s">
        <v>484</v>
      </c>
      <c r="O22" s="92"/>
      <c r="P22" s="95"/>
      <c r="Q22" s="92" t="s">
        <v>69</v>
      </c>
      <c r="R22" s="92" t="s">
        <v>69</v>
      </c>
      <c r="S22" s="95"/>
      <c r="T22" s="92"/>
      <c r="U22" s="95" t="s">
        <v>484</v>
      </c>
      <c r="V22" s="92"/>
      <c r="W22" s="95" t="s">
        <v>202</v>
      </c>
      <c r="X22" s="92" t="s">
        <v>69</v>
      </c>
      <c r="Y22" s="95"/>
      <c r="Z22" s="96"/>
      <c r="AA22" s="97" t="s">
        <v>489</v>
      </c>
      <c r="AB22" s="92"/>
      <c r="AC22" s="92"/>
      <c r="AD22" s="92"/>
      <c r="AE22" s="92"/>
      <c r="AF22" s="92"/>
      <c r="AG22" s="92"/>
      <c r="AH22" s="92"/>
      <c r="AI22" s="92"/>
      <c r="AJ22" s="92"/>
      <c r="AK22" s="92"/>
      <c r="AL22" s="92"/>
      <c r="AM22" s="92"/>
      <c r="AN22" s="110"/>
      <c r="AO22" s="92"/>
      <c r="AP22" s="92"/>
      <c r="AQ22" s="92"/>
      <c r="AR22" s="92"/>
      <c r="AS22" s="98">
        <v>0</v>
      </c>
      <c r="AT22" s="98">
        <v>0</v>
      </c>
      <c r="AU22" s="98"/>
      <c r="AV22" s="98"/>
      <c r="AW22" s="98"/>
      <c r="AX22" s="98"/>
      <c r="AY22" s="98"/>
      <c r="AZ22" s="98"/>
      <c r="BA22" s="98"/>
      <c r="BB22" s="98"/>
      <c r="BC22" s="98"/>
      <c r="BD22" s="98"/>
      <c r="BE22" s="98"/>
      <c r="BF22" s="98"/>
      <c r="BG22" s="98"/>
      <c r="BH22" s="98"/>
      <c r="BI22" s="98"/>
      <c r="BJ22" s="98"/>
      <c r="BK22" s="98"/>
      <c r="BL22" s="98"/>
      <c r="BM22" s="99" t="s">
        <v>590</v>
      </c>
    </row>
    <row r="23" spans="1:65" s="2" customFormat="1" ht="24.75" customHeight="1" x14ac:dyDescent="0.3">
      <c r="A23" s="90">
        <v>20</v>
      </c>
      <c r="B23" s="91">
        <v>20</v>
      </c>
      <c r="C23" s="92" t="s">
        <v>515</v>
      </c>
      <c r="D23" s="93" t="s">
        <v>498</v>
      </c>
      <c r="E23" s="92" t="s">
        <v>516</v>
      </c>
      <c r="F23" s="94" t="s">
        <v>167</v>
      </c>
      <c r="G23" s="92">
        <v>1</v>
      </c>
      <c r="H23" s="94" t="s">
        <v>39</v>
      </c>
      <c r="I23" s="92" t="s">
        <v>76</v>
      </c>
      <c r="J23" s="92" t="s">
        <v>124</v>
      </c>
      <c r="K23" s="94" t="s">
        <v>129</v>
      </c>
      <c r="L23" s="94" t="s">
        <v>69</v>
      </c>
      <c r="M23" s="92" t="s">
        <v>459</v>
      </c>
      <c r="N23" s="95" t="s">
        <v>484</v>
      </c>
      <c r="O23" s="92"/>
      <c r="P23" s="95" t="s">
        <v>484</v>
      </c>
      <c r="Q23" s="92" t="s">
        <v>69</v>
      </c>
      <c r="R23" s="92" t="s">
        <v>69</v>
      </c>
      <c r="S23" s="95"/>
      <c r="T23" s="92"/>
      <c r="U23" s="95"/>
      <c r="V23" s="92" t="s">
        <v>484</v>
      </c>
      <c r="W23" s="95" t="s">
        <v>94</v>
      </c>
      <c r="X23" s="92" t="s">
        <v>69</v>
      </c>
      <c r="Y23" s="95"/>
      <c r="Z23" s="96"/>
      <c r="AA23" s="97" t="s">
        <v>489</v>
      </c>
      <c r="AB23" s="92"/>
      <c r="AC23" s="92"/>
      <c r="AD23" s="92"/>
      <c r="AE23" s="92"/>
      <c r="AF23" s="92"/>
      <c r="AG23" s="92"/>
      <c r="AH23" s="92"/>
      <c r="AI23" s="92"/>
      <c r="AJ23" s="92"/>
      <c r="AK23" s="92"/>
      <c r="AL23" s="92"/>
      <c r="AM23" s="92"/>
      <c r="AN23" s="110"/>
      <c r="AO23" s="92"/>
      <c r="AP23" s="92"/>
      <c r="AQ23" s="92"/>
      <c r="AR23" s="92"/>
      <c r="AS23" s="92"/>
      <c r="AT23" s="98"/>
      <c r="AU23" s="98">
        <v>0</v>
      </c>
      <c r="AV23" s="98">
        <v>0</v>
      </c>
      <c r="AW23" s="98"/>
      <c r="AX23" s="98"/>
      <c r="AY23" s="98"/>
      <c r="AZ23" s="98"/>
      <c r="BA23" s="98"/>
      <c r="BB23" s="98"/>
      <c r="BC23" s="98"/>
      <c r="BD23" s="98"/>
      <c r="BE23" s="98"/>
      <c r="BF23" s="98"/>
      <c r="BG23" s="98"/>
      <c r="BH23" s="98"/>
      <c r="BI23" s="98"/>
      <c r="BJ23" s="98"/>
      <c r="BK23" s="98"/>
      <c r="BL23" s="98"/>
      <c r="BM23" s="99" t="s">
        <v>517</v>
      </c>
    </row>
    <row r="24" spans="1:65" s="2" customFormat="1" ht="24.75" customHeight="1" x14ac:dyDescent="0.3">
      <c r="A24" s="90">
        <v>21</v>
      </c>
      <c r="B24" s="91">
        <v>21</v>
      </c>
      <c r="C24" s="92" t="s">
        <v>515</v>
      </c>
      <c r="D24" s="93" t="s">
        <v>498</v>
      </c>
      <c r="E24" s="92">
        <v>32</v>
      </c>
      <c r="F24" s="94" t="s">
        <v>175</v>
      </c>
      <c r="G24" s="92">
        <v>2</v>
      </c>
      <c r="H24" s="94" t="s">
        <v>39</v>
      </c>
      <c r="I24" s="92" t="s">
        <v>154</v>
      </c>
      <c r="J24" s="92" t="s">
        <v>83</v>
      </c>
      <c r="K24" s="94" t="s">
        <v>141</v>
      </c>
      <c r="L24" s="94" t="s">
        <v>150</v>
      </c>
      <c r="M24" s="92" t="s">
        <v>459</v>
      </c>
      <c r="N24" s="95" t="s">
        <v>484</v>
      </c>
      <c r="O24" s="92"/>
      <c r="P24" s="95"/>
      <c r="Q24" s="92" t="s">
        <v>69</v>
      </c>
      <c r="R24" s="92" t="s">
        <v>69</v>
      </c>
      <c r="S24" s="95" t="s">
        <v>484</v>
      </c>
      <c r="T24" s="92"/>
      <c r="U24" s="95"/>
      <c r="V24" s="92" t="s">
        <v>484</v>
      </c>
      <c r="W24" s="95" t="s">
        <v>93</v>
      </c>
      <c r="X24" s="92" t="s">
        <v>50</v>
      </c>
      <c r="Y24" s="95" t="s">
        <v>484</v>
      </c>
      <c r="Z24" s="96" t="s">
        <v>484</v>
      </c>
      <c r="AA24" s="97" t="s">
        <v>485</v>
      </c>
      <c r="AB24" s="92"/>
      <c r="AC24" s="92"/>
      <c r="AD24" s="92"/>
      <c r="AE24" s="92"/>
      <c r="AF24" s="92"/>
      <c r="AG24" s="92"/>
      <c r="AH24" s="92"/>
      <c r="AI24" s="92"/>
      <c r="AJ24" s="92"/>
      <c r="AK24" s="92"/>
      <c r="AL24" s="92"/>
      <c r="AM24" s="92"/>
      <c r="AN24" s="110"/>
      <c r="AO24" s="92"/>
      <c r="AP24" s="92"/>
      <c r="AQ24" s="92"/>
      <c r="AR24" s="92"/>
      <c r="AS24" s="92"/>
      <c r="AT24" s="98"/>
      <c r="AU24" s="98"/>
      <c r="AV24" s="98"/>
      <c r="AW24" s="98"/>
      <c r="AX24" s="98"/>
      <c r="AY24" s="98"/>
      <c r="AZ24" s="98"/>
      <c r="BA24" s="98"/>
      <c r="BB24" s="98"/>
      <c r="BC24" s="98"/>
      <c r="BD24" s="98"/>
      <c r="BE24" s="98"/>
      <c r="BF24" s="98"/>
      <c r="BG24" s="98"/>
      <c r="BH24" s="98"/>
      <c r="BI24" s="98"/>
      <c r="BJ24" s="98"/>
      <c r="BK24" s="98"/>
      <c r="BL24" s="98"/>
      <c r="BM24" s="99" t="s">
        <v>518</v>
      </c>
    </row>
    <row r="25" spans="1:65" s="2" customFormat="1" ht="24.75" customHeight="1" x14ac:dyDescent="0.3">
      <c r="A25" s="90">
        <v>22</v>
      </c>
      <c r="B25" s="91">
        <v>22</v>
      </c>
      <c r="C25" s="92" t="s">
        <v>515</v>
      </c>
      <c r="D25" s="93" t="s">
        <v>498</v>
      </c>
      <c r="E25" s="92" t="s">
        <v>519</v>
      </c>
      <c r="F25" s="94" t="s">
        <v>167</v>
      </c>
      <c r="G25" s="92">
        <v>1</v>
      </c>
      <c r="H25" s="94" t="s">
        <v>39</v>
      </c>
      <c r="I25" s="92" t="s">
        <v>154</v>
      </c>
      <c r="J25" s="92" t="s">
        <v>124</v>
      </c>
      <c r="K25" s="94" t="s">
        <v>142</v>
      </c>
      <c r="L25" s="94" t="s">
        <v>69</v>
      </c>
      <c r="M25" s="92" t="s">
        <v>459</v>
      </c>
      <c r="N25" s="95" t="s">
        <v>484</v>
      </c>
      <c r="O25" s="92"/>
      <c r="P25" s="95" t="s">
        <v>484</v>
      </c>
      <c r="Q25" s="92" t="s">
        <v>69</v>
      </c>
      <c r="R25" s="92" t="s">
        <v>69</v>
      </c>
      <c r="S25" s="95"/>
      <c r="T25" s="92"/>
      <c r="U25" s="95"/>
      <c r="V25" s="92" t="s">
        <v>484</v>
      </c>
      <c r="W25" s="95" t="s">
        <v>94</v>
      </c>
      <c r="X25" s="92" t="s">
        <v>69</v>
      </c>
      <c r="Y25" s="95"/>
      <c r="Z25" s="96"/>
      <c r="AA25" s="97" t="s">
        <v>485</v>
      </c>
      <c r="AB25" s="92"/>
      <c r="AC25" s="92"/>
      <c r="AD25" s="92"/>
      <c r="AE25" s="92"/>
      <c r="AF25" s="92"/>
      <c r="AG25" s="92"/>
      <c r="AH25" s="92"/>
      <c r="AI25" s="92"/>
      <c r="AJ25" s="92"/>
      <c r="AK25" s="92"/>
      <c r="AL25" s="92"/>
      <c r="AM25" s="92"/>
      <c r="AN25" s="110"/>
      <c r="AO25" s="92"/>
      <c r="AP25" s="92"/>
      <c r="AQ25" s="92"/>
      <c r="AR25" s="92"/>
      <c r="AS25" s="92"/>
      <c r="AT25" s="92"/>
      <c r="AU25" s="92"/>
      <c r="AV25" s="98"/>
      <c r="AW25" s="98"/>
      <c r="AX25" s="98"/>
      <c r="AY25" s="98"/>
      <c r="AZ25" s="98"/>
      <c r="BA25" s="98"/>
      <c r="BB25" s="98"/>
      <c r="BC25" s="98"/>
      <c r="BD25" s="98"/>
      <c r="BE25" s="98"/>
      <c r="BF25" s="98"/>
      <c r="BG25" s="98"/>
      <c r="BH25" s="98"/>
      <c r="BI25" s="98"/>
      <c r="BJ25" s="98"/>
      <c r="BK25" s="98"/>
      <c r="BL25" s="98"/>
      <c r="BM25" s="99"/>
    </row>
    <row r="26" spans="1:65" s="2" customFormat="1" ht="48.75" customHeight="1" x14ac:dyDescent="0.3">
      <c r="A26" s="90">
        <v>23</v>
      </c>
      <c r="B26" s="91">
        <v>23</v>
      </c>
      <c r="C26" s="92" t="s">
        <v>515</v>
      </c>
      <c r="D26" s="93" t="s">
        <v>498</v>
      </c>
      <c r="E26" s="92" t="s">
        <v>499</v>
      </c>
      <c r="F26" s="94" t="s">
        <v>175</v>
      </c>
      <c r="G26" s="92">
        <v>2</v>
      </c>
      <c r="H26" s="94" t="s">
        <v>71</v>
      </c>
      <c r="I26" s="92" t="s">
        <v>154</v>
      </c>
      <c r="J26" s="92" t="s">
        <v>83</v>
      </c>
      <c r="K26" s="94" t="s">
        <v>129</v>
      </c>
      <c r="L26" s="94" t="s">
        <v>521</v>
      </c>
      <c r="M26" s="92" t="s">
        <v>497</v>
      </c>
      <c r="N26" s="95" t="s">
        <v>484</v>
      </c>
      <c r="O26" s="92"/>
      <c r="P26" s="95" t="s">
        <v>484</v>
      </c>
      <c r="Q26" s="92" t="s">
        <v>69</v>
      </c>
      <c r="R26" s="92" t="s">
        <v>69</v>
      </c>
      <c r="S26" s="95" t="s">
        <v>484</v>
      </c>
      <c r="T26" s="92"/>
      <c r="U26" s="95"/>
      <c r="V26" s="92" t="s">
        <v>484</v>
      </c>
      <c r="W26" s="95" t="s">
        <v>93</v>
      </c>
      <c r="X26" s="92" t="s">
        <v>49</v>
      </c>
      <c r="Y26" s="95"/>
      <c r="Z26" s="96"/>
      <c r="AA26" s="97" t="s">
        <v>489</v>
      </c>
      <c r="AB26" s="92"/>
      <c r="AC26" s="92"/>
      <c r="AD26" s="92"/>
      <c r="AE26" s="92"/>
      <c r="AF26" s="92"/>
      <c r="AG26" s="92"/>
      <c r="AH26" s="92"/>
      <c r="AI26" s="92">
        <v>0</v>
      </c>
      <c r="AJ26" s="110">
        <v>1</v>
      </c>
      <c r="AK26" s="92"/>
      <c r="AL26" s="92"/>
      <c r="AM26" s="110">
        <v>1</v>
      </c>
      <c r="AN26" s="110">
        <v>1</v>
      </c>
      <c r="AO26" s="92">
        <v>0</v>
      </c>
      <c r="AP26" s="92"/>
      <c r="AQ26" s="92"/>
      <c r="AR26" s="92"/>
      <c r="AS26" s="92"/>
      <c r="AT26" s="92"/>
      <c r="AU26" s="92"/>
      <c r="AV26" s="98"/>
      <c r="AW26" s="98"/>
      <c r="AX26" s="98"/>
      <c r="AY26" s="98"/>
      <c r="AZ26" s="98"/>
      <c r="BA26" s="98"/>
      <c r="BB26" s="98"/>
      <c r="BC26" s="98"/>
      <c r="BD26" s="98"/>
      <c r="BE26" s="98"/>
      <c r="BF26" s="98"/>
      <c r="BG26" s="98"/>
      <c r="BH26" s="98"/>
      <c r="BI26" s="98"/>
      <c r="BJ26" s="98"/>
      <c r="BK26" s="98"/>
      <c r="BL26" s="98"/>
      <c r="BM26" s="99" t="s">
        <v>520</v>
      </c>
    </row>
    <row r="27" spans="1:65" s="2" customFormat="1" ht="48.75" customHeight="1" x14ac:dyDescent="0.3">
      <c r="A27" s="90">
        <v>24</v>
      </c>
      <c r="B27" s="91">
        <v>24</v>
      </c>
      <c r="C27" s="92" t="s">
        <v>515</v>
      </c>
      <c r="D27" s="93" t="s">
        <v>498</v>
      </c>
      <c r="E27" s="92" t="s">
        <v>499</v>
      </c>
      <c r="F27" s="94" t="s">
        <v>175</v>
      </c>
      <c r="G27" s="92">
        <v>2</v>
      </c>
      <c r="H27" s="94" t="s">
        <v>71</v>
      </c>
      <c r="I27" s="92" t="s">
        <v>154</v>
      </c>
      <c r="J27" s="92" t="s">
        <v>83</v>
      </c>
      <c r="K27" s="94" t="s">
        <v>129</v>
      </c>
      <c r="L27" s="94" t="s">
        <v>521</v>
      </c>
      <c r="M27" s="92" t="s">
        <v>497</v>
      </c>
      <c r="N27" s="95" t="s">
        <v>484</v>
      </c>
      <c r="O27" s="92"/>
      <c r="P27" s="95" t="s">
        <v>484</v>
      </c>
      <c r="Q27" s="92" t="s">
        <v>69</v>
      </c>
      <c r="R27" s="92" t="s">
        <v>69</v>
      </c>
      <c r="S27" s="95" t="s">
        <v>484</v>
      </c>
      <c r="T27" s="92"/>
      <c r="U27" s="95"/>
      <c r="V27" s="92" t="s">
        <v>484</v>
      </c>
      <c r="W27" s="95" t="s">
        <v>93</v>
      </c>
      <c r="X27" s="92" t="s">
        <v>50</v>
      </c>
      <c r="Y27" s="95" t="s">
        <v>484</v>
      </c>
      <c r="Z27" s="96" t="s">
        <v>484</v>
      </c>
      <c r="AA27" s="97" t="s">
        <v>489</v>
      </c>
      <c r="AB27" s="92"/>
      <c r="AC27" s="92"/>
      <c r="AD27" s="92"/>
      <c r="AE27" s="92"/>
      <c r="AF27" s="92"/>
      <c r="AG27" s="92"/>
      <c r="AH27" s="92"/>
      <c r="AI27" s="92">
        <v>0</v>
      </c>
      <c r="AJ27" s="110">
        <v>1</v>
      </c>
      <c r="AK27" s="92"/>
      <c r="AL27" s="92"/>
      <c r="AM27" s="110">
        <v>1</v>
      </c>
      <c r="AN27" s="110">
        <v>1</v>
      </c>
      <c r="AO27" s="92">
        <v>0</v>
      </c>
      <c r="AP27" s="92"/>
      <c r="AQ27" s="92"/>
      <c r="AR27" s="92"/>
      <c r="AS27" s="92"/>
      <c r="AT27" s="92"/>
      <c r="AU27" s="92"/>
      <c r="AV27" s="98"/>
      <c r="AW27" s="98"/>
      <c r="AX27" s="98"/>
      <c r="AY27" s="98"/>
      <c r="AZ27" s="98"/>
      <c r="BA27" s="98"/>
      <c r="BB27" s="98"/>
      <c r="BC27" s="98"/>
      <c r="BD27" s="98"/>
      <c r="BE27" s="98"/>
      <c r="BF27" s="98"/>
      <c r="BG27" s="98"/>
      <c r="BH27" s="98"/>
      <c r="BI27" s="98"/>
      <c r="BJ27" s="98"/>
      <c r="BK27" s="98"/>
      <c r="BL27" s="98"/>
      <c r="BM27" s="99" t="s">
        <v>531</v>
      </c>
    </row>
    <row r="28" spans="1:65" s="2" customFormat="1" ht="24.75" customHeight="1" x14ac:dyDescent="0.3">
      <c r="A28" s="90">
        <v>25</v>
      </c>
      <c r="B28" s="91">
        <v>25</v>
      </c>
      <c r="C28" s="92" t="s">
        <v>515</v>
      </c>
      <c r="D28" s="93" t="s">
        <v>498</v>
      </c>
      <c r="E28" s="92" t="s">
        <v>526</v>
      </c>
      <c r="F28" s="94" t="s">
        <v>169</v>
      </c>
      <c r="G28" s="92">
        <v>1</v>
      </c>
      <c r="H28" s="94" t="s">
        <v>71</v>
      </c>
      <c r="I28" s="92" t="s">
        <v>154</v>
      </c>
      <c r="J28" s="92" t="s">
        <v>124</v>
      </c>
      <c r="K28" s="94" t="s">
        <v>129</v>
      </c>
      <c r="L28" s="94" t="s">
        <v>69</v>
      </c>
      <c r="M28" s="92" t="s">
        <v>512</v>
      </c>
      <c r="N28" s="95" t="s">
        <v>484</v>
      </c>
      <c r="O28" s="92"/>
      <c r="P28" s="95" t="s">
        <v>484</v>
      </c>
      <c r="Q28" s="92" t="s">
        <v>69</v>
      </c>
      <c r="R28" s="92" t="s">
        <v>69</v>
      </c>
      <c r="S28" s="95"/>
      <c r="T28" s="92"/>
      <c r="U28" s="95"/>
      <c r="V28" s="92" t="s">
        <v>484</v>
      </c>
      <c r="W28" s="95" t="s">
        <v>94</v>
      </c>
      <c r="X28" s="92" t="s">
        <v>69</v>
      </c>
      <c r="Y28" s="95"/>
      <c r="Z28" s="96"/>
      <c r="AA28" s="97" t="s">
        <v>489</v>
      </c>
      <c r="AB28" s="92"/>
      <c r="AC28" s="92"/>
      <c r="AD28" s="92"/>
      <c r="AE28" s="92"/>
      <c r="AF28" s="92"/>
      <c r="AG28" s="92"/>
      <c r="AH28" s="92"/>
      <c r="AI28" s="92"/>
      <c r="AJ28" s="92"/>
      <c r="AK28" s="92"/>
      <c r="AL28" s="92"/>
      <c r="AM28" s="92"/>
      <c r="AN28" s="110"/>
      <c r="AO28" s="92"/>
      <c r="AP28" s="92"/>
      <c r="AQ28" s="92">
        <v>0</v>
      </c>
      <c r="AR28" s="92"/>
      <c r="AS28" s="92"/>
      <c r="AT28" s="92"/>
      <c r="AU28" s="92"/>
      <c r="AV28" s="98"/>
      <c r="AW28" s="98">
        <v>1</v>
      </c>
      <c r="AX28" s="98"/>
      <c r="AY28" s="98"/>
      <c r="AZ28" s="98"/>
      <c r="BA28" s="98"/>
      <c r="BB28" s="98"/>
      <c r="BC28" s="98"/>
      <c r="BD28" s="98"/>
      <c r="BE28" s="98"/>
      <c r="BF28" s="98"/>
      <c r="BG28" s="98"/>
      <c r="BH28" s="98"/>
      <c r="BI28" s="98"/>
      <c r="BJ28" s="98"/>
      <c r="BK28" s="98"/>
      <c r="BL28" s="98"/>
      <c r="BM28" s="99" t="s">
        <v>523</v>
      </c>
    </row>
    <row r="29" spans="1:65" s="2" customFormat="1" ht="48.75" customHeight="1" x14ac:dyDescent="0.3">
      <c r="A29" s="90">
        <v>26</v>
      </c>
      <c r="B29" s="91">
        <v>26</v>
      </c>
      <c r="C29" s="92" t="s">
        <v>515</v>
      </c>
      <c r="D29" s="93" t="s">
        <v>498</v>
      </c>
      <c r="E29" s="92" t="s">
        <v>522</v>
      </c>
      <c r="F29" s="94" t="s">
        <v>175</v>
      </c>
      <c r="G29" s="92">
        <v>2</v>
      </c>
      <c r="H29" s="94" t="s">
        <v>71</v>
      </c>
      <c r="I29" s="92" t="s">
        <v>154</v>
      </c>
      <c r="J29" s="92" t="s">
        <v>83</v>
      </c>
      <c r="K29" s="94" t="s">
        <v>129</v>
      </c>
      <c r="L29" s="94" t="s">
        <v>521</v>
      </c>
      <c r="M29" s="92" t="s">
        <v>497</v>
      </c>
      <c r="N29" s="95" t="s">
        <v>484</v>
      </c>
      <c r="O29" s="92"/>
      <c r="P29" s="95" t="s">
        <v>484</v>
      </c>
      <c r="Q29" s="92" t="s">
        <v>69</v>
      </c>
      <c r="R29" s="92" t="s">
        <v>69</v>
      </c>
      <c r="S29" s="95" t="s">
        <v>484</v>
      </c>
      <c r="T29" s="92"/>
      <c r="U29" s="95"/>
      <c r="V29" s="92" t="s">
        <v>484</v>
      </c>
      <c r="W29" s="95" t="s">
        <v>93</v>
      </c>
      <c r="X29" s="92" t="s">
        <v>50</v>
      </c>
      <c r="Y29" s="95" t="s">
        <v>484</v>
      </c>
      <c r="Z29" s="96"/>
      <c r="AA29" s="97" t="s">
        <v>489</v>
      </c>
      <c r="AB29" s="92"/>
      <c r="AC29" s="92"/>
      <c r="AD29" s="92"/>
      <c r="AE29" s="92"/>
      <c r="AF29" s="92"/>
      <c r="AG29" s="92"/>
      <c r="AH29" s="92"/>
      <c r="AI29" s="92">
        <v>0</v>
      </c>
      <c r="AJ29" s="110">
        <v>1</v>
      </c>
      <c r="AK29" s="92"/>
      <c r="AL29" s="92"/>
      <c r="AM29" s="110">
        <v>1</v>
      </c>
      <c r="AN29" s="110">
        <v>1</v>
      </c>
      <c r="AO29" s="92">
        <v>0</v>
      </c>
      <c r="AP29" s="92"/>
      <c r="AQ29" s="92"/>
      <c r="AR29" s="92"/>
      <c r="AS29" s="92"/>
      <c r="AT29" s="92"/>
      <c r="AU29" s="92"/>
      <c r="AV29" s="98"/>
      <c r="AW29" s="98"/>
      <c r="AX29" s="98"/>
      <c r="AY29" s="98"/>
      <c r="AZ29" s="98"/>
      <c r="BA29" s="98"/>
      <c r="BB29" s="98"/>
      <c r="BC29" s="98"/>
      <c r="BD29" s="98"/>
      <c r="BE29" s="98"/>
      <c r="BF29" s="98"/>
      <c r="BG29" s="98"/>
      <c r="BH29" s="98"/>
      <c r="BI29" s="98"/>
      <c r="BJ29" s="98"/>
      <c r="BK29" s="98"/>
      <c r="BL29" s="98"/>
      <c r="BM29" s="99" t="s">
        <v>524</v>
      </c>
    </row>
    <row r="30" spans="1:65" s="2" customFormat="1" ht="24.75" customHeight="1" x14ac:dyDescent="0.3">
      <c r="A30" s="90">
        <v>27</v>
      </c>
      <c r="B30" s="91">
        <v>27</v>
      </c>
      <c r="C30" s="92" t="s">
        <v>515</v>
      </c>
      <c r="D30" s="93" t="s">
        <v>498</v>
      </c>
      <c r="E30" s="92" t="s">
        <v>527</v>
      </c>
      <c r="F30" s="94" t="s">
        <v>167</v>
      </c>
      <c r="G30" s="92">
        <v>1</v>
      </c>
      <c r="H30" s="94" t="s">
        <v>70</v>
      </c>
      <c r="I30" s="92" t="s">
        <v>78</v>
      </c>
      <c r="J30" s="92" t="s">
        <v>123</v>
      </c>
      <c r="K30" s="94" t="s">
        <v>129</v>
      </c>
      <c r="L30" s="94" t="s">
        <v>69</v>
      </c>
      <c r="M30" s="92" t="s">
        <v>459</v>
      </c>
      <c r="N30" s="95" t="s">
        <v>484</v>
      </c>
      <c r="O30" s="92"/>
      <c r="P30" s="95" t="s">
        <v>484</v>
      </c>
      <c r="Q30" s="92" t="s">
        <v>69</v>
      </c>
      <c r="R30" s="92" t="s">
        <v>69</v>
      </c>
      <c r="S30" s="95"/>
      <c r="T30" s="92"/>
      <c r="U30" s="95"/>
      <c r="V30" s="92" t="s">
        <v>484</v>
      </c>
      <c r="W30" s="95" t="s">
        <v>94</v>
      </c>
      <c r="X30" s="92" t="s">
        <v>51</v>
      </c>
      <c r="Y30" s="95" t="s">
        <v>484</v>
      </c>
      <c r="Z30" s="96"/>
      <c r="AA30" s="97" t="s">
        <v>485</v>
      </c>
      <c r="AB30" s="92"/>
      <c r="AC30" s="92"/>
      <c r="AD30" s="92"/>
      <c r="AE30" s="92"/>
      <c r="AF30" s="92"/>
      <c r="AG30" s="92"/>
      <c r="AH30" s="92"/>
      <c r="AI30" s="92"/>
      <c r="AJ30" s="92"/>
      <c r="AK30" s="92"/>
      <c r="AL30" s="92"/>
      <c r="AM30" s="92"/>
      <c r="AN30" s="110"/>
      <c r="AO30" s="92"/>
      <c r="AP30" s="92"/>
      <c r="AQ30" s="92"/>
      <c r="AR30" s="92"/>
      <c r="AS30" s="92"/>
      <c r="AT30" s="92"/>
      <c r="AU30" s="92"/>
      <c r="AV30" s="92"/>
      <c r="AW30" s="98"/>
      <c r="AX30" s="98"/>
      <c r="AY30" s="98"/>
      <c r="AZ30" s="98"/>
      <c r="BA30" s="98"/>
      <c r="BB30" s="98"/>
      <c r="BC30" s="98"/>
      <c r="BD30" s="98"/>
      <c r="BE30" s="98"/>
      <c r="BF30" s="98"/>
      <c r="BG30" s="98"/>
      <c r="BH30" s="98"/>
      <c r="BI30" s="98"/>
      <c r="BJ30" s="98"/>
      <c r="BK30" s="98"/>
      <c r="BL30" s="98"/>
      <c r="BM30" s="99"/>
    </row>
    <row r="31" spans="1:65" s="2" customFormat="1" ht="24.75" customHeight="1" x14ac:dyDescent="0.3">
      <c r="A31" s="90">
        <v>28</v>
      </c>
      <c r="B31" s="91">
        <v>28</v>
      </c>
      <c r="C31" s="92" t="s">
        <v>515</v>
      </c>
      <c r="D31" s="93" t="s">
        <v>498</v>
      </c>
      <c r="E31" s="92" t="s">
        <v>508</v>
      </c>
      <c r="F31" s="94" t="s">
        <v>167</v>
      </c>
      <c r="G31" s="92">
        <v>1</v>
      </c>
      <c r="H31" s="94" t="s">
        <v>39</v>
      </c>
      <c r="I31" s="92" t="s">
        <v>525</v>
      </c>
      <c r="J31" s="92" t="s">
        <v>124</v>
      </c>
      <c r="K31" s="94" t="s">
        <v>129</v>
      </c>
      <c r="L31" s="94" t="s">
        <v>69</v>
      </c>
      <c r="M31" s="92" t="s">
        <v>458</v>
      </c>
      <c r="N31" s="95" t="s">
        <v>484</v>
      </c>
      <c r="O31" s="92"/>
      <c r="P31" s="95"/>
      <c r="Q31" s="92" t="s">
        <v>69</v>
      </c>
      <c r="R31" s="92" t="s">
        <v>69</v>
      </c>
      <c r="S31" s="95"/>
      <c r="T31" s="92"/>
      <c r="U31" s="95"/>
      <c r="V31" s="92" t="s">
        <v>484</v>
      </c>
      <c r="W31" s="95" t="s">
        <v>93</v>
      </c>
      <c r="X31" s="92" t="s">
        <v>69</v>
      </c>
      <c r="Y31" s="95"/>
      <c r="Z31" s="96"/>
      <c r="AA31" s="97" t="s">
        <v>489</v>
      </c>
      <c r="AB31" s="92"/>
      <c r="AC31" s="92"/>
      <c r="AD31" s="92"/>
      <c r="AE31" s="92"/>
      <c r="AF31" s="92"/>
      <c r="AG31" s="92"/>
      <c r="AH31" s="92"/>
      <c r="AI31" s="92"/>
      <c r="AJ31" s="92"/>
      <c r="AK31" s="92"/>
      <c r="AL31" s="92"/>
      <c r="AM31" s="92"/>
      <c r="AN31" s="110"/>
      <c r="AO31" s="92"/>
      <c r="AP31" s="92"/>
      <c r="AQ31" s="92"/>
      <c r="AR31" s="92"/>
      <c r="AS31" s="92"/>
      <c r="AT31" s="92"/>
      <c r="AU31" s="92"/>
      <c r="AV31" s="92"/>
      <c r="AW31" s="98"/>
      <c r="AX31" s="98"/>
      <c r="AY31" s="98"/>
      <c r="AZ31" s="98"/>
      <c r="BA31" s="98"/>
      <c r="BB31" s="98"/>
      <c r="BC31" s="98"/>
      <c r="BD31" s="98"/>
      <c r="BE31" s="98"/>
      <c r="BF31" s="98"/>
      <c r="BG31" s="98"/>
      <c r="BH31" s="98"/>
      <c r="BI31" s="98"/>
      <c r="BJ31" s="98"/>
      <c r="BK31" s="98"/>
      <c r="BL31" s="98"/>
      <c r="BM31" s="99"/>
    </row>
    <row r="32" spans="1:65" s="2" customFormat="1" ht="24.75" customHeight="1" x14ac:dyDescent="0.3">
      <c r="A32" s="90">
        <v>29</v>
      </c>
      <c r="B32" s="91">
        <v>29</v>
      </c>
      <c r="C32" s="92" t="s">
        <v>528</v>
      </c>
      <c r="D32" s="93" t="s">
        <v>498</v>
      </c>
      <c r="E32" s="92" t="s">
        <v>529</v>
      </c>
      <c r="F32" s="94" t="s">
        <v>166</v>
      </c>
      <c r="G32" s="92">
        <v>1</v>
      </c>
      <c r="H32" s="94" t="s">
        <v>70</v>
      </c>
      <c r="I32" s="92" t="s">
        <v>200</v>
      </c>
      <c r="J32" s="92" t="s">
        <v>123</v>
      </c>
      <c r="K32" s="94" t="s">
        <v>128</v>
      </c>
      <c r="L32" s="94" t="s">
        <v>69</v>
      </c>
      <c r="M32" s="92" t="s">
        <v>460</v>
      </c>
      <c r="N32" s="95" t="s">
        <v>484</v>
      </c>
      <c r="O32" s="92"/>
      <c r="P32" s="95"/>
      <c r="Q32" s="92" t="s">
        <v>69</v>
      </c>
      <c r="R32" s="92" t="s">
        <v>69</v>
      </c>
      <c r="S32" s="95" t="s">
        <v>484</v>
      </c>
      <c r="T32" s="92" t="s">
        <v>484</v>
      </c>
      <c r="U32" s="95" t="s">
        <v>484</v>
      </c>
      <c r="V32" s="92"/>
      <c r="W32" s="95" t="s">
        <v>94</v>
      </c>
      <c r="X32" s="92" t="s">
        <v>69</v>
      </c>
      <c r="Y32" s="95" t="s">
        <v>484</v>
      </c>
      <c r="Z32" s="96"/>
      <c r="AA32" s="97" t="s">
        <v>489</v>
      </c>
      <c r="AB32" s="92"/>
      <c r="AC32" s="92"/>
      <c r="AD32" s="92"/>
      <c r="AE32" s="92"/>
      <c r="AF32" s="92"/>
      <c r="AG32" s="92"/>
      <c r="AH32" s="92"/>
      <c r="AI32" s="92"/>
      <c r="AJ32" s="92"/>
      <c r="AK32" s="92"/>
      <c r="AL32" s="92"/>
      <c r="AM32" s="92"/>
      <c r="AN32" s="110"/>
      <c r="AO32" s="92"/>
      <c r="AP32" s="92"/>
      <c r="AQ32" s="92"/>
      <c r="AR32" s="92"/>
      <c r="AS32" s="92"/>
      <c r="AT32" s="92"/>
      <c r="AU32" s="92"/>
      <c r="AV32" s="92"/>
      <c r="AW32" s="92"/>
      <c r="AX32" s="98">
        <v>0</v>
      </c>
      <c r="AY32" s="98"/>
      <c r="AZ32" s="98"/>
      <c r="BA32" s="98"/>
      <c r="BB32" s="98"/>
      <c r="BC32" s="98"/>
      <c r="BD32" s="98"/>
      <c r="BE32" s="98"/>
      <c r="BF32" s="98"/>
      <c r="BG32" s="98"/>
      <c r="BH32" s="98"/>
      <c r="BI32" s="98"/>
      <c r="BJ32" s="98"/>
      <c r="BK32" s="98"/>
      <c r="BL32" s="98"/>
      <c r="BM32" s="99"/>
    </row>
    <row r="33" spans="1:65" s="2" customFormat="1" ht="48.75" customHeight="1" x14ac:dyDescent="0.3">
      <c r="A33" s="90">
        <v>30</v>
      </c>
      <c r="B33" s="91">
        <v>30</v>
      </c>
      <c r="C33" s="92" t="s">
        <v>515</v>
      </c>
      <c r="D33" s="93" t="s">
        <v>498</v>
      </c>
      <c r="E33" s="92" t="s">
        <v>499</v>
      </c>
      <c r="F33" s="94" t="s">
        <v>175</v>
      </c>
      <c r="G33" s="92">
        <v>2</v>
      </c>
      <c r="H33" s="94" t="s">
        <v>71</v>
      </c>
      <c r="I33" s="92" t="s">
        <v>154</v>
      </c>
      <c r="J33" s="92" t="s">
        <v>82</v>
      </c>
      <c r="K33" s="94" t="s">
        <v>129</v>
      </c>
      <c r="L33" s="94" t="s">
        <v>521</v>
      </c>
      <c r="M33" s="92" t="s">
        <v>497</v>
      </c>
      <c r="N33" s="95" t="s">
        <v>484</v>
      </c>
      <c r="O33" s="92"/>
      <c r="P33" s="95" t="s">
        <v>484</v>
      </c>
      <c r="Q33" s="92" t="s">
        <v>69</v>
      </c>
      <c r="R33" s="92" t="s">
        <v>69</v>
      </c>
      <c r="S33" s="95" t="s">
        <v>484</v>
      </c>
      <c r="T33" s="92"/>
      <c r="U33" s="95"/>
      <c r="V33" s="92" t="s">
        <v>484</v>
      </c>
      <c r="W33" s="95" t="s">
        <v>93</v>
      </c>
      <c r="X33" s="92" t="s">
        <v>50</v>
      </c>
      <c r="Y33" s="95" t="s">
        <v>484</v>
      </c>
      <c r="Z33" s="96" t="s">
        <v>484</v>
      </c>
      <c r="AA33" s="97" t="s">
        <v>489</v>
      </c>
      <c r="AB33" s="92"/>
      <c r="AC33" s="92"/>
      <c r="AD33" s="92"/>
      <c r="AE33" s="92"/>
      <c r="AF33" s="92"/>
      <c r="AG33" s="92"/>
      <c r="AH33" s="92"/>
      <c r="AI33" s="92">
        <v>0</v>
      </c>
      <c r="AJ33" s="110">
        <v>1</v>
      </c>
      <c r="AK33" s="92"/>
      <c r="AL33" s="92"/>
      <c r="AM33" s="110">
        <v>1</v>
      </c>
      <c r="AN33" s="110">
        <v>1</v>
      </c>
      <c r="AO33" s="92">
        <v>0</v>
      </c>
      <c r="AP33" s="92"/>
      <c r="AQ33" s="92"/>
      <c r="AR33" s="92"/>
      <c r="AS33" s="92"/>
      <c r="AT33" s="92"/>
      <c r="AU33" s="92"/>
      <c r="AV33" s="92"/>
      <c r="AW33" s="92"/>
      <c r="AX33" s="98"/>
      <c r="AY33" s="98">
        <v>1</v>
      </c>
      <c r="AZ33" s="98"/>
      <c r="BA33" s="98"/>
      <c r="BB33" s="98"/>
      <c r="BC33" s="98"/>
      <c r="BD33" s="98"/>
      <c r="BE33" s="98"/>
      <c r="BF33" s="98"/>
      <c r="BG33" s="98"/>
      <c r="BH33" s="98"/>
      <c r="BI33" s="98"/>
      <c r="BJ33" s="98"/>
      <c r="BK33" s="98">
        <v>0</v>
      </c>
      <c r="BL33" s="98"/>
      <c r="BM33" s="99" t="s">
        <v>520</v>
      </c>
    </row>
    <row r="34" spans="1:65" s="2" customFormat="1" ht="24.75" customHeight="1" x14ac:dyDescent="0.3">
      <c r="A34" s="90">
        <v>31</v>
      </c>
      <c r="B34" s="91">
        <v>31</v>
      </c>
      <c r="C34" s="92" t="s">
        <v>493</v>
      </c>
      <c r="D34" s="93" t="s">
        <v>498</v>
      </c>
      <c r="E34" s="92" t="s">
        <v>535</v>
      </c>
      <c r="F34" s="94" t="s">
        <v>166</v>
      </c>
      <c r="G34" s="92">
        <v>1</v>
      </c>
      <c r="H34" s="94" t="s">
        <v>70</v>
      </c>
      <c r="I34" s="92" t="s">
        <v>77</v>
      </c>
      <c r="J34" s="92" t="s">
        <v>124</v>
      </c>
      <c r="K34" s="94" t="s">
        <v>141</v>
      </c>
      <c r="L34" s="94" t="s">
        <v>69</v>
      </c>
      <c r="M34" s="92" t="s">
        <v>460</v>
      </c>
      <c r="N34" s="95" t="s">
        <v>484</v>
      </c>
      <c r="O34" s="92"/>
      <c r="P34" s="95"/>
      <c r="Q34" s="92" t="s">
        <v>69</v>
      </c>
      <c r="R34" s="92" t="s">
        <v>69</v>
      </c>
      <c r="S34" s="95" t="s">
        <v>484</v>
      </c>
      <c r="T34" s="92" t="s">
        <v>484</v>
      </c>
      <c r="U34" s="95"/>
      <c r="V34" s="92" t="s">
        <v>484</v>
      </c>
      <c r="W34" s="95" t="s">
        <v>93</v>
      </c>
      <c r="X34" s="92" t="s">
        <v>51</v>
      </c>
      <c r="Y34" s="95" t="s">
        <v>484</v>
      </c>
      <c r="Z34" s="96"/>
      <c r="AA34" s="97" t="s">
        <v>489</v>
      </c>
      <c r="AB34" s="92"/>
      <c r="AC34" s="92"/>
      <c r="AD34" s="92"/>
      <c r="AE34" s="92"/>
      <c r="AF34" s="92"/>
      <c r="AG34" s="92"/>
      <c r="AH34" s="92"/>
      <c r="AI34" s="92"/>
      <c r="AJ34" s="92"/>
      <c r="AK34" s="92"/>
      <c r="AL34" s="92"/>
      <c r="AM34" s="92"/>
      <c r="AN34" s="110"/>
      <c r="AO34" s="92"/>
      <c r="AP34" s="92"/>
      <c r="AQ34" s="92"/>
      <c r="AR34" s="92"/>
      <c r="AS34" s="92"/>
      <c r="AT34" s="92"/>
      <c r="AU34" s="92"/>
      <c r="AV34" s="92"/>
      <c r="AW34" s="92"/>
      <c r="AX34" s="92"/>
      <c r="AY34" s="92"/>
      <c r="AZ34" s="98"/>
      <c r="BA34" s="98"/>
      <c r="BB34" s="98"/>
      <c r="BC34" s="98"/>
      <c r="BD34" s="98"/>
      <c r="BE34" s="98"/>
      <c r="BF34" s="98"/>
      <c r="BG34" s="98"/>
      <c r="BH34" s="98"/>
      <c r="BI34" s="98"/>
      <c r="BJ34" s="98"/>
      <c r="BK34" s="98"/>
      <c r="BL34" s="98"/>
      <c r="BM34" s="99" t="s">
        <v>536</v>
      </c>
    </row>
    <row r="35" spans="1:65" s="2" customFormat="1" ht="24.75" customHeight="1" x14ac:dyDescent="0.3">
      <c r="A35" s="90">
        <v>32</v>
      </c>
      <c r="B35" s="91">
        <v>32</v>
      </c>
      <c r="C35" s="92" t="s">
        <v>511</v>
      </c>
      <c r="D35" s="93" t="s">
        <v>498</v>
      </c>
      <c r="E35" s="92" t="s">
        <v>537</v>
      </c>
      <c r="F35" s="94" t="s">
        <v>166</v>
      </c>
      <c r="G35" s="92">
        <v>1</v>
      </c>
      <c r="H35" s="94" t="s">
        <v>70</v>
      </c>
      <c r="I35" s="92" t="s">
        <v>77</v>
      </c>
      <c r="J35" s="92" t="s">
        <v>124</v>
      </c>
      <c r="K35" s="94" t="s">
        <v>141</v>
      </c>
      <c r="L35" s="94" t="s">
        <v>69</v>
      </c>
      <c r="M35" s="92" t="s">
        <v>460</v>
      </c>
      <c r="N35" s="95" t="s">
        <v>484</v>
      </c>
      <c r="O35" s="92"/>
      <c r="P35" s="95"/>
      <c r="Q35" s="92" t="s">
        <v>69</v>
      </c>
      <c r="R35" s="92" t="s">
        <v>69</v>
      </c>
      <c r="S35" s="95" t="s">
        <v>484</v>
      </c>
      <c r="T35" s="92"/>
      <c r="U35" s="95"/>
      <c r="V35" s="92" t="s">
        <v>484</v>
      </c>
      <c r="W35" s="95" t="s">
        <v>94</v>
      </c>
      <c r="X35" s="92" t="s">
        <v>51</v>
      </c>
      <c r="Y35" s="95" t="s">
        <v>484</v>
      </c>
      <c r="Z35" s="96"/>
      <c r="AA35" s="97" t="s">
        <v>489</v>
      </c>
      <c r="AB35" s="92"/>
      <c r="AC35" s="92"/>
      <c r="AD35" s="92"/>
      <c r="AE35" s="92"/>
      <c r="AF35" s="92"/>
      <c r="AG35" s="92"/>
      <c r="AH35" s="92"/>
      <c r="AI35" s="92"/>
      <c r="AJ35" s="92"/>
      <c r="AK35" s="92"/>
      <c r="AL35" s="92"/>
      <c r="AM35" s="92"/>
      <c r="AN35" s="110"/>
      <c r="AO35" s="92"/>
      <c r="AP35" s="92"/>
      <c r="AQ35" s="92"/>
      <c r="AR35" s="92"/>
      <c r="AS35" s="92"/>
      <c r="AT35" s="92"/>
      <c r="AU35" s="92"/>
      <c r="AV35" s="92"/>
      <c r="AW35" s="92"/>
      <c r="AX35" s="92"/>
      <c r="AY35" s="92"/>
      <c r="AZ35" s="98"/>
      <c r="BA35" s="98"/>
      <c r="BB35" s="98"/>
      <c r="BC35" s="98"/>
      <c r="BD35" s="98"/>
      <c r="BE35" s="98"/>
      <c r="BF35" s="98"/>
      <c r="BG35" s="98"/>
      <c r="BH35" s="98"/>
      <c r="BI35" s="98"/>
      <c r="BJ35" s="98"/>
      <c r="BK35" s="98"/>
      <c r="BL35" s="98"/>
      <c r="BM35" s="99"/>
    </row>
    <row r="36" spans="1:65" s="2" customFormat="1" ht="24.75" customHeight="1" x14ac:dyDescent="0.3">
      <c r="A36" s="90">
        <v>33</v>
      </c>
      <c r="B36" s="91">
        <v>33</v>
      </c>
      <c r="C36" s="92" t="s">
        <v>515</v>
      </c>
      <c r="D36" s="93" t="s">
        <v>498</v>
      </c>
      <c r="E36" s="92" t="s">
        <v>538</v>
      </c>
      <c r="F36" s="94" t="s">
        <v>166</v>
      </c>
      <c r="G36" s="92">
        <v>1</v>
      </c>
      <c r="H36" s="94" t="s">
        <v>70</v>
      </c>
      <c r="I36" s="92" t="s">
        <v>77</v>
      </c>
      <c r="J36" s="92" t="s">
        <v>124</v>
      </c>
      <c r="K36" s="94" t="s">
        <v>141</v>
      </c>
      <c r="L36" s="94" t="s">
        <v>69</v>
      </c>
      <c r="M36" s="92" t="s">
        <v>460</v>
      </c>
      <c r="N36" s="95" t="s">
        <v>484</v>
      </c>
      <c r="O36" s="92"/>
      <c r="P36" s="95"/>
      <c r="Q36" s="92" t="s">
        <v>147</v>
      </c>
      <c r="R36" s="92" t="s">
        <v>69</v>
      </c>
      <c r="S36" s="95" t="s">
        <v>484</v>
      </c>
      <c r="T36" s="92"/>
      <c r="U36" s="95"/>
      <c r="V36" s="92" t="s">
        <v>484</v>
      </c>
      <c r="W36" s="95" t="s">
        <v>94</v>
      </c>
      <c r="X36" s="92" t="s">
        <v>51</v>
      </c>
      <c r="Y36" s="95" t="s">
        <v>484</v>
      </c>
      <c r="Z36" s="96"/>
      <c r="AA36" s="97" t="s">
        <v>489</v>
      </c>
      <c r="AB36" s="92"/>
      <c r="AC36" s="92"/>
      <c r="AD36" s="92"/>
      <c r="AE36" s="92"/>
      <c r="AF36" s="92"/>
      <c r="AG36" s="92"/>
      <c r="AH36" s="92"/>
      <c r="AI36" s="92"/>
      <c r="AJ36" s="92"/>
      <c r="AK36" s="92"/>
      <c r="AL36" s="92"/>
      <c r="AM36" s="92"/>
      <c r="AN36" s="110"/>
      <c r="AO36" s="92"/>
      <c r="AP36" s="92"/>
      <c r="AQ36" s="92"/>
      <c r="AR36" s="92"/>
      <c r="AS36" s="92"/>
      <c r="AT36" s="92"/>
      <c r="AU36" s="92"/>
      <c r="AV36" s="92"/>
      <c r="AW36" s="92"/>
      <c r="AX36" s="92"/>
      <c r="AY36" s="92"/>
      <c r="AZ36" s="98"/>
      <c r="BA36" s="98"/>
      <c r="BB36" s="98"/>
      <c r="BC36" s="98"/>
      <c r="BD36" s="98"/>
      <c r="BE36" s="98"/>
      <c r="BF36" s="98"/>
      <c r="BG36" s="98"/>
      <c r="BH36" s="98"/>
      <c r="BI36" s="98"/>
      <c r="BJ36" s="98"/>
      <c r="BK36" s="98"/>
      <c r="BL36" s="98"/>
      <c r="BM36" s="99"/>
    </row>
    <row r="37" spans="1:65" s="2" customFormat="1" ht="24.75" customHeight="1" x14ac:dyDescent="0.3">
      <c r="A37" s="90">
        <v>34</v>
      </c>
      <c r="B37" s="91">
        <v>34</v>
      </c>
      <c r="C37" s="92" t="s">
        <v>515</v>
      </c>
      <c r="D37" s="93" t="s">
        <v>498</v>
      </c>
      <c r="E37" s="92" t="s">
        <v>544</v>
      </c>
      <c r="F37" s="94" t="s">
        <v>166</v>
      </c>
      <c r="G37" s="92">
        <v>1</v>
      </c>
      <c r="H37" s="94" t="s">
        <v>70</v>
      </c>
      <c r="I37" s="92" t="s">
        <v>77</v>
      </c>
      <c r="J37" s="92" t="s">
        <v>124</v>
      </c>
      <c r="K37" s="94" t="s">
        <v>128</v>
      </c>
      <c r="L37" s="94" t="s">
        <v>69</v>
      </c>
      <c r="M37" s="92" t="s">
        <v>460</v>
      </c>
      <c r="N37" s="95" t="s">
        <v>484</v>
      </c>
      <c r="O37" s="92"/>
      <c r="P37" s="95"/>
      <c r="Q37" s="92" t="s">
        <v>69</v>
      </c>
      <c r="R37" s="92" t="s">
        <v>69</v>
      </c>
      <c r="S37" s="95"/>
      <c r="T37" s="92"/>
      <c r="U37" s="95"/>
      <c r="V37" s="92" t="s">
        <v>484</v>
      </c>
      <c r="W37" s="95" t="s">
        <v>93</v>
      </c>
      <c r="X37" s="92" t="s">
        <v>69</v>
      </c>
      <c r="Y37" s="95" t="s">
        <v>484</v>
      </c>
      <c r="Z37" s="96"/>
      <c r="AA37" s="97" t="s">
        <v>489</v>
      </c>
      <c r="AB37" s="92"/>
      <c r="AC37" s="92"/>
      <c r="AD37" s="92"/>
      <c r="AE37" s="92"/>
      <c r="AF37" s="92"/>
      <c r="AG37" s="92"/>
      <c r="AH37" s="92"/>
      <c r="AI37" s="92"/>
      <c r="AJ37" s="92"/>
      <c r="AK37" s="92"/>
      <c r="AL37" s="92"/>
      <c r="AM37" s="92"/>
      <c r="AN37" s="110"/>
      <c r="AO37" s="92"/>
      <c r="AP37" s="92"/>
      <c r="AQ37" s="92"/>
      <c r="AR37" s="92"/>
      <c r="AS37" s="92"/>
      <c r="AT37" s="92"/>
      <c r="AU37" s="92"/>
      <c r="AV37" s="92"/>
      <c r="AW37" s="92"/>
      <c r="AX37" s="92"/>
      <c r="AY37" s="92"/>
      <c r="AZ37" s="92"/>
      <c r="BA37" s="98">
        <v>0</v>
      </c>
      <c r="BB37" s="98"/>
      <c r="BC37" s="98"/>
      <c r="BD37" s="98"/>
      <c r="BE37" s="98"/>
      <c r="BF37" s="98"/>
      <c r="BG37" s="98"/>
      <c r="BH37" s="98"/>
      <c r="BI37" s="98"/>
      <c r="BJ37" s="98"/>
      <c r="BK37" s="98"/>
      <c r="BL37" s="98"/>
      <c r="BM37" s="99"/>
    </row>
    <row r="38" spans="1:65" s="2" customFormat="1" ht="24.75" customHeight="1" x14ac:dyDescent="0.3">
      <c r="A38" s="90">
        <v>35</v>
      </c>
      <c r="B38" s="91">
        <v>35</v>
      </c>
      <c r="C38" s="92" t="s">
        <v>493</v>
      </c>
      <c r="D38" s="93" t="s">
        <v>539</v>
      </c>
      <c r="E38" s="92" t="s">
        <v>540</v>
      </c>
      <c r="F38" s="94" t="s">
        <v>166</v>
      </c>
      <c r="G38" s="92">
        <v>1</v>
      </c>
      <c r="H38" s="94" t="s">
        <v>39</v>
      </c>
      <c r="I38" s="92" t="s">
        <v>525</v>
      </c>
      <c r="J38" s="92" t="s">
        <v>123</v>
      </c>
      <c r="K38" s="94" t="s">
        <v>127</v>
      </c>
      <c r="L38" s="94" t="s">
        <v>69</v>
      </c>
      <c r="M38" s="92" t="s">
        <v>458</v>
      </c>
      <c r="N38" s="95" t="s">
        <v>484</v>
      </c>
      <c r="O38" s="92"/>
      <c r="P38" s="95"/>
      <c r="Q38" s="92" t="s">
        <v>69</v>
      </c>
      <c r="R38" s="92" t="s">
        <v>69</v>
      </c>
      <c r="S38" s="95"/>
      <c r="T38" s="92"/>
      <c r="U38" s="95"/>
      <c r="V38" s="92" t="s">
        <v>484</v>
      </c>
      <c r="W38" s="95" t="s">
        <v>93</v>
      </c>
      <c r="X38" s="92" t="s">
        <v>69</v>
      </c>
      <c r="Y38" s="95"/>
      <c r="Z38" s="96"/>
      <c r="AA38" s="97" t="s">
        <v>489</v>
      </c>
      <c r="AB38" s="92"/>
      <c r="AC38" s="92"/>
      <c r="AD38" s="92"/>
      <c r="AE38" s="92"/>
      <c r="AF38" s="92"/>
      <c r="AG38" s="92"/>
      <c r="AH38" s="92"/>
      <c r="AI38" s="92"/>
      <c r="AJ38" s="92"/>
      <c r="AK38" s="92"/>
      <c r="AL38" s="92"/>
      <c r="AM38" s="92"/>
      <c r="AN38" s="110"/>
      <c r="AO38" s="92"/>
      <c r="AP38" s="92"/>
      <c r="AQ38" s="92"/>
      <c r="AR38" s="92"/>
      <c r="AS38" s="92"/>
      <c r="AT38" s="92"/>
      <c r="AU38" s="92"/>
      <c r="AV38" s="92"/>
      <c r="AW38" s="92"/>
      <c r="AX38" s="92"/>
      <c r="AY38" s="92"/>
      <c r="AZ38" s="92"/>
      <c r="BA38" s="98"/>
      <c r="BB38" s="98"/>
      <c r="BC38" s="98"/>
      <c r="BD38" s="98"/>
      <c r="BE38" s="98"/>
      <c r="BF38" s="98"/>
      <c r="BG38" s="98"/>
      <c r="BH38" s="98"/>
      <c r="BI38" s="98"/>
      <c r="BJ38" s="98"/>
      <c r="BK38" s="98"/>
      <c r="BL38" s="98"/>
      <c r="BM38" s="99"/>
    </row>
    <row r="39" spans="1:65" s="2" customFormat="1" ht="24.75" customHeight="1" x14ac:dyDescent="0.3">
      <c r="A39" s="90">
        <v>36</v>
      </c>
      <c r="B39" s="91">
        <v>36</v>
      </c>
      <c r="C39" s="92" t="s">
        <v>493</v>
      </c>
      <c r="D39" s="93" t="s">
        <v>539</v>
      </c>
      <c r="E39" s="92" t="s">
        <v>543</v>
      </c>
      <c r="F39" s="94" t="s">
        <v>172</v>
      </c>
      <c r="G39" s="92">
        <v>2</v>
      </c>
      <c r="H39" s="94" t="s">
        <v>38</v>
      </c>
      <c r="I39" s="92" t="s">
        <v>74</v>
      </c>
      <c r="J39" s="92" t="s">
        <v>82</v>
      </c>
      <c r="K39" s="94" t="s">
        <v>129</v>
      </c>
      <c r="L39" s="94" t="s">
        <v>542</v>
      </c>
      <c r="M39" s="92" t="s">
        <v>541</v>
      </c>
      <c r="N39" s="95" t="s">
        <v>484</v>
      </c>
      <c r="O39" s="92"/>
      <c r="P39" s="95"/>
      <c r="Q39" s="92" t="s">
        <v>69</v>
      </c>
      <c r="R39" s="92" t="s">
        <v>69</v>
      </c>
      <c r="S39" s="95" t="s">
        <v>484</v>
      </c>
      <c r="T39" s="92"/>
      <c r="U39" s="95"/>
      <c r="V39" s="92" t="s">
        <v>484</v>
      </c>
      <c r="W39" s="95" t="s">
        <v>93</v>
      </c>
      <c r="X39" s="92" t="s">
        <v>69</v>
      </c>
      <c r="Y39" s="95" t="s">
        <v>484</v>
      </c>
      <c r="Z39" s="96"/>
      <c r="AA39" s="97" t="s">
        <v>489</v>
      </c>
      <c r="AB39" s="92"/>
      <c r="AC39" s="92"/>
      <c r="AD39" s="92"/>
      <c r="AE39" s="92"/>
      <c r="AF39" s="92">
        <v>1</v>
      </c>
      <c r="AG39" s="92"/>
      <c r="AH39" s="92"/>
      <c r="AI39" s="92"/>
      <c r="AJ39" s="92"/>
      <c r="AK39" s="92"/>
      <c r="AL39" s="92"/>
      <c r="AM39" s="92"/>
      <c r="AN39" s="110"/>
      <c r="AO39" s="92"/>
      <c r="AP39" s="92"/>
      <c r="AQ39" s="92"/>
      <c r="AR39" s="92"/>
      <c r="AS39" s="92"/>
      <c r="AT39" s="92"/>
      <c r="AU39" s="92"/>
      <c r="AV39" s="92"/>
      <c r="AW39" s="92"/>
      <c r="AX39" s="92"/>
      <c r="AY39" s="92"/>
      <c r="AZ39" s="92"/>
      <c r="BA39" s="92"/>
      <c r="BB39" s="92"/>
      <c r="BC39" s="92">
        <v>0</v>
      </c>
      <c r="BD39" s="98">
        <v>1</v>
      </c>
      <c r="BE39" s="98"/>
      <c r="BF39" s="98"/>
      <c r="BG39" s="98"/>
      <c r="BH39" s="98"/>
      <c r="BI39" s="98"/>
      <c r="BJ39" s="98"/>
      <c r="BK39" s="98"/>
      <c r="BL39" s="98"/>
      <c r="BM39" s="99" t="s">
        <v>548</v>
      </c>
    </row>
    <row r="40" spans="1:65" s="2" customFormat="1" ht="24.75" customHeight="1" x14ac:dyDescent="0.3">
      <c r="A40" s="90">
        <v>37</v>
      </c>
      <c r="B40" s="91">
        <v>37</v>
      </c>
      <c r="C40" s="92" t="s">
        <v>511</v>
      </c>
      <c r="D40" s="93" t="s">
        <v>539</v>
      </c>
      <c r="E40" s="92" t="s">
        <v>545</v>
      </c>
      <c r="F40" s="94" t="s">
        <v>166</v>
      </c>
      <c r="G40" s="92">
        <v>1</v>
      </c>
      <c r="H40" s="94" t="s">
        <v>39</v>
      </c>
      <c r="I40" s="92" t="s">
        <v>525</v>
      </c>
      <c r="J40" s="92" t="s">
        <v>124</v>
      </c>
      <c r="K40" s="94" t="s">
        <v>127</v>
      </c>
      <c r="L40" s="94" t="s">
        <v>69</v>
      </c>
      <c r="M40" s="92" t="s">
        <v>458</v>
      </c>
      <c r="N40" s="95" t="s">
        <v>484</v>
      </c>
      <c r="O40" s="92"/>
      <c r="P40" s="95"/>
      <c r="Q40" s="92" t="s">
        <v>69</v>
      </c>
      <c r="R40" s="92" t="s">
        <v>69</v>
      </c>
      <c r="S40" s="95"/>
      <c r="T40" s="92"/>
      <c r="U40" s="95"/>
      <c r="V40" s="92" t="s">
        <v>484</v>
      </c>
      <c r="W40" s="95" t="s">
        <v>93</v>
      </c>
      <c r="X40" s="92" t="s">
        <v>69</v>
      </c>
      <c r="Y40" s="95"/>
      <c r="Z40" s="96"/>
      <c r="AA40" s="97" t="s">
        <v>489</v>
      </c>
      <c r="AB40" s="92"/>
      <c r="AC40" s="92"/>
      <c r="AD40" s="92"/>
      <c r="AE40" s="92"/>
      <c r="AF40" s="92"/>
      <c r="AG40" s="92"/>
      <c r="AH40" s="92"/>
      <c r="AI40" s="92"/>
      <c r="AJ40" s="92"/>
      <c r="AK40" s="92"/>
      <c r="AL40" s="92"/>
      <c r="AM40" s="92"/>
      <c r="AN40" s="110"/>
      <c r="AO40" s="92"/>
      <c r="AP40" s="92"/>
      <c r="AQ40" s="92"/>
      <c r="AR40" s="92"/>
      <c r="AS40" s="92"/>
      <c r="AT40" s="92"/>
      <c r="AU40" s="92"/>
      <c r="AV40" s="92"/>
      <c r="AW40" s="92"/>
      <c r="AX40" s="92"/>
      <c r="AY40" s="92"/>
      <c r="AZ40" s="92"/>
      <c r="BA40" s="92"/>
      <c r="BB40" s="92"/>
      <c r="BC40" s="92"/>
      <c r="BD40" s="98"/>
      <c r="BE40" s="98"/>
      <c r="BF40" s="98"/>
      <c r="BG40" s="98"/>
      <c r="BH40" s="98"/>
      <c r="BI40" s="98"/>
      <c r="BJ40" s="98"/>
      <c r="BK40" s="98"/>
      <c r="BL40" s="98"/>
      <c r="BM40" s="99"/>
    </row>
    <row r="41" spans="1:65" s="2" customFormat="1" ht="24.75" customHeight="1" x14ac:dyDescent="0.3">
      <c r="A41" s="90">
        <v>38</v>
      </c>
      <c r="B41" s="91">
        <v>38</v>
      </c>
      <c r="C41" s="92" t="s">
        <v>511</v>
      </c>
      <c r="D41" s="93" t="s">
        <v>539</v>
      </c>
      <c r="E41" s="92" t="s">
        <v>547</v>
      </c>
      <c r="F41" s="94" t="s">
        <v>172</v>
      </c>
      <c r="G41" s="92">
        <v>2</v>
      </c>
      <c r="H41" s="94" t="s">
        <v>38</v>
      </c>
      <c r="I41" s="92" t="s">
        <v>74</v>
      </c>
      <c r="J41" s="92" t="s">
        <v>82</v>
      </c>
      <c r="K41" s="94" t="s">
        <v>129</v>
      </c>
      <c r="L41" s="94" t="s">
        <v>542</v>
      </c>
      <c r="M41" s="92" t="s">
        <v>546</v>
      </c>
      <c r="N41" s="95" t="s">
        <v>484</v>
      </c>
      <c r="O41" s="92"/>
      <c r="P41" s="95"/>
      <c r="Q41" s="92" t="s">
        <v>69</v>
      </c>
      <c r="R41" s="92" t="s">
        <v>69</v>
      </c>
      <c r="S41" s="95" t="s">
        <v>484</v>
      </c>
      <c r="T41" s="92"/>
      <c r="U41" s="95"/>
      <c r="V41" s="92" t="s">
        <v>484</v>
      </c>
      <c r="W41" s="95" t="s">
        <v>93</v>
      </c>
      <c r="X41" s="92" t="s">
        <v>69</v>
      </c>
      <c r="Y41" s="95" t="s">
        <v>484</v>
      </c>
      <c r="Z41" s="96"/>
      <c r="AA41" s="97" t="s">
        <v>489</v>
      </c>
      <c r="AB41" s="92"/>
      <c r="AC41" s="92"/>
      <c r="AD41" s="92"/>
      <c r="AE41" s="92"/>
      <c r="AF41" s="92">
        <v>1</v>
      </c>
      <c r="AG41" s="92"/>
      <c r="AH41" s="92"/>
      <c r="AI41" s="92"/>
      <c r="AJ41" s="92"/>
      <c r="AK41" s="92"/>
      <c r="AL41" s="92"/>
      <c r="AM41" s="92"/>
      <c r="AN41" s="110"/>
      <c r="AO41" s="92"/>
      <c r="AP41" s="92"/>
      <c r="AQ41" s="92"/>
      <c r="AR41" s="92"/>
      <c r="AS41" s="92"/>
      <c r="AT41" s="92"/>
      <c r="AU41" s="92"/>
      <c r="AV41" s="92"/>
      <c r="AW41" s="92"/>
      <c r="AX41" s="92"/>
      <c r="AY41" s="92"/>
      <c r="AZ41" s="92"/>
      <c r="BA41" s="92"/>
      <c r="BB41" s="92"/>
      <c r="BC41" s="92">
        <v>0</v>
      </c>
      <c r="BD41" s="98">
        <v>1</v>
      </c>
      <c r="BE41" s="98"/>
      <c r="BF41" s="98"/>
      <c r="BG41" s="98"/>
      <c r="BH41" s="98"/>
      <c r="BI41" s="98"/>
      <c r="BJ41" s="98"/>
      <c r="BK41" s="98"/>
      <c r="BL41" s="98"/>
      <c r="BM41" s="99" t="s">
        <v>548</v>
      </c>
    </row>
    <row r="42" spans="1:65" s="2" customFormat="1" ht="24.75" customHeight="1" x14ac:dyDescent="0.3">
      <c r="A42" s="90">
        <v>39</v>
      </c>
      <c r="B42" s="91">
        <v>39</v>
      </c>
      <c r="C42" s="92" t="s">
        <v>515</v>
      </c>
      <c r="D42" s="93" t="s">
        <v>539</v>
      </c>
      <c r="E42" s="92" t="s">
        <v>547</v>
      </c>
      <c r="F42" s="94" t="s">
        <v>172</v>
      </c>
      <c r="G42" s="92">
        <v>2</v>
      </c>
      <c r="H42" s="94" t="s">
        <v>38</v>
      </c>
      <c r="I42" s="92" t="s">
        <v>74</v>
      </c>
      <c r="J42" s="92" t="s">
        <v>82</v>
      </c>
      <c r="K42" s="94" t="s">
        <v>129</v>
      </c>
      <c r="L42" s="94" t="s">
        <v>542</v>
      </c>
      <c r="M42" s="92" t="s">
        <v>546</v>
      </c>
      <c r="N42" s="95" t="s">
        <v>484</v>
      </c>
      <c r="O42" s="92"/>
      <c r="P42" s="95"/>
      <c r="Q42" s="92" t="s">
        <v>69</v>
      </c>
      <c r="R42" s="92" t="s">
        <v>69</v>
      </c>
      <c r="S42" s="95" t="s">
        <v>484</v>
      </c>
      <c r="T42" s="92"/>
      <c r="U42" s="95"/>
      <c r="V42" s="92" t="s">
        <v>484</v>
      </c>
      <c r="W42" s="95" t="s">
        <v>93</v>
      </c>
      <c r="X42" s="92" t="s">
        <v>69</v>
      </c>
      <c r="Y42" s="95" t="s">
        <v>484</v>
      </c>
      <c r="Z42" s="96"/>
      <c r="AA42" s="97" t="s">
        <v>489</v>
      </c>
      <c r="AB42" s="92"/>
      <c r="AC42" s="92"/>
      <c r="AD42" s="92"/>
      <c r="AE42" s="92"/>
      <c r="AF42" s="92">
        <v>1</v>
      </c>
      <c r="AG42" s="92"/>
      <c r="AH42" s="92"/>
      <c r="AI42" s="92"/>
      <c r="AJ42" s="92"/>
      <c r="AK42" s="92"/>
      <c r="AL42" s="92"/>
      <c r="AM42" s="92"/>
      <c r="AN42" s="110"/>
      <c r="AO42" s="92"/>
      <c r="AP42" s="92"/>
      <c r="AQ42" s="92"/>
      <c r="AR42" s="92"/>
      <c r="AS42" s="92"/>
      <c r="AT42" s="92"/>
      <c r="AU42" s="92"/>
      <c r="AV42" s="92"/>
      <c r="AW42" s="92"/>
      <c r="AX42" s="92"/>
      <c r="AY42" s="92"/>
      <c r="AZ42" s="92"/>
      <c r="BA42" s="92"/>
      <c r="BB42" s="92"/>
      <c r="BC42" s="92">
        <v>0</v>
      </c>
      <c r="BD42" s="98">
        <v>1</v>
      </c>
      <c r="BE42" s="98"/>
      <c r="BF42" s="98"/>
      <c r="BG42" s="98"/>
      <c r="BH42" s="98"/>
      <c r="BI42" s="98"/>
      <c r="BJ42" s="98"/>
      <c r="BK42" s="98"/>
      <c r="BL42" s="98"/>
      <c r="BM42" s="99" t="s">
        <v>548</v>
      </c>
    </row>
    <row r="43" spans="1:65" s="2" customFormat="1" ht="24.75" customHeight="1" x14ac:dyDescent="0.3">
      <c r="A43" s="90">
        <v>40</v>
      </c>
      <c r="B43" s="91">
        <v>40</v>
      </c>
      <c r="C43" s="92" t="s">
        <v>515</v>
      </c>
      <c r="D43" s="93" t="s">
        <v>539</v>
      </c>
      <c r="E43" s="92">
        <v>7</v>
      </c>
      <c r="F43" s="94" t="s">
        <v>165</v>
      </c>
      <c r="G43" s="92">
        <v>1</v>
      </c>
      <c r="H43" s="94" t="s">
        <v>39</v>
      </c>
      <c r="I43" s="92" t="s">
        <v>68</v>
      </c>
      <c r="J43" s="92" t="s">
        <v>123</v>
      </c>
      <c r="K43" s="103" t="s">
        <v>572</v>
      </c>
      <c r="L43" s="94" t="s">
        <v>69</v>
      </c>
      <c r="M43" s="92" t="s">
        <v>532</v>
      </c>
      <c r="N43" s="95" t="s">
        <v>484</v>
      </c>
      <c r="O43" s="92"/>
      <c r="P43" s="95"/>
      <c r="Q43" s="92" t="s">
        <v>69</v>
      </c>
      <c r="R43" s="92" t="s">
        <v>147</v>
      </c>
      <c r="S43" s="95"/>
      <c r="T43" s="92"/>
      <c r="U43" s="95"/>
      <c r="V43" s="92" t="s">
        <v>484</v>
      </c>
      <c r="W43" s="95" t="s">
        <v>94</v>
      </c>
      <c r="X43" s="92" t="s">
        <v>100</v>
      </c>
      <c r="Y43" s="95" t="s">
        <v>484</v>
      </c>
      <c r="Z43" s="96"/>
      <c r="AA43" s="97" t="s">
        <v>489</v>
      </c>
      <c r="AB43" s="92"/>
      <c r="AC43" s="92"/>
      <c r="AD43" s="92"/>
      <c r="AE43" s="92"/>
      <c r="AF43" s="92">
        <v>1</v>
      </c>
      <c r="AG43" s="92"/>
      <c r="AH43" s="92"/>
      <c r="AI43" s="92"/>
      <c r="AJ43" s="92"/>
      <c r="AK43" s="92"/>
      <c r="AL43" s="92"/>
      <c r="AM43" s="92"/>
      <c r="AN43" s="110"/>
      <c r="AO43" s="92"/>
      <c r="AP43" s="92"/>
      <c r="AQ43" s="92"/>
      <c r="AR43" s="92"/>
      <c r="AS43" s="92"/>
      <c r="AT43" s="92"/>
      <c r="AU43" s="92"/>
      <c r="AV43" s="92"/>
      <c r="AW43" s="92"/>
      <c r="AX43" s="92"/>
      <c r="AY43" s="92"/>
      <c r="AZ43" s="92">
        <v>0</v>
      </c>
      <c r="BA43" s="92"/>
      <c r="BB43" s="92"/>
      <c r="BC43" s="92"/>
      <c r="BD43" s="98"/>
      <c r="BE43" s="98"/>
      <c r="BF43" s="98"/>
      <c r="BG43" s="98"/>
      <c r="BH43" s="98"/>
      <c r="BI43" s="98"/>
      <c r="BJ43" s="98"/>
      <c r="BK43" s="98"/>
      <c r="BL43" s="98"/>
      <c r="BM43" s="99" t="s">
        <v>549</v>
      </c>
    </row>
    <row r="44" spans="1:65" s="2" customFormat="1" ht="24.75" customHeight="1" x14ac:dyDescent="0.3">
      <c r="A44" s="90">
        <v>41</v>
      </c>
      <c r="B44" s="91">
        <v>41</v>
      </c>
      <c r="C44" s="92" t="s">
        <v>515</v>
      </c>
      <c r="D44" s="93" t="s">
        <v>539</v>
      </c>
      <c r="E44" s="92">
        <v>6</v>
      </c>
      <c r="F44" s="94" t="s">
        <v>165</v>
      </c>
      <c r="G44" s="92">
        <v>1</v>
      </c>
      <c r="H44" s="94" t="s">
        <v>39</v>
      </c>
      <c r="I44" s="92" t="s">
        <v>68</v>
      </c>
      <c r="J44" s="92" t="s">
        <v>123</v>
      </c>
      <c r="K44" s="103" t="s">
        <v>572</v>
      </c>
      <c r="L44" s="94" t="s">
        <v>69</v>
      </c>
      <c r="M44" s="92" t="s">
        <v>532</v>
      </c>
      <c r="N44" s="95" t="s">
        <v>484</v>
      </c>
      <c r="O44" s="92"/>
      <c r="P44" s="95"/>
      <c r="Q44" s="92" t="s">
        <v>69</v>
      </c>
      <c r="R44" s="92" t="s">
        <v>147</v>
      </c>
      <c r="S44" s="95"/>
      <c r="T44" s="92"/>
      <c r="U44" s="95"/>
      <c r="V44" s="92" t="s">
        <v>484</v>
      </c>
      <c r="W44" s="95" t="s">
        <v>94</v>
      </c>
      <c r="X44" s="92" t="s">
        <v>100</v>
      </c>
      <c r="Y44" s="95" t="s">
        <v>484</v>
      </c>
      <c r="Z44" s="96"/>
      <c r="AA44" s="97" t="s">
        <v>489</v>
      </c>
      <c r="AB44" s="92"/>
      <c r="AC44" s="92"/>
      <c r="AD44" s="92"/>
      <c r="AE44" s="92"/>
      <c r="AF44" s="92">
        <v>1</v>
      </c>
      <c r="AG44" s="92"/>
      <c r="AH44" s="92"/>
      <c r="AI44" s="92"/>
      <c r="AJ44" s="92"/>
      <c r="AK44" s="92"/>
      <c r="AL44" s="92"/>
      <c r="AM44" s="92"/>
      <c r="AN44" s="110"/>
      <c r="AO44" s="92"/>
      <c r="AP44" s="92"/>
      <c r="AQ44" s="92"/>
      <c r="AR44" s="92"/>
      <c r="AS44" s="92"/>
      <c r="AT44" s="92"/>
      <c r="AU44" s="92"/>
      <c r="AV44" s="92"/>
      <c r="AW44" s="92"/>
      <c r="AX44" s="92"/>
      <c r="AY44" s="92"/>
      <c r="AZ44" s="92">
        <v>0</v>
      </c>
      <c r="BA44" s="92"/>
      <c r="BB44" s="92"/>
      <c r="BC44" s="92"/>
      <c r="BD44" s="92"/>
      <c r="BE44" s="98">
        <v>0</v>
      </c>
      <c r="BF44" s="98"/>
      <c r="BG44" s="98"/>
      <c r="BH44" s="98"/>
      <c r="BI44" s="98"/>
      <c r="BJ44" s="98"/>
      <c r="BK44" s="98"/>
      <c r="BL44" s="98"/>
      <c r="BM44" s="99" t="s">
        <v>550</v>
      </c>
    </row>
    <row r="45" spans="1:65" s="2" customFormat="1" ht="24.75" customHeight="1" x14ac:dyDescent="0.3">
      <c r="A45" s="90">
        <v>42</v>
      </c>
      <c r="B45" s="91">
        <v>42</v>
      </c>
      <c r="C45" s="92" t="s">
        <v>515</v>
      </c>
      <c r="D45" s="93" t="s">
        <v>539</v>
      </c>
      <c r="E45" s="92">
        <v>5</v>
      </c>
      <c r="F45" s="94" t="s">
        <v>165</v>
      </c>
      <c r="G45" s="92">
        <v>1</v>
      </c>
      <c r="H45" s="94" t="s">
        <v>39</v>
      </c>
      <c r="I45" s="92" t="s">
        <v>68</v>
      </c>
      <c r="J45" s="92" t="s">
        <v>124</v>
      </c>
      <c r="K45" s="103" t="s">
        <v>572</v>
      </c>
      <c r="L45" s="94" t="s">
        <v>69</v>
      </c>
      <c r="M45" s="92" t="s">
        <v>532</v>
      </c>
      <c r="N45" s="95" t="s">
        <v>484</v>
      </c>
      <c r="O45" s="92"/>
      <c r="P45" s="95"/>
      <c r="Q45" s="92" t="s">
        <v>69</v>
      </c>
      <c r="R45" s="92" t="s">
        <v>147</v>
      </c>
      <c r="S45" s="95" t="s">
        <v>484</v>
      </c>
      <c r="T45" s="92"/>
      <c r="U45" s="95"/>
      <c r="V45" s="92" t="s">
        <v>484</v>
      </c>
      <c r="W45" s="95" t="s">
        <v>94</v>
      </c>
      <c r="X45" s="92" t="s">
        <v>100</v>
      </c>
      <c r="Y45" s="95" t="s">
        <v>484</v>
      </c>
      <c r="Z45" s="96" t="s">
        <v>484</v>
      </c>
      <c r="AA45" s="97" t="s">
        <v>489</v>
      </c>
      <c r="AB45" s="92"/>
      <c r="AC45" s="92"/>
      <c r="AD45" s="92"/>
      <c r="AE45" s="92"/>
      <c r="AF45" s="92">
        <v>1</v>
      </c>
      <c r="AG45" s="92"/>
      <c r="AH45" s="92"/>
      <c r="AI45" s="92"/>
      <c r="AJ45" s="92"/>
      <c r="AK45" s="92"/>
      <c r="AL45" s="92"/>
      <c r="AM45" s="92"/>
      <c r="AN45" s="110"/>
      <c r="AO45" s="92"/>
      <c r="AP45" s="92"/>
      <c r="AQ45" s="92"/>
      <c r="AR45" s="92"/>
      <c r="AS45" s="92"/>
      <c r="AT45" s="92"/>
      <c r="AU45" s="92"/>
      <c r="AV45" s="92"/>
      <c r="AW45" s="92"/>
      <c r="AX45" s="92"/>
      <c r="AY45" s="92"/>
      <c r="AZ45" s="92">
        <v>0</v>
      </c>
      <c r="BA45" s="92"/>
      <c r="BB45" s="92"/>
      <c r="BC45" s="92"/>
      <c r="BD45" s="92"/>
      <c r="BE45" s="98"/>
      <c r="BF45" s="98"/>
      <c r="BG45" s="98"/>
      <c r="BH45" s="98"/>
      <c r="BI45" s="98"/>
      <c r="BJ45" s="98"/>
      <c r="BK45" s="98"/>
      <c r="BL45" s="98"/>
      <c r="BM45" s="99" t="s">
        <v>549</v>
      </c>
    </row>
    <row r="46" spans="1:65" s="2" customFormat="1" ht="24.75" customHeight="1" x14ac:dyDescent="0.3">
      <c r="A46" s="90">
        <v>43</v>
      </c>
      <c r="B46" s="91">
        <v>43</v>
      </c>
      <c r="C46" s="92" t="s">
        <v>515</v>
      </c>
      <c r="D46" s="93" t="s">
        <v>539</v>
      </c>
      <c r="E46" s="92">
        <v>4</v>
      </c>
      <c r="F46" s="94" t="s">
        <v>165</v>
      </c>
      <c r="G46" s="92">
        <v>1</v>
      </c>
      <c r="H46" s="94" t="s">
        <v>39</v>
      </c>
      <c r="I46" s="92" t="s">
        <v>68</v>
      </c>
      <c r="J46" s="92" t="s">
        <v>123</v>
      </c>
      <c r="K46" s="103" t="s">
        <v>572</v>
      </c>
      <c r="L46" s="94" t="s">
        <v>69</v>
      </c>
      <c r="M46" s="92" t="s">
        <v>532</v>
      </c>
      <c r="N46" s="95" t="s">
        <v>484</v>
      </c>
      <c r="O46" s="92"/>
      <c r="P46" s="95"/>
      <c r="Q46" s="92" t="s">
        <v>69</v>
      </c>
      <c r="R46" s="92" t="s">
        <v>147</v>
      </c>
      <c r="S46" s="95" t="s">
        <v>484</v>
      </c>
      <c r="T46" s="92"/>
      <c r="U46" s="95"/>
      <c r="V46" s="92" t="s">
        <v>484</v>
      </c>
      <c r="W46" s="95" t="s">
        <v>94</v>
      </c>
      <c r="X46" s="92" t="s">
        <v>100</v>
      </c>
      <c r="Y46" s="95" t="s">
        <v>484</v>
      </c>
      <c r="Z46" s="96"/>
      <c r="AA46" s="97" t="s">
        <v>489</v>
      </c>
      <c r="AB46" s="92"/>
      <c r="AC46" s="92"/>
      <c r="AD46" s="92"/>
      <c r="AE46" s="92"/>
      <c r="AF46" s="92">
        <v>1</v>
      </c>
      <c r="AG46" s="92"/>
      <c r="AH46" s="92"/>
      <c r="AI46" s="92"/>
      <c r="AJ46" s="92"/>
      <c r="AK46" s="92"/>
      <c r="AL46" s="92"/>
      <c r="AM46" s="92"/>
      <c r="AN46" s="110"/>
      <c r="AO46" s="92"/>
      <c r="AP46" s="92"/>
      <c r="AQ46" s="92"/>
      <c r="AR46" s="92"/>
      <c r="AS46" s="92"/>
      <c r="AT46" s="92"/>
      <c r="AU46" s="92"/>
      <c r="AV46" s="92"/>
      <c r="AW46" s="92"/>
      <c r="AX46" s="92"/>
      <c r="AY46" s="92"/>
      <c r="AZ46" s="92">
        <v>0</v>
      </c>
      <c r="BA46" s="92"/>
      <c r="BB46" s="92"/>
      <c r="BC46" s="92"/>
      <c r="BD46" s="92"/>
      <c r="BE46" s="98"/>
      <c r="BF46" s="98"/>
      <c r="BG46" s="98"/>
      <c r="BH46" s="98"/>
      <c r="BI46" s="98"/>
      <c r="BJ46" s="98"/>
      <c r="BK46" s="98"/>
      <c r="BL46" s="98"/>
      <c r="BM46" s="99" t="s">
        <v>549</v>
      </c>
    </row>
    <row r="47" spans="1:65" s="2" customFormat="1" ht="24.75" customHeight="1" x14ac:dyDescent="0.3">
      <c r="A47" s="90">
        <v>44</v>
      </c>
      <c r="B47" s="91">
        <v>44</v>
      </c>
      <c r="C47" s="92" t="s">
        <v>515</v>
      </c>
      <c r="D47" s="93" t="s">
        <v>539</v>
      </c>
      <c r="E47" s="92" t="s">
        <v>551</v>
      </c>
      <c r="F47" s="94" t="s">
        <v>166</v>
      </c>
      <c r="G47" s="92">
        <v>1</v>
      </c>
      <c r="H47" s="94" t="s">
        <v>39</v>
      </c>
      <c r="I47" s="92" t="s">
        <v>525</v>
      </c>
      <c r="J47" s="92" t="s">
        <v>123</v>
      </c>
      <c r="K47" s="94" t="s">
        <v>127</v>
      </c>
      <c r="L47" s="94" t="s">
        <v>69</v>
      </c>
      <c r="M47" s="92" t="s">
        <v>532</v>
      </c>
      <c r="N47" s="95" t="s">
        <v>484</v>
      </c>
      <c r="O47" s="92"/>
      <c r="P47" s="95"/>
      <c r="Q47" s="92" t="s">
        <v>69</v>
      </c>
      <c r="R47" s="92" t="s">
        <v>69</v>
      </c>
      <c r="S47" s="95"/>
      <c r="T47" s="92"/>
      <c r="U47" s="95"/>
      <c r="V47" s="92" t="s">
        <v>484</v>
      </c>
      <c r="W47" s="95" t="s">
        <v>93</v>
      </c>
      <c r="X47" s="92" t="s">
        <v>69</v>
      </c>
      <c r="Y47" s="95"/>
      <c r="Z47" s="96"/>
      <c r="AA47" s="97" t="s">
        <v>485</v>
      </c>
      <c r="AB47" s="92"/>
      <c r="AC47" s="92"/>
      <c r="AD47" s="92"/>
      <c r="AE47" s="92"/>
      <c r="AF47" s="92"/>
      <c r="AG47" s="92"/>
      <c r="AH47" s="92"/>
      <c r="AI47" s="92"/>
      <c r="AJ47" s="92"/>
      <c r="AK47" s="92"/>
      <c r="AL47" s="92"/>
      <c r="AM47" s="92"/>
      <c r="AN47" s="110"/>
      <c r="AO47" s="92"/>
      <c r="AP47" s="92"/>
      <c r="AQ47" s="92"/>
      <c r="AR47" s="92"/>
      <c r="AS47" s="92"/>
      <c r="AT47" s="92"/>
      <c r="AU47" s="92"/>
      <c r="AV47" s="92"/>
      <c r="AW47" s="92"/>
      <c r="AX47" s="92"/>
      <c r="AY47" s="92"/>
      <c r="AZ47" s="92"/>
      <c r="BA47" s="92"/>
      <c r="BB47" s="92"/>
      <c r="BC47" s="92"/>
      <c r="BD47" s="92"/>
      <c r="BE47" s="98"/>
      <c r="BF47" s="98"/>
      <c r="BG47" s="98"/>
      <c r="BH47" s="98"/>
      <c r="BI47" s="98"/>
      <c r="BJ47" s="98"/>
      <c r="BK47" s="98"/>
      <c r="BL47" s="98"/>
      <c r="BM47" s="99"/>
    </row>
    <row r="48" spans="1:65" s="2" customFormat="1" ht="24.75" customHeight="1" x14ac:dyDescent="0.3">
      <c r="A48" s="90">
        <v>45</v>
      </c>
      <c r="B48" s="91">
        <v>45</v>
      </c>
      <c r="C48" s="92" t="s">
        <v>528</v>
      </c>
      <c r="D48" s="93" t="s">
        <v>539</v>
      </c>
      <c r="E48" s="92" t="s">
        <v>552</v>
      </c>
      <c r="F48" s="94" t="s">
        <v>166</v>
      </c>
      <c r="G48" s="92">
        <v>1</v>
      </c>
      <c r="H48" s="94" t="s">
        <v>70</v>
      </c>
      <c r="I48" s="92" t="s">
        <v>78</v>
      </c>
      <c r="J48" s="92" t="s">
        <v>123</v>
      </c>
      <c r="K48" s="94" t="s">
        <v>128</v>
      </c>
      <c r="L48" s="94" t="s">
        <v>69</v>
      </c>
      <c r="M48" s="92" t="s">
        <v>459</v>
      </c>
      <c r="N48" s="95" t="s">
        <v>484</v>
      </c>
      <c r="O48" s="92"/>
      <c r="P48" s="95"/>
      <c r="Q48" s="92" t="s">
        <v>69</v>
      </c>
      <c r="R48" s="92" t="s">
        <v>69</v>
      </c>
      <c r="S48" s="95"/>
      <c r="T48" s="92"/>
      <c r="U48" s="95"/>
      <c r="V48" s="92" t="s">
        <v>484</v>
      </c>
      <c r="W48" s="95" t="s">
        <v>93</v>
      </c>
      <c r="X48" s="92" t="s">
        <v>69</v>
      </c>
      <c r="Y48" s="95"/>
      <c r="Z48" s="96"/>
      <c r="AA48" s="97" t="s">
        <v>489</v>
      </c>
      <c r="AB48" s="92"/>
      <c r="AC48" s="92"/>
      <c r="AD48" s="92"/>
      <c r="AE48" s="92"/>
      <c r="AF48" s="92"/>
      <c r="AG48" s="92"/>
      <c r="AH48" s="92"/>
      <c r="AI48" s="92"/>
      <c r="AJ48" s="92"/>
      <c r="AK48" s="92"/>
      <c r="AL48" s="92"/>
      <c r="AM48" s="92"/>
      <c r="AN48" s="110"/>
      <c r="AO48" s="92"/>
      <c r="AP48" s="92"/>
      <c r="AQ48" s="92"/>
      <c r="AR48" s="92"/>
      <c r="AS48" s="92"/>
      <c r="AT48" s="92"/>
      <c r="AU48" s="92"/>
      <c r="AV48" s="92"/>
      <c r="AW48" s="92"/>
      <c r="AX48" s="92"/>
      <c r="AY48" s="92"/>
      <c r="AZ48" s="92"/>
      <c r="BA48" s="92">
        <v>0</v>
      </c>
      <c r="BB48" s="92">
        <v>0</v>
      </c>
      <c r="BC48" s="92"/>
      <c r="BD48" s="92"/>
      <c r="BE48" s="98"/>
      <c r="BF48" s="98"/>
      <c r="BG48" s="98"/>
      <c r="BH48" s="98"/>
      <c r="BI48" s="98"/>
      <c r="BJ48" s="98"/>
      <c r="BK48" s="98"/>
      <c r="BL48" s="98"/>
      <c r="BM48" s="99" t="s">
        <v>581</v>
      </c>
    </row>
    <row r="49" spans="1:217" s="2" customFormat="1" ht="24.75" customHeight="1" x14ac:dyDescent="0.3">
      <c r="A49" s="90">
        <v>46</v>
      </c>
      <c r="B49" s="91">
        <v>46</v>
      </c>
      <c r="C49" s="92" t="s">
        <v>493</v>
      </c>
      <c r="D49" s="93" t="s">
        <v>555</v>
      </c>
      <c r="E49" s="92" t="s">
        <v>483</v>
      </c>
      <c r="F49" s="94" t="s">
        <v>167</v>
      </c>
      <c r="G49" s="92">
        <v>1</v>
      </c>
      <c r="H49" s="94" t="s">
        <v>125</v>
      </c>
      <c r="I49" s="92" t="s">
        <v>104</v>
      </c>
      <c r="J49" s="92" t="s">
        <v>124</v>
      </c>
      <c r="K49" s="94" t="s">
        <v>129</v>
      </c>
      <c r="L49" s="94" t="s">
        <v>553</v>
      </c>
      <c r="M49" s="92" t="s">
        <v>554</v>
      </c>
      <c r="N49" s="95" t="s">
        <v>484</v>
      </c>
      <c r="O49" s="92"/>
      <c r="P49" s="95"/>
      <c r="Q49" s="92" t="s">
        <v>69</v>
      </c>
      <c r="R49" s="92" t="s">
        <v>69</v>
      </c>
      <c r="S49" s="95" t="s">
        <v>484</v>
      </c>
      <c r="T49" s="92" t="s">
        <v>484</v>
      </c>
      <c r="U49" s="95"/>
      <c r="V49" s="92" t="s">
        <v>484</v>
      </c>
      <c r="W49" s="95" t="s">
        <v>93</v>
      </c>
      <c r="X49" s="92" t="s">
        <v>50</v>
      </c>
      <c r="Y49" s="95" t="s">
        <v>484</v>
      </c>
      <c r="Z49" s="96"/>
      <c r="AA49" s="97" t="s">
        <v>485</v>
      </c>
      <c r="AB49" s="92"/>
      <c r="AC49" s="92"/>
      <c r="AD49" s="92"/>
      <c r="AE49" s="92"/>
      <c r="AF49" s="92"/>
      <c r="AG49" s="92"/>
      <c r="AH49" s="92"/>
      <c r="AI49" s="92"/>
      <c r="AJ49" s="92"/>
      <c r="AK49" s="92"/>
      <c r="AL49" s="92"/>
      <c r="AM49" s="92"/>
      <c r="AN49" s="110"/>
      <c r="AO49" s="92"/>
      <c r="AP49" s="92"/>
      <c r="AQ49" s="92"/>
      <c r="AR49" s="92"/>
      <c r="AS49" s="92"/>
      <c r="AT49" s="92"/>
      <c r="AU49" s="92"/>
      <c r="AV49" s="92"/>
      <c r="AW49" s="92"/>
      <c r="AX49" s="92"/>
      <c r="AY49" s="92"/>
      <c r="AZ49" s="92"/>
      <c r="BA49" s="92"/>
      <c r="BB49" s="92"/>
      <c r="BC49" s="92"/>
      <c r="BD49" s="92"/>
      <c r="BE49" s="98"/>
      <c r="BF49" s="98"/>
      <c r="BG49" s="98"/>
      <c r="BH49" s="98"/>
      <c r="BI49" s="98"/>
      <c r="BJ49" s="98"/>
      <c r="BK49" s="98"/>
      <c r="BL49" s="98"/>
      <c r="BM49" s="99" t="s">
        <v>556</v>
      </c>
    </row>
    <row r="50" spans="1:217" s="2" customFormat="1" ht="24.75" customHeight="1" x14ac:dyDescent="0.3">
      <c r="A50" s="90">
        <v>47</v>
      </c>
      <c r="B50" s="91">
        <v>47</v>
      </c>
      <c r="C50" s="92" t="s">
        <v>493</v>
      </c>
      <c r="D50" s="93" t="s">
        <v>555</v>
      </c>
      <c r="E50" s="92" t="s">
        <v>561</v>
      </c>
      <c r="F50" s="94" t="s">
        <v>166</v>
      </c>
      <c r="G50" s="92">
        <v>1</v>
      </c>
      <c r="H50" s="94" t="s">
        <v>39</v>
      </c>
      <c r="I50" s="92" t="s">
        <v>201</v>
      </c>
      <c r="J50" s="92" t="s">
        <v>123</v>
      </c>
      <c r="K50" s="94" t="s">
        <v>156</v>
      </c>
      <c r="L50" s="94" t="s">
        <v>69</v>
      </c>
      <c r="M50" s="92" t="s">
        <v>459</v>
      </c>
      <c r="N50" s="95" t="s">
        <v>484</v>
      </c>
      <c r="O50" s="92"/>
      <c r="P50" s="95" t="s">
        <v>484</v>
      </c>
      <c r="Q50" s="92" t="s">
        <v>69</v>
      </c>
      <c r="R50" s="92" t="s">
        <v>69</v>
      </c>
      <c r="S50" s="95"/>
      <c r="T50" s="92"/>
      <c r="U50" s="95"/>
      <c r="V50" s="92" t="s">
        <v>484</v>
      </c>
      <c r="W50" s="95" t="s">
        <v>93</v>
      </c>
      <c r="X50" s="92" t="s">
        <v>69</v>
      </c>
      <c r="Y50" s="95"/>
      <c r="Z50" s="96"/>
      <c r="AA50" s="97" t="s">
        <v>485</v>
      </c>
      <c r="AB50" s="92"/>
      <c r="AC50" s="92"/>
      <c r="AD50" s="92"/>
      <c r="AE50" s="92"/>
      <c r="AF50" s="92"/>
      <c r="AG50" s="92"/>
      <c r="AH50" s="92"/>
      <c r="AI50" s="92"/>
      <c r="AJ50" s="92"/>
      <c r="AK50" s="92"/>
      <c r="AL50" s="92"/>
      <c r="AM50" s="92"/>
      <c r="AN50" s="110"/>
      <c r="AO50" s="92"/>
      <c r="AP50" s="92"/>
      <c r="AQ50" s="92"/>
      <c r="AR50" s="92"/>
      <c r="AS50" s="92"/>
      <c r="AT50" s="92"/>
      <c r="AU50" s="92"/>
      <c r="AV50" s="92"/>
      <c r="AW50" s="92"/>
      <c r="AX50" s="92"/>
      <c r="AY50" s="92"/>
      <c r="AZ50" s="92"/>
      <c r="BA50" s="92"/>
      <c r="BB50" s="92"/>
      <c r="BC50" s="92"/>
      <c r="BD50" s="92"/>
      <c r="BE50" s="98"/>
      <c r="BF50" s="98"/>
      <c r="BG50" s="98"/>
      <c r="BH50" s="98"/>
      <c r="BI50" s="98"/>
      <c r="BJ50" s="98"/>
      <c r="BK50" s="98"/>
      <c r="BL50" s="98"/>
      <c r="BM50" s="99"/>
    </row>
    <row r="51" spans="1:217" s="2" customFormat="1" ht="24.75" customHeight="1" x14ac:dyDescent="0.3">
      <c r="A51" s="90">
        <v>48</v>
      </c>
      <c r="B51" s="91">
        <v>48</v>
      </c>
      <c r="C51" s="92" t="s">
        <v>493</v>
      </c>
      <c r="D51" s="93" t="s">
        <v>555</v>
      </c>
      <c r="E51" s="92" t="s">
        <v>508</v>
      </c>
      <c r="F51" s="94" t="s">
        <v>170</v>
      </c>
      <c r="G51" s="92">
        <v>1</v>
      </c>
      <c r="H51" s="94" t="s">
        <v>125</v>
      </c>
      <c r="I51" s="92" t="s">
        <v>192</v>
      </c>
      <c r="J51" s="92" t="s">
        <v>124</v>
      </c>
      <c r="K51" s="94" t="s">
        <v>131</v>
      </c>
      <c r="L51" s="94" t="s">
        <v>557</v>
      </c>
      <c r="M51" s="92" t="s">
        <v>554</v>
      </c>
      <c r="N51" s="95"/>
      <c r="O51" s="92" t="s">
        <v>484</v>
      </c>
      <c r="P51" s="95"/>
      <c r="Q51" s="92" t="s">
        <v>69</v>
      </c>
      <c r="R51" s="92" t="s">
        <v>69</v>
      </c>
      <c r="S51" s="95" t="s">
        <v>484</v>
      </c>
      <c r="T51" s="92" t="s">
        <v>484</v>
      </c>
      <c r="U51" s="95"/>
      <c r="V51" s="92" t="s">
        <v>484</v>
      </c>
      <c r="W51" s="95" t="s">
        <v>93</v>
      </c>
      <c r="X51" s="92" t="s">
        <v>50</v>
      </c>
      <c r="Y51" s="95" t="s">
        <v>484</v>
      </c>
      <c r="Z51" s="96"/>
      <c r="AA51" s="97" t="s">
        <v>489</v>
      </c>
      <c r="AB51" s="92"/>
      <c r="AC51" s="92"/>
      <c r="AD51" s="92"/>
      <c r="AE51" s="92"/>
      <c r="AF51" s="92"/>
      <c r="AG51" s="92"/>
      <c r="AH51" s="92"/>
      <c r="AI51" s="92"/>
      <c r="AJ51" s="92"/>
      <c r="AK51" s="92">
        <v>0</v>
      </c>
      <c r="AL51" s="92"/>
      <c r="AM51" s="92"/>
      <c r="AN51" s="110"/>
      <c r="AO51" s="92"/>
      <c r="AP51" s="92"/>
      <c r="AQ51" s="92"/>
      <c r="AR51" s="92"/>
      <c r="AS51" s="92"/>
      <c r="AT51" s="92"/>
      <c r="AU51" s="92"/>
      <c r="AV51" s="92"/>
      <c r="AW51" s="92"/>
      <c r="AX51" s="92"/>
      <c r="AY51" s="92"/>
      <c r="AZ51" s="92"/>
      <c r="BA51" s="92"/>
      <c r="BB51" s="92"/>
      <c r="BC51" s="92"/>
      <c r="BD51" s="92"/>
      <c r="BE51" s="92"/>
      <c r="BF51" s="92">
        <v>0</v>
      </c>
      <c r="BG51" s="98">
        <v>0</v>
      </c>
      <c r="BH51" s="98"/>
      <c r="BI51" s="98"/>
      <c r="BJ51" s="98"/>
      <c r="BK51" s="98"/>
      <c r="BL51" s="98"/>
      <c r="BM51" s="99" t="s">
        <v>587</v>
      </c>
    </row>
    <row r="52" spans="1:217" s="2" customFormat="1" ht="24.75" customHeight="1" x14ac:dyDescent="0.3">
      <c r="A52" s="90">
        <v>49</v>
      </c>
      <c r="B52" s="91">
        <v>49</v>
      </c>
      <c r="C52" s="92" t="s">
        <v>511</v>
      </c>
      <c r="D52" s="93" t="s">
        <v>555</v>
      </c>
      <c r="E52" s="92" t="s">
        <v>508</v>
      </c>
      <c r="F52" s="94" t="s">
        <v>170</v>
      </c>
      <c r="G52" s="92">
        <v>1</v>
      </c>
      <c r="H52" s="94" t="s">
        <v>125</v>
      </c>
      <c r="I52" s="92" t="s">
        <v>192</v>
      </c>
      <c r="J52" s="92" t="s">
        <v>124</v>
      </c>
      <c r="K52" s="94" t="s">
        <v>131</v>
      </c>
      <c r="L52" s="94" t="s">
        <v>557</v>
      </c>
      <c r="M52" s="92" t="s">
        <v>554</v>
      </c>
      <c r="N52" s="95"/>
      <c r="O52" s="92" t="s">
        <v>484</v>
      </c>
      <c r="P52" s="95"/>
      <c r="Q52" s="92" t="s">
        <v>69</v>
      </c>
      <c r="R52" s="92" t="s">
        <v>69</v>
      </c>
      <c r="S52" s="95" t="s">
        <v>484</v>
      </c>
      <c r="T52" s="92" t="s">
        <v>484</v>
      </c>
      <c r="U52" s="95"/>
      <c r="V52" s="92" t="s">
        <v>484</v>
      </c>
      <c r="W52" s="95" t="s">
        <v>93</v>
      </c>
      <c r="X52" s="92" t="s">
        <v>50</v>
      </c>
      <c r="Y52" s="95" t="s">
        <v>484</v>
      </c>
      <c r="Z52" s="96"/>
      <c r="AA52" s="97" t="s">
        <v>489</v>
      </c>
      <c r="AB52" s="92"/>
      <c r="AC52" s="92"/>
      <c r="AD52" s="92"/>
      <c r="AE52" s="92"/>
      <c r="AF52" s="92"/>
      <c r="AG52" s="92"/>
      <c r="AH52" s="92"/>
      <c r="AI52" s="92"/>
      <c r="AJ52" s="92"/>
      <c r="AK52" s="92"/>
      <c r="AL52" s="92"/>
      <c r="AM52" s="92"/>
      <c r="AN52" s="110"/>
      <c r="AO52" s="92"/>
      <c r="AP52" s="92"/>
      <c r="AQ52" s="92"/>
      <c r="AR52" s="92"/>
      <c r="AS52" s="92"/>
      <c r="AT52" s="92"/>
      <c r="AU52" s="92"/>
      <c r="AV52" s="92"/>
      <c r="AW52" s="92"/>
      <c r="AX52" s="92"/>
      <c r="AY52" s="92"/>
      <c r="AZ52" s="92"/>
      <c r="BA52" s="92"/>
      <c r="BB52" s="92"/>
      <c r="BC52" s="92"/>
      <c r="BD52" s="92"/>
      <c r="BE52" s="92"/>
      <c r="BF52" s="92">
        <v>0</v>
      </c>
      <c r="BG52" s="98"/>
      <c r="BH52" s="98"/>
      <c r="BI52" s="98"/>
      <c r="BJ52" s="98"/>
      <c r="BK52" s="98"/>
      <c r="BL52" s="98"/>
      <c r="BM52" s="99" t="s">
        <v>558</v>
      </c>
    </row>
    <row r="53" spans="1:217" s="2" customFormat="1" ht="24.75" customHeight="1" x14ac:dyDescent="0.3">
      <c r="A53" s="90">
        <v>50</v>
      </c>
      <c r="B53" s="91">
        <v>50</v>
      </c>
      <c r="C53" s="92" t="s">
        <v>511</v>
      </c>
      <c r="D53" s="93" t="s">
        <v>555</v>
      </c>
      <c r="E53" s="92" t="s">
        <v>483</v>
      </c>
      <c r="F53" s="94" t="s">
        <v>167</v>
      </c>
      <c r="G53" s="92">
        <v>1</v>
      </c>
      <c r="H53" s="94" t="s">
        <v>125</v>
      </c>
      <c r="I53" s="92" t="s">
        <v>104</v>
      </c>
      <c r="J53" s="92" t="s">
        <v>124</v>
      </c>
      <c r="K53" s="94" t="s">
        <v>129</v>
      </c>
      <c r="L53" s="94" t="s">
        <v>553</v>
      </c>
      <c r="M53" s="92" t="s">
        <v>554</v>
      </c>
      <c r="N53" s="95" t="s">
        <v>484</v>
      </c>
      <c r="O53" s="92"/>
      <c r="P53" s="95"/>
      <c r="Q53" s="92" t="s">
        <v>69</v>
      </c>
      <c r="R53" s="92" t="s">
        <v>69</v>
      </c>
      <c r="S53" s="95" t="s">
        <v>484</v>
      </c>
      <c r="T53" s="92" t="s">
        <v>484</v>
      </c>
      <c r="U53" s="95"/>
      <c r="V53" s="92" t="s">
        <v>484</v>
      </c>
      <c r="W53" s="95" t="s">
        <v>93</v>
      </c>
      <c r="X53" s="92" t="s">
        <v>50</v>
      </c>
      <c r="Y53" s="95" t="s">
        <v>484</v>
      </c>
      <c r="Z53" s="96"/>
      <c r="AA53" s="97" t="s">
        <v>485</v>
      </c>
      <c r="AB53" s="92"/>
      <c r="AC53" s="92"/>
      <c r="AD53" s="92"/>
      <c r="AE53" s="92"/>
      <c r="AF53" s="92"/>
      <c r="AG53" s="92"/>
      <c r="AH53" s="92"/>
      <c r="AI53" s="92"/>
      <c r="AJ53" s="92"/>
      <c r="AK53" s="92"/>
      <c r="AL53" s="92"/>
      <c r="AM53" s="92"/>
      <c r="AN53" s="110"/>
      <c r="AO53" s="92"/>
      <c r="AP53" s="92"/>
      <c r="AQ53" s="92"/>
      <c r="AR53" s="92"/>
      <c r="AS53" s="92"/>
      <c r="AT53" s="92"/>
      <c r="AU53" s="92"/>
      <c r="AV53" s="92"/>
      <c r="AW53" s="92"/>
      <c r="AX53" s="92"/>
      <c r="AY53" s="92"/>
      <c r="AZ53" s="92"/>
      <c r="BA53" s="92"/>
      <c r="BB53" s="92"/>
      <c r="BC53" s="92"/>
      <c r="BD53" s="92"/>
      <c r="BE53" s="92"/>
      <c r="BF53" s="92"/>
      <c r="BG53" s="98"/>
      <c r="BH53" s="98"/>
      <c r="BI53" s="98"/>
      <c r="BJ53" s="98"/>
      <c r="BK53" s="98"/>
      <c r="BL53" s="98"/>
      <c r="BM53" s="99" t="s">
        <v>559</v>
      </c>
    </row>
    <row r="54" spans="1:217" s="2" customFormat="1" ht="50" x14ac:dyDescent="0.3">
      <c r="A54" s="90">
        <v>51</v>
      </c>
      <c r="B54" s="91">
        <v>51</v>
      </c>
      <c r="C54" s="92" t="s">
        <v>515</v>
      </c>
      <c r="D54" s="93" t="s">
        <v>555</v>
      </c>
      <c r="E54" s="92" t="s">
        <v>560</v>
      </c>
      <c r="F54" s="94" t="s">
        <v>175</v>
      </c>
      <c r="G54" s="92">
        <v>2</v>
      </c>
      <c r="H54" s="94" t="s">
        <v>125</v>
      </c>
      <c r="I54" s="92" t="s">
        <v>104</v>
      </c>
      <c r="J54" s="92" t="s">
        <v>85</v>
      </c>
      <c r="K54" s="94" t="s">
        <v>129</v>
      </c>
      <c r="L54" s="94" t="s">
        <v>562</v>
      </c>
      <c r="M54" s="92" t="s">
        <v>554</v>
      </c>
      <c r="N54" s="95" t="s">
        <v>484</v>
      </c>
      <c r="O54" s="92"/>
      <c r="P54" s="95"/>
      <c r="Q54" s="92" t="s">
        <v>69</v>
      </c>
      <c r="R54" s="92" t="s">
        <v>69</v>
      </c>
      <c r="S54" s="95" t="s">
        <v>484</v>
      </c>
      <c r="T54" s="92"/>
      <c r="U54" s="95"/>
      <c r="V54" s="92" t="s">
        <v>484</v>
      </c>
      <c r="W54" s="95" t="s">
        <v>93</v>
      </c>
      <c r="X54" s="92" t="s">
        <v>69</v>
      </c>
      <c r="Y54" s="95" t="s">
        <v>484</v>
      </c>
      <c r="Z54" s="96"/>
      <c r="AA54" s="97" t="s">
        <v>489</v>
      </c>
      <c r="AB54" s="92"/>
      <c r="AC54" s="92"/>
      <c r="AD54" s="92"/>
      <c r="AE54" s="92"/>
      <c r="AF54" s="92"/>
      <c r="AG54" s="92"/>
      <c r="AH54" s="92"/>
      <c r="AI54" s="92"/>
      <c r="AJ54" s="92"/>
      <c r="AK54" s="92">
        <v>0</v>
      </c>
      <c r="AL54" s="92"/>
      <c r="AM54" s="92"/>
      <c r="AN54" s="110"/>
      <c r="AO54" s="92"/>
      <c r="AP54" s="92"/>
      <c r="AQ54" s="92"/>
      <c r="AR54" s="92"/>
      <c r="AS54" s="92">
        <v>0</v>
      </c>
      <c r="AT54" s="92"/>
      <c r="AU54" s="92"/>
      <c r="AV54" s="92"/>
      <c r="AW54" s="92">
        <v>1</v>
      </c>
      <c r="AX54" s="92"/>
      <c r="AY54" s="92"/>
      <c r="AZ54" s="92"/>
      <c r="BA54" s="92"/>
      <c r="BB54" s="92"/>
      <c r="BC54" s="92"/>
      <c r="BD54" s="92"/>
      <c r="BE54" s="92"/>
      <c r="BF54" s="92"/>
      <c r="BG54" s="98"/>
      <c r="BH54" s="98">
        <v>0</v>
      </c>
      <c r="BI54" s="98"/>
      <c r="BJ54" s="98"/>
      <c r="BK54" s="98">
        <v>0</v>
      </c>
      <c r="BL54" s="98"/>
      <c r="BM54" s="99" t="s">
        <v>579</v>
      </c>
    </row>
    <row r="55" spans="1:217" s="2" customFormat="1" ht="24.75" customHeight="1" x14ac:dyDescent="0.3">
      <c r="A55" s="90">
        <v>52</v>
      </c>
      <c r="B55" s="91">
        <v>52</v>
      </c>
      <c r="C55" s="92" t="s">
        <v>515</v>
      </c>
      <c r="D55" s="93" t="s">
        <v>555</v>
      </c>
      <c r="E55" s="92" t="s">
        <v>563</v>
      </c>
      <c r="F55" s="94" t="s">
        <v>167</v>
      </c>
      <c r="G55" s="92">
        <v>1</v>
      </c>
      <c r="H55" s="94" t="s">
        <v>71</v>
      </c>
      <c r="I55" s="92" t="s">
        <v>201</v>
      </c>
      <c r="J55" s="92" t="s">
        <v>124</v>
      </c>
      <c r="K55" s="94" t="s">
        <v>156</v>
      </c>
      <c r="L55" s="94" t="s">
        <v>69</v>
      </c>
      <c r="M55" s="92" t="s">
        <v>458</v>
      </c>
      <c r="N55" s="95" t="s">
        <v>484</v>
      </c>
      <c r="O55" s="92"/>
      <c r="P55" s="95"/>
      <c r="Q55" s="92" t="s">
        <v>69</v>
      </c>
      <c r="R55" s="92" t="s">
        <v>69</v>
      </c>
      <c r="S55" s="95"/>
      <c r="T55" s="92"/>
      <c r="U55" s="95"/>
      <c r="V55" s="92" t="s">
        <v>484</v>
      </c>
      <c r="W55" s="95" t="s">
        <v>93</v>
      </c>
      <c r="X55" s="92" t="s">
        <v>69</v>
      </c>
      <c r="Y55" s="95"/>
      <c r="Z55" s="96"/>
      <c r="AA55" s="97" t="s">
        <v>485</v>
      </c>
      <c r="AB55" s="92"/>
      <c r="AC55" s="92"/>
      <c r="AD55" s="92"/>
      <c r="AE55" s="92"/>
      <c r="AF55" s="92"/>
      <c r="AG55" s="92"/>
      <c r="AH55" s="92"/>
      <c r="AI55" s="92"/>
      <c r="AJ55" s="92"/>
      <c r="AK55" s="92"/>
      <c r="AL55" s="92"/>
      <c r="AM55" s="92"/>
      <c r="AN55" s="110"/>
      <c r="AO55" s="92"/>
      <c r="AP55" s="92"/>
      <c r="AQ55" s="92"/>
      <c r="AR55" s="92"/>
      <c r="AS55" s="92"/>
      <c r="AT55" s="92"/>
      <c r="AU55" s="92"/>
      <c r="AV55" s="92"/>
      <c r="AW55" s="92"/>
      <c r="AX55" s="92"/>
      <c r="AY55" s="92"/>
      <c r="AZ55" s="92"/>
      <c r="BA55" s="92"/>
      <c r="BB55" s="92"/>
      <c r="BC55" s="92"/>
      <c r="BD55" s="92"/>
      <c r="BE55" s="92"/>
      <c r="BF55" s="92"/>
      <c r="BG55" s="92"/>
      <c r="BH55" s="98"/>
      <c r="BI55" s="98"/>
      <c r="BJ55" s="98"/>
      <c r="BK55" s="98"/>
      <c r="BL55" s="98"/>
      <c r="BM55" s="99"/>
    </row>
    <row r="56" spans="1:217" s="2" customFormat="1" ht="24.75" customHeight="1" x14ac:dyDescent="0.3">
      <c r="A56" s="90">
        <v>53</v>
      </c>
      <c r="B56" s="91">
        <v>53</v>
      </c>
      <c r="C56" s="92" t="s">
        <v>515</v>
      </c>
      <c r="D56" s="93" t="s">
        <v>555</v>
      </c>
      <c r="E56" s="92" t="s">
        <v>563</v>
      </c>
      <c r="F56" s="94" t="s">
        <v>167</v>
      </c>
      <c r="G56" s="92">
        <v>1</v>
      </c>
      <c r="H56" s="94" t="s">
        <v>39</v>
      </c>
      <c r="I56" s="92" t="s">
        <v>201</v>
      </c>
      <c r="J56" s="92" t="s">
        <v>124</v>
      </c>
      <c r="K56" s="94" t="s">
        <v>156</v>
      </c>
      <c r="L56" s="94" t="s">
        <v>69</v>
      </c>
      <c r="M56" s="92" t="s">
        <v>458</v>
      </c>
      <c r="N56" s="95" t="s">
        <v>484</v>
      </c>
      <c r="O56" s="92"/>
      <c r="P56" s="95"/>
      <c r="Q56" s="92" t="s">
        <v>69</v>
      </c>
      <c r="R56" s="92" t="s">
        <v>69</v>
      </c>
      <c r="S56" s="95"/>
      <c r="T56" s="92"/>
      <c r="U56" s="95"/>
      <c r="V56" s="92" t="s">
        <v>484</v>
      </c>
      <c r="W56" s="95" t="s">
        <v>93</v>
      </c>
      <c r="X56" s="92" t="s">
        <v>69</v>
      </c>
      <c r="Y56" s="95"/>
      <c r="Z56" s="96"/>
      <c r="AA56" s="97" t="s">
        <v>489</v>
      </c>
      <c r="AB56" s="92"/>
      <c r="AC56" s="92"/>
      <c r="AD56" s="92"/>
      <c r="AE56" s="92"/>
      <c r="AF56" s="92"/>
      <c r="AG56" s="92"/>
      <c r="AH56" s="92"/>
      <c r="AI56" s="92"/>
      <c r="AJ56" s="92"/>
      <c r="AK56" s="92"/>
      <c r="AL56" s="92"/>
      <c r="AM56" s="92"/>
      <c r="AN56" s="110"/>
      <c r="AO56" s="92"/>
      <c r="AP56" s="92"/>
      <c r="AQ56" s="92">
        <v>0</v>
      </c>
      <c r="AR56" s="92"/>
      <c r="AS56" s="92"/>
      <c r="AT56" s="92"/>
      <c r="AU56" s="92"/>
      <c r="AV56" s="92"/>
      <c r="AW56" s="92">
        <v>1</v>
      </c>
      <c r="AX56" s="92"/>
      <c r="AY56" s="92"/>
      <c r="AZ56" s="92"/>
      <c r="BA56" s="92"/>
      <c r="BB56" s="92"/>
      <c r="BC56" s="92"/>
      <c r="BD56" s="92"/>
      <c r="BE56" s="92"/>
      <c r="BF56" s="92"/>
      <c r="BG56" s="92"/>
      <c r="BH56" s="98"/>
      <c r="BI56" s="98">
        <v>0</v>
      </c>
      <c r="BJ56" s="98"/>
      <c r="BK56" s="98"/>
      <c r="BL56" s="98"/>
      <c r="BM56" s="99" t="s">
        <v>583</v>
      </c>
    </row>
    <row r="57" spans="1:217" s="2" customFormat="1" ht="24.75" customHeight="1" x14ac:dyDescent="0.3">
      <c r="A57" s="90">
        <v>54</v>
      </c>
      <c r="B57" s="91">
        <v>54</v>
      </c>
      <c r="C57" s="92" t="s">
        <v>515</v>
      </c>
      <c r="D57" s="93" t="s">
        <v>555</v>
      </c>
      <c r="E57" s="92" t="s">
        <v>564</v>
      </c>
      <c r="F57" s="94" t="s">
        <v>167</v>
      </c>
      <c r="G57" s="92">
        <v>1</v>
      </c>
      <c r="H57" s="94" t="s">
        <v>39</v>
      </c>
      <c r="I57" s="92" t="s">
        <v>201</v>
      </c>
      <c r="J57" s="92" t="s">
        <v>123</v>
      </c>
      <c r="K57" s="94" t="s">
        <v>156</v>
      </c>
      <c r="L57" s="94" t="s">
        <v>69</v>
      </c>
      <c r="M57" s="92" t="s">
        <v>458</v>
      </c>
      <c r="N57" s="95" t="s">
        <v>484</v>
      </c>
      <c r="O57" s="92"/>
      <c r="P57" s="95"/>
      <c r="Q57" s="92" t="s">
        <v>69</v>
      </c>
      <c r="R57" s="92" t="s">
        <v>69</v>
      </c>
      <c r="S57" s="95"/>
      <c r="T57" s="92"/>
      <c r="U57" s="95"/>
      <c r="V57" s="92" t="s">
        <v>484</v>
      </c>
      <c r="W57" s="95" t="s">
        <v>93</v>
      </c>
      <c r="X57" s="92" t="s">
        <v>69</v>
      </c>
      <c r="Y57" s="95"/>
      <c r="Z57" s="96"/>
      <c r="AA57" s="97" t="s">
        <v>485</v>
      </c>
      <c r="AB57" s="92"/>
      <c r="AC57" s="92"/>
      <c r="AD57" s="92"/>
      <c r="AE57" s="92"/>
      <c r="AF57" s="92"/>
      <c r="AG57" s="92"/>
      <c r="AH57" s="92"/>
      <c r="AI57" s="92"/>
      <c r="AJ57" s="92"/>
      <c r="AK57" s="92"/>
      <c r="AL57" s="92"/>
      <c r="AM57" s="92"/>
      <c r="AN57" s="110"/>
      <c r="AO57" s="92"/>
      <c r="AP57" s="92"/>
      <c r="AQ57" s="92"/>
      <c r="AR57" s="92"/>
      <c r="AS57" s="92"/>
      <c r="AT57" s="92"/>
      <c r="AU57" s="92"/>
      <c r="AV57" s="92"/>
      <c r="AW57" s="92"/>
      <c r="AX57" s="92"/>
      <c r="AY57" s="92"/>
      <c r="AZ57" s="92"/>
      <c r="BA57" s="92"/>
      <c r="BB57" s="92"/>
      <c r="BC57" s="92"/>
      <c r="BD57" s="92"/>
      <c r="BE57" s="92"/>
      <c r="BF57" s="92"/>
      <c r="BG57" s="92"/>
      <c r="BH57" s="92"/>
      <c r="BI57" s="98"/>
      <c r="BJ57" s="98"/>
      <c r="BK57" s="98"/>
      <c r="BL57" s="98"/>
      <c r="BM57" s="99"/>
    </row>
    <row r="58" spans="1:217" s="2" customFormat="1" ht="24.75" customHeight="1" x14ac:dyDescent="0.3">
      <c r="A58" s="90">
        <v>55</v>
      </c>
      <c r="B58" s="91">
        <v>55</v>
      </c>
      <c r="C58" s="92" t="s">
        <v>515</v>
      </c>
      <c r="D58" s="93" t="s">
        <v>555</v>
      </c>
      <c r="E58" s="92" t="s">
        <v>565</v>
      </c>
      <c r="F58" s="94" t="s">
        <v>167</v>
      </c>
      <c r="G58" s="92">
        <v>1</v>
      </c>
      <c r="H58" s="94" t="s">
        <v>39</v>
      </c>
      <c r="I58" s="92" t="s">
        <v>201</v>
      </c>
      <c r="J58" s="92" t="s">
        <v>123</v>
      </c>
      <c r="K58" s="94" t="s">
        <v>156</v>
      </c>
      <c r="L58" s="94" t="s">
        <v>69</v>
      </c>
      <c r="M58" s="92" t="s">
        <v>458</v>
      </c>
      <c r="N58" s="95" t="s">
        <v>484</v>
      </c>
      <c r="O58" s="92"/>
      <c r="P58" s="95"/>
      <c r="Q58" s="92" t="s">
        <v>69</v>
      </c>
      <c r="R58" s="92" t="s">
        <v>69</v>
      </c>
      <c r="S58" s="95"/>
      <c r="T58" s="92"/>
      <c r="U58" s="95"/>
      <c r="V58" s="92" t="s">
        <v>484</v>
      </c>
      <c r="W58" s="95" t="s">
        <v>93</v>
      </c>
      <c r="X58" s="92" t="s">
        <v>69</v>
      </c>
      <c r="Y58" s="95"/>
      <c r="Z58" s="96"/>
      <c r="AA58" s="97" t="s">
        <v>489</v>
      </c>
      <c r="AB58" s="92"/>
      <c r="AC58" s="92"/>
      <c r="AD58" s="92"/>
      <c r="AE58" s="92"/>
      <c r="AF58" s="92"/>
      <c r="AG58" s="92"/>
      <c r="AH58" s="92"/>
      <c r="AI58" s="92"/>
      <c r="AJ58" s="92"/>
      <c r="AK58" s="92"/>
      <c r="AL58" s="92"/>
      <c r="AM58" s="92"/>
      <c r="AN58" s="110"/>
      <c r="AO58" s="92"/>
      <c r="AP58" s="92"/>
      <c r="AQ58" s="92"/>
      <c r="AR58" s="92"/>
      <c r="AS58" s="92"/>
      <c r="AT58" s="92"/>
      <c r="AU58" s="92"/>
      <c r="AV58" s="92"/>
      <c r="AW58" s="92"/>
      <c r="AX58" s="92"/>
      <c r="AY58" s="92"/>
      <c r="AZ58" s="92"/>
      <c r="BA58" s="92"/>
      <c r="BB58" s="92"/>
      <c r="BC58" s="92"/>
      <c r="BD58" s="92"/>
      <c r="BE58" s="92"/>
      <c r="BF58" s="92"/>
      <c r="BG58" s="92"/>
      <c r="BH58" s="92"/>
      <c r="BI58" s="98"/>
      <c r="BJ58" s="98"/>
      <c r="BK58" s="98"/>
      <c r="BL58" s="98">
        <v>0</v>
      </c>
      <c r="BM58" s="99"/>
    </row>
    <row r="59" spans="1:217" s="2" customFormat="1" ht="24.75" customHeight="1" x14ac:dyDescent="0.3">
      <c r="A59" s="90">
        <v>56</v>
      </c>
      <c r="B59" s="91">
        <v>56</v>
      </c>
      <c r="C59" s="92" t="s">
        <v>515</v>
      </c>
      <c r="D59" s="93" t="s">
        <v>555</v>
      </c>
      <c r="E59" s="92" t="s">
        <v>566</v>
      </c>
      <c r="F59" s="94" t="s">
        <v>167</v>
      </c>
      <c r="G59" s="92">
        <v>1</v>
      </c>
      <c r="H59" s="94" t="s">
        <v>39</v>
      </c>
      <c r="I59" s="92" t="s">
        <v>201</v>
      </c>
      <c r="J59" s="92" t="s">
        <v>124</v>
      </c>
      <c r="K59" s="94" t="s">
        <v>156</v>
      </c>
      <c r="L59" s="94" t="s">
        <v>69</v>
      </c>
      <c r="M59" s="92" t="s">
        <v>458</v>
      </c>
      <c r="N59" s="95" t="s">
        <v>484</v>
      </c>
      <c r="O59" s="92"/>
      <c r="P59" s="95"/>
      <c r="Q59" s="92" t="s">
        <v>69</v>
      </c>
      <c r="R59" s="92" t="s">
        <v>69</v>
      </c>
      <c r="S59" s="95"/>
      <c r="T59" s="92"/>
      <c r="U59" s="95"/>
      <c r="V59" s="92" t="s">
        <v>484</v>
      </c>
      <c r="W59" s="95" t="s">
        <v>93</v>
      </c>
      <c r="X59" s="92" t="s">
        <v>69</v>
      </c>
      <c r="Y59" s="95"/>
      <c r="Z59" s="96"/>
      <c r="AA59" s="97" t="s">
        <v>485</v>
      </c>
      <c r="AB59" s="92"/>
      <c r="AC59" s="92"/>
      <c r="AD59" s="92"/>
      <c r="AE59" s="92"/>
      <c r="AF59" s="92"/>
      <c r="AG59" s="92"/>
      <c r="AH59" s="92"/>
      <c r="AI59" s="92"/>
      <c r="AJ59" s="92"/>
      <c r="AK59" s="92"/>
      <c r="AL59" s="92"/>
      <c r="AM59" s="92"/>
      <c r="AN59" s="110"/>
      <c r="AO59" s="92"/>
      <c r="AP59" s="92"/>
      <c r="AQ59" s="92"/>
      <c r="AR59" s="92"/>
      <c r="AS59" s="92"/>
      <c r="AT59" s="92"/>
      <c r="AU59" s="92"/>
      <c r="AV59" s="92"/>
      <c r="AW59" s="92"/>
      <c r="AX59" s="92"/>
      <c r="AY59" s="92"/>
      <c r="AZ59" s="92"/>
      <c r="BA59" s="92"/>
      <c r="BB59" s="92"/>
      <c r="BC59" s="92"/>
      <c r="BD59" s="92"/>
      <c r="BE59" s="92"/>
      <c r="BF59" s="92"/>
      <c r="BG59" s="92"/>
      <c r="BH59" s="92"/>
      <c r="BI59" s="98"/>
      <c r="BJ59" s="98"/>
      <c r="BK59" s="98"/>
      <c r="BL59" s="98"/>
      <c r="BM59" s="99"/>
    </row>
    <row r="60" spans="1:217" s="2" customFormat="1" ht="24.75" customHeight="1" x14ac:dyDescent="0.3">
      <c r="A60" s="90">
        <v>57</v>
      </c>
      <c r="B60" s="91">
        <v>57</v>
      </c>
      <c r="C60" s="92" t="s">
        <v>515</v>
      </c>
      <c r="D60" s="93" t="s">
        <v>555</v>
      </c>
      <c r="E60" s="92" t="s">
        <v>567</v>
      </c>
      <c r="F60" s="94" t="s">
        <v>166</v>
      </c>
      <c r="G60" s="92">
        <v>1</v>
      </c>
      <c r="H60" s="94" t="s">
        <v>39</v>
      </c>
      <c r="I60" s="92" t="s">
        <v>201</v>
      </c>
      <c r="J60" s="92" t="s">
        <v>123</v>
      </c>
      <c r="K60" s="94" t="s">
        <v>156</v>
      </c>
      <c r="L60" s="94" t="s">
        <v>69</v>
      </c>
      <c r="M60" s="92" t="s">
        <v>458</v>
      </c>
      <c r="N60" s="95" t="s">
        <v>484</v>
      </c>
      <c r="O60" s="92"/>
      <c r="P60" s="95" t="s">
        <v>484</v>
      </c>
      <c r="Q60" s="92" t="s">
        <v>69</v>
      </c>
      <c r="R60" s="92" t="s">
        <v>69</v>
      </c>
      <c r="S60" s="95"/>
      <c r="T60" s="92"/>
      <c r="U60" s="95"/>
      <c r="V60" s="92" t="s">
        <v>484</v>
      </c>
      <c r="W60" s="95" t="s">
        <v>93</v>
      </c>
      <c r="X60" s="92" t="s">
        <v>69</v>
      </c>
      <c r="Y60" s="95"/>
      <c r="Z60" s="96"/>
      <c r="AA60" s="97" t="s">
        <v>485</v>
      </c>
      <c r="AB60" s="92"/>
      <c r="AC60" s="92"/>
      <c r="AD60" s="92"/>
      <c r="AE60" s="92"/>
      <c r="AF60" s="92"/>
      <c r="AG60" s="92"/>
      <c r="AH60" s="92"/>
      <c r="AI60" s="92"/>
      <c r="AJ60" s="92"/>
      <c r="AK60" s="92"/>
      <c r="AL60" s="92"/>
      <c r="AM60" s="92"/>
      <c r="AN60" s="110"/>
      <c r="AO60" s="92"/>
      <c r="AP60" s="92"/>
      <c r="AQ60" s="92"/>
      <c r="AR60" s="92"/>
      <c r="AS60" s="92"/>
      <c r="AT60" s="92"/>
      <c r="AU60" s="92"/>
      <c r="AV60" s="92"/>
      <c r="AW60" s="92"/>
      <c r="AX60" s="92"/>
      <c r="AY60" s="92"/>
      <c r="AZ60" s="92"/>
      <c r="BA60" s="92"/>
      <c r="BB60" s="92"/>
      <c r="BC60" s="92"/>
      <c r="BD60" s="92"/>
      <c r="BE60" s="92"/>
      <c r="BF60" s="92"/>
      <c r="BG60" s="92"/>
      <c r="BH60" s="92"/>
      <c r="BI60" s="98"/>
      <c r="BJ60" s="98"/>
      <c r="BK60" s="98"/>
      <c r="BL60" s="98"/>
      <c r="BM60" s="99"/>
    </row>
    <row r="61" spans="1:217" s="2" customFormat="1" ht="24.75" customHeight="1" x14ac:dyDescent="0.3">
      <c r="A61" s="90">
        <v>58</v>
      </c>
      <c r="B61" s="91">
        <v>58</v>
      </c>
      <c r="C61" s="92" t="s">
        <v>515</v>
      </c>
      <c r="D61" s="93" t="s">
        <v>555</v>
      </c>
      <c r="E61" s="92" t="s">
        <v>522</v>
      </c>
      <c r="F61" s="94" t="s">
        <v>170</v>
      </c>
      <c r="G61" s="92">
        <v>1</v>
      </c>
      <c r="H61" s="94" t="s">
        <v>125</v>
      </c>
      <c r="I61" s="92" t="s">
        <v>192</v>
      </c>
      <c r="J61" s="92" t="s">
        <v>123</v>
      </c>
      <c r="K61" s="94" t="s">
        <v>131</v>
      </c>
      <c r="L61" s="94" t="s">
        <v>557</v>
      </c>
      <c r="M61" s="92" t="s">
        <v>554</v>
      </c>
      <c r="N61" s="95"/>
      <c r="O61" s="92" t="s">
        <v>484</v>
      </c>
      <c r="P61" s="95"/>
      <c r="Q61" s="92" t="s">
        <v>69</v>
      </c>
      <c r="R61" s="92" t="s">
        <v>69</v>
      </c>
      <c r="S61" s="95" t="s">
        <v>484</v>
      </c>
      <c r="T61" s="92" t="s">
        <v>484</v>
      </c>
      <c r="U61" s="95" t="s">
        <v>484</v>
      </c>
      <c r="V61" s="92" t="s">
        <v>484</v>
      </c>
      <c r="W61" s="95" t="s">
        <v>93</v>
      </c>
      <c r="X61" s="92" t="s">
        <v>50</v>
      </c>
      <c r="Y61" s="95" t="s">
        <v>484</v>
      </c>
      <c r="Z61" s="96"/>
      <c r="AA61" s="97" t="s">
        <v>485</v>
      </c>
      <c r="AB61" s="92"/>
      <c r="AC61" s="92"/>
      <c r="AD61" s="92"/>
      <c r="AE61" s="92"/>
      <c r="AF61" s="92"/>
      <c r="AG61" s="92"/>
      <c r="AH61" s="92"/>
      <c r="AI61" s="92"/>
      <c r="AJ61" s="92"/>
      <c r="AK61" s="92"/>
      <c r="AL61" s="92"/>
      <c r="AM61" s="92"/>
      <c r="AN61" s="110"/>
      <c r="AO61" s="92"/>
      <c r="AP61" s="92"/>
      <c r="AQ61" s="92"/>
      <c r="AR61" s="92"/>
      <c r="AS61" s="92"/>
      <c r="AT61" s="92"/>
      <c r="AU61" s="92"/>
      <c r="AV61" s="92"/>
      <c r="AW61" s="92"/>
      <c r="AX61" s="92"/>
      <c r="AY61" s="92"/>
      <c r="AZ61" s="92"/>
      <c r="BA61" s="92"/>
      <c r="BB61" s="92"/>
      <c r="BC61" s="92"/>
      <c r="BD61" s="92"/>
      <c r="BE61" s="92"/>
      <c r="BF61" s="92">
        <v>0</v>
      </c>
      <c r="BG61" s="92"/>
      <c r="BH61" s="92"/>
      <c r="BI61" s="98"/>
      <c r="BJ61" s="98"/>
      <c r="BK61" s="98"/>
      <c r="BL61" s="98"/>
      <c r="BM61" s="99" t="s">
        <v>592</v>
      </c>
    </row>
    <row r="62" spans="1:217" s="2" customFormat="1" ht="24.75" customHeight="1" x14ac:dyDescent="0.3">
      <c r="A62" s="90">
        <v>59</v>
      </c>
      <c r="B62" s="91">
        <v>59</v>
      </c>
      <c r="C62" s="92" t="s">
        <v>515</v>
      </c>
      <c r="D62" s="93" t="s">
        <v>555</v>
      </c>
      <c r="E62" s="92" t="s">
        <v>499</v>
      </c>
      <c r="F62" s="94" t="s">
        <v>170</v>
      </c>
      <c r="G62" s="92">
        <v>1</v>
      </c>
      <c r="H62" s="94" t="s">
        <v>125</v>
      </c>
      <c r="I62" s="92" t="s">
        <v>192</v>
      </c>
      <c r="J62" s="92" t="s">
        <v>124</v>
      </c>
      <c r="K62" s="94" t="s">
        <v>129</v>
      </c>
      <c r="L62" s="94" t="s">
        <v>568</v>
      </c>
      <c r="M62" s="92" t="s">
        <v>554</v>
      </c>
      <c r="N62" s="95"/>
      <c r="O62" s="92" t="s">
        <v>484</v>
      </c>
      <c r="P62" s="95" t="s">
        <v>484</v>
      </c>
      <c r="Q62" s="92" t="s">
        <v>69</v>
      </c>
      <c r="R62" s="92" t="s">
        <v>69</v>
      </c>
      <c r="S62" s="95" t="s">
        <v>484</v>
      </c>
      <c r="T62" s="92" t="s">
        <v>484</v>
      </c>
      <c r="U62" s="95"/>
      <c r="V62" s="92" t="s">
        <v>484</v>
      </c>
      <c r="W62" s="95" t="s">
        <v>93</v>
      </c>
      <c r="X62" s="92" t="s">
        <v>50</v>
      </c>
      <c r="Y62" s="95" t="s">
        <v>484</v>
      </c>
      <c r="Z62" s="96"/>
      <c r="AA62" s="97" t="s">
        <v>485</v>
      </c>
      <c r="AB62" s="92"/>
      <c r="AC62" s="92"/>
      <c r="AD62" s="92"/>
      <c r="AE62" s="92"/>
      <c r="AF62" s="92"/>
      <c r="AG62" s="92"/>
      <c r="AH62" s="92"/>
      <c r="AI62" s="92"/>
      <c r="AJ62" s="92"/>
      <c r="AK62" s="92"/>
      <c r="AL62" s="92"/>
      <c r="AM62" s="92"/>
      <c r="AN62" s="110"/>
      <c r="AO62" s="92"/>
      <c r="AP62" s="92"/>
      <c r="AQ62" s="92"/>
      <c r="AR62" s="92"/>
      <c r="AS62" s="92"/>
      <c r="AT62" s="92"/>
      <c r="AU62" s="92"/>
      <c r="AV62" s="92"/>
      <c r="AW62" s="92"/>
      <c r="AX62" s="92"/>
      <c r="AY62" s="92"/>
      <c r="AZ62" s="92"/>
      <c r="BA62" s="92"/>
      <c r="BB62" s="92"/>
      <c r="BC62" s="92"/>
      <c r="BD62" s="92"/>
      <c r="BE62" s="92"/>
      <c r="BF62" s="92"/>
      <c r="BG62" s="92"/>
      <c r="BH62" s="92"/>
      <c r="BI62" s="98"/>
      <c r="BJ62" s="98"/>
      <c r="BK62" s="98"/>
      <c r="BL62" s="98"/>
      <c r="BM62" s="99"/>
    </row>
    <row r="63" spans="1:217" s="2" customFormat="1" ht="50.5" thickBot="1" x14ac:dyDescent="0.35">
      <c r="A63" s="87">
        <v>60</v>
      </c>
      <c r="B63" s="86">
        <v>60</v>
      </c>
      <c r="C63" s="78" t="s">
        <v>515</v>
      </c>
      <c r="D63" s="79" t="s">
        <v>555</v>
      </c>
      <c r="E63" s="78" t="s">
        <v>571</v>
      </c>
      <c r="F63" s="80" t="s">
        <v>172</v>
      </c>
      <c r="G63" s="78">
        <v>2</v>
      </c>
      <c r="H63" s="80" t="s">
        <v>38</v>
      </c>
      <c r="I63" s="78" t="s">
        <v>74</v>
      </c>
      <c r="J63" s="78" t="s">
        <v>82</v>
      </c>
      <c r="K63" s="80" t="s">
        <v>569</v>
      </c>
      <c r="L63" s="80" t="s">
        <v>146</v>
      </c>
      <c r="M63" s="78" t="s">
        <v>570</v>
      </c>
      <c r="N63" s="81"/>
      <c r="O63" s="78" t="s">
        <v>484</v>
      </c>
      <c r="P63" s="81"/>
      <c r="Q63" s="78" t="s">
        <v>69</v>
      </c>
      <c r="R63" s="78" t="s">
        <v>69</v>
      </c>
      <c r="S63" s="81" t="s">
        <v>484</v>
      </c>
      <c r="T63" s="78" t="s">
        <v>484</v>
      </c>
      <c r="U63" s="81"/>
      <c r="V63" s="78" t="s">
        <v>484</v>
      </c>
      <c r="W63" s="81" t="s">
        <v>94</v>
      </c>
      <c r="X63" s="78" t="s">
        <v>51</v>
      </c>
      <c r="Y63" s="81" t="s">
        <v>484</v>
      </c>
      <c r="Z63" s="82" t="s">
        <v>484</v>
      </c>
      <c r="AA63" s="83" t="s">
        <v>489</v>
      </c>
      <c r="AB63" s="78"/>
      <c r="AC63" s="78"/>
      <c r="AD63" s="78"/>
      <c r="AE63" s="78"/>
      <c r="AF63" s="78"/>
      <c r="AG63" s="78"/>
      <c r="AH63" s="78"/>
      <c r="AI63" s="78"/>
      <c r="AJ63" s="78"/>
      <c r="AK63" s="78"/>
      <c r="AL63" s="78"/>
      <c r="AM63" s="78"/>
      <c r="AN63" s="111"/>
      <c r="AO63" s="78"/>
      <c r="AP63" s="78"/>
      <c r="AQ63" s="78"/>
      <c r="AR63" s="78"/>
      <c r="AS63" s="78"/>
      <c r="AT63" s="78"/>
      <c r="AU63" s="78"/>
      <c r="AV63" s="78"/>
      <c r="AW63" s="78"/>
      <c r="AX63" s="78"/>
      <c r="AY63" s="78"/>
      <c r="AZ63" s="78"/>
      <c r="BA63" s="78"/>
      <c r="BB63" s="78"/>
      <c r="BC63" s="78"/>
      <c r="BD63" s="78"/>
      <c r="BE63" s="78"/>
      <c r="BF63" s="78"/>
      <c r="BG63" s="78"/>
      <c r="BH63" s="78"/>
      <c r="BI63" s="78"/>
      <c r="BJ63" s="84">
        <v>0</v>
      </c>
      <c r="BK63" s="84"/>
      <c r="BL63" s="84"/>
      <c r="BM63" s="85" t="s">
        <v>593</v>
      </c>
    </row>
    <row r="64" spans="1:217" s="22" customFormat="1" ht="15" thickBot="1" x14ac:dyDescent="0.4">
      <c r="A64"/>
      <c r="B64"/>
      <c r="C64"/>
      <c r="D64"/>
      <c r="E64"/>
      <c r="F64"/>
      <c r="G64"/>
      <c r="H64"/>
      <c r="I64"/>
      <c r="J64"/>
      <c r="K64"/>
      <c r="L64"/>
      <c r="M64"/>
      <c r="N64"/>
      <c r="O64"/>
      <c r="P64"/>
      <c r="Q64"/>
      <c r="R64"/>
      <c r="S64"/>
      <c r="T64"/>
      <c r="U64"/>
      <c r="V64"/>
      <c r="W64"/>
      <c r="X64"/>
      <c r="Y64"/>
      <c r="Z64"/>
      <c r="AA64"/>
      <c r="AB64" s="23">
        <f t="shared" ref="AB64:BL64" ca="1" si="0">SUM(INDIRECT(ADDRESS(4,COLUMN(),4) &amp; ":" &amp; ADDRESS(ROW()-1,COLUMN(),4)))</f>
        <v>0</v>
      </c>
      <c r="AC64" s="23">
        <f t="shared" ca="1" si="0"/>
        <v>0</v>
      </c>
      <c r="AD64" s="23">
        <f t="shared" ca="1" si="0"/>
        <v>0</v>
      </c>
      <c r="AE64" s="23">
        <f t="shared" ca="1" si="0"/>
        <v>0</v>
      </c>
      <c r="AF64" s="23">
        <f t="shared" ca="1" si="0"/>
        <v>10</v>
      </c>
      <c r="AG64" s="23">
        <f t="shared" ca="1" si="0"/>
        <v>1</v>
      </c>
      <c r="AH64" s="23">
        <f t="shared" ca="1" si="0"/>
        <v>0</v>
      </c>
      <c r="AI64" s="23">
        <f t="shared" ca="1" si="0"/>
        <v>0</v>
      </c>
      <c r="AJ64" s="23">
        <f t="shared" ca="1" si="0"/>
        <v>8</v>
      </c>
      <c r="AK64" s="23">
        <f t="shared" ca="1" si="0"/>
        <v>0</v>
      </c>
      <c r="AL64" s="23">
        <f t="shared" ca="1" si="0"/>
        <v>0</v>
      </c>
      <c r="AM64" s="23">
        <f t="shared" ca="1" si="0"/>
        <v>8</v>
      </c>
      <c r="AN64" s="23">
        <f t="shared" ca="1" si="0"/>
        <v>8</v>
      </c>
      <c r="AO64" s="23">
        <f t="shared" ca="1" si="0"/>
        <v>0</v>
      </c>
      <c r="AP64" s="23">
        <f t="shared" ca="1" si="0"/>
        <v>1</v>
      </c>
      <c r="AQ64" s="23">
        <f t="shared" ca="1" si="0"/>
        <v>0</v>
      </c>
      <c r="AR64" s="23">
        <f t="shared" ca="1" si="0"/>
        <v>0</v>
      </c>
      <c r="AS64" s="23">
        <f t="shared" ca="1" si="0"/>
        <v>0</v>
      </c>
      <c r="AT64" s="23">
        <f t="shared" ca="1" si="0"/>
        <v>0</v>
      </c>
      <c r="AU64" s="23">
        <f t="shared" ca="1" si="0"/>
        <v>0</v>
      </c>
      <c r="AV64" s="23">
        <f t="shared" ca="1" si="0"/>
        <v>0</v>
      </c>
      <c r="AW64" s="23">
        <f t="shared" ca="1" si="0"/>
        <v>3</v>
      </c>
      <c r="AX64" s="23">
        <f t="shared" ca="1" si="0"/>
        <v>0</v>
      </c>
      <c r="AY64" s="23">
        <f t="shared" ca="1" si="0"/>
        <v>1</v>
      </c>
      <c r="AZ64" s="23">
        <f t="shared" ca="1" si="0"/>
        <v>0</v>
      </c>
      <c r="BA64" s="23">
        <f t="shared" ca="1" si="0"/>
        <v>0</v>
      </c>
      <c r="BB64" s="23">
        <f t="shared" ca="1" si="0"/>
        <v>0</v>
      </c>
      <c r="BC64" s="23">
        <f t="shared" ca="1" si="0"/>
        <v>0</v>
      </c>
      <c r="BD64" s="23">
        <f t="shared" ca="1" si="0"/>
        <v>3</v>
      </c>
      <c r="BE64" s="23">
        <f t="shared" ca="1" si="0"/>
        <v>0</v>
      </c>
      <c r="BF64" s="23">
        <f t="shared" ca="1" si="0"/>
        <v>0</v>
      </c>
      <c r="BG64" s="23">
        <f t="shared" ca="1" si="0"/>
        <v>0</v>
      </c>
      <c r="BH64" s="23">
        <f t="shared" ca="1" si="0"/>
        <v>0</v>
      </c>
      <c r="BI64" s="23">
        <f t="shared" ca="1" si="0"/>
        <v>0</v>
      </c>
      <c r="BJ64" s="23">
        <f t="shared" ca="1" si="0"/>
        <v>0</v>
      </c>
      <c r="BK64" s="23">
        <f t="shared" ca="1" si="0"/>
        <v>0</v>
      </c>
      <c r="BL64" s="23">
        <f t="shared" ca="1" si="0"/>
        <v>0</v>
      </c>
      <c r="BM64" s="24" t="s">
        <v>0</v>
      </c>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c r="EA64"/>
      <c r="EB64"/>
      <c r="EC64"/>
      <c r="ED64"/>
      <c r="EE64"/>
      <c r="EF64"/>
      <c r="EG64"/>
      <c r="EH64"/>
      <c r="EI64"/>
      <c r="EJ64"/>
      <c r="EK64"/>
      <c r="EL64"/>
      <c r="EM64"/>
      <c r="EN64"/>
      <c r="EO64"/>
      <c r="EP64"/>
      <c r="EQ64"/>
      <c r="ER64"/>
      <c r="ES64"/>
      <c r="ET64"/>
      <c r="EU64"/>
      <c r="EV64"/>
      <c r="EW64"/>
      <c r="EX64"/>
      <c r="EY64"/>
      <c r="EZ64"/>
      <c r="FA64"/>
      <c r="FB64"/>
      <c r="FC64"/>
      <c r="FD64"/>
      <c r="FE64"/>
      <c r="FF64"/>
      <c r="FG64"/>
      <c r="FH64"/>
      <c r="FI64"/>
      <c r="FJ64"/>
      <c r="FK64"/>
      <c r="FL64"/>
      <c r="FM64"/>
      <c r="FN64"/>
      <c r="FO64"/>
      <c r="FP64"/>
      <c r="FQ64"/>
      <c r="FR64"/>
      <c r="FS64"/>
      <c r="FT64"/>
      <c r="FU64"/>
      <c r="FV64"/>
      <c r="FW64"/>
      <c r="FX64"/>
      <c r="FY64"/>
      <c r="FZ64"/>
      <c r="GA64"/>
      <c r="GB64"/>
      <c r="GC64"/>
      <c r="GD64"/>
      <c r="GE64"/>
      <c r="GF64"/>
      <c r="GG64"/>
      <c r="GH64"/>
      <c r="GI64"/>
      <c r="GJ64"/>
      <c r="GK64"/>
      <c r="GL64"/>
      <c r="GM64"/>
      <c r="GN64"/>
      <c r="GO64"/>
      <c r="GP64"/>
      <c r="GQ64"/>
      <c r="GR64"/>
      <c r="GS64"/>
      <c r="GT64"/>
      <c r="GU64"/>
      <c r="GV64"/>
      <c r="GW64"/>
      <c r="GX64"/>
      <c r="GY64"/>
      <c r="GZ64"/>
      <c r="HA64"/>
      <c r="HB64"/>
      <c r="HC64"/>
      <c r="HD64"/>
      <c r="HE64"/>
      <c r="HF64"/>
      <c r="HG64"/>
      <c r="HH64"/>
      <c r="HI64"/>
    </row>
  </sheetData>
  <sheetProtection autoFilter="0"/>
  <autoFilter ref="A3:BM64" xr:uid="{00000000-0009-0000-0000-000000000000}"/>
  <mergeCells count="4">
    <mergeCell ref="F2:J2"/>
    <mergeCell ref="K2:R2"/>
    <mergeCell ref="S2:Z2"/>
    <mergeCell ref="AB2:BL2"/>
  </mergeCells>
  <pageMargins left="0.23622047244094491" right="0.23622047244094491" top="0.59055118110236227" bottom="0.39370078740157483" header="0.11811023622047245" footer="0.11811023622047245"/>
  <pageSetup paperSize="8" scale="38" fitToHeight="0" orientation="landscape" r:id="rId1"/>
  <headerFooter>
    <oddHeader>&amp;L&amp;"-,Fett"&amp;16Prüfprotokoll Brand- und Rauchschutztüren&amp;R&amp;G</oddHeader>
    <oddFooter>&amp;L&amp;F&amp;C&amp;N&amp;R&amp;D</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4577" r:id="rId5" name="Button 5">
              <controlPr defaultSize="0" print="0" autoFill="0" autoPict="0" macro="[0]!CreateTemplate">
                <anchor>
                  <from>
                    <xdr:col>0</xdr:col>
                    <xdr:colOff>63500</xdr:colOff>
                    <xdr:row>1</xdr:row>
                    <xdr:rowOff>69850</xdr:rowOff>
                  </from>
                  <to>
                    <xdr:col>0</xdr:col>
                    <xdr:colOff>711200</xdr:colOff>
                    <xdr:row>1</xdr:row>
                    <xdr:rowOff>584200</xdr:rowOff>
                  </to>
                </anchor>
              </controlPr>
            </control>
          </mc:Choice>
        </mc:AlternateContent>
        <mc:AlternateContent xmlns:mc="http://schemas.openxmlformats.org/markup-compatibility/2006">
          <mc:Choice Requires="x14">
            <control shapeId="24578" r:id="rId6" name="Button 7">
              <controlPr defaultSize="0" print="0" autoFill="0" autoPict="0" macro="[0]!CreateDoor">
                <anchor>
                  <from>
                    <xdr:col>2</xdr:col>
                    <xdr:colOff>101600</xdr:colOff>
                    <xdr:row>1</xdr:row>
                    <xdr:rowOff>69850</xdr:rowOff>
                  </from>
                  <to>
                    <xdr:col>2</xdr:col>
                    <xdr:colOff>755650</xdr:colOff>
                    <xdr:row>1</xdr:row>
                    <xdr:rowOff>609600</xdr:rowOff>
                  </to>
                </anchor>
              </controlPr>
            </control>
          </mc:Choice>
        </mc:AlternateContent>
        <mc:AlternateContent xmlns:mc="http://schemas.openxmlformats.org/markup-compatibility/2006">
          <mc:Choice Requires="x14">
            <control shapeId="24579" r:id="rId7" name="Button 8">
              <controlPr defaultSize="0" print="0" autoFill="0" autoPict="0" macro="[0]!ChangeDoor">
                <anchor>
                  <from>
                    <xdr:col>3</xdr:col>
                    <xdr:colOff>69850</xdr:colOff>
                    <xdr:row>1</xdr:row>
                    <xdr:rowOff>69850</xdr:rowOff>
                  </from>
                  <to>
                    <xdr:col>3</xdr:col>
                    <xdr:colOff>736600</xdr:colOff>
                    <xdr:row>1</xdr:row>
                    <xdr:rowOff>609600</xdr:rowOff>
                  </to>
                </anchor>
              </controlPr>
            </control>
          </mc:Choice>
        </mc:AlternateContent>
        <mc:AlternateContent xmlns:mc="http://schemas.openxmlformats.org/markup-compatibility/2006">
          <mc:Choice Requires="x14">
            <control shapeId="24580" r:id="rId8" name="Button 9">
              <controlPr defaultSize="0" print="0" autoFill="0" autoPict="0" macro="[0]!CreateInspection">
                <anchor>
                  <from>
                    <xdr:col>1</xdr:col>
                    <xdr:colOff>63500</xdr:colOff>
                    <xdr:row>1</xdr:row>
                    <xdr:rowOff>101600</xdr:rowOff>
                  </from>
                  <to>
                    <xdr:col>1</xdr:col>
                    <xdr:colOff>736600</xdr:colOff>
                    <xdr:row>1</xdr:row>
                    <xdr:rowOff>584200</xdr:rowOff>
                  </to>
                </anchor>
              </controlPr>
            </control>
          </mc:Choice>
        </mc:AlternateContent>
        <mc:AlternateContent xmlns:mc="http://schemas.openxmlformats.org/markup-compatibility/2006">
          <mc:Choice Requires="x14">
            <control shapeId="24581" r:id="rId9" name="Button 10">
              <controlPr defaultSize="0" print="0" autoFill="0" autoPict="0" macro="[0]!searchAndReplace">
                <anchor>
                  <from>
                    <xdr:col>4</xdr:col>
                    <xdr:colOff>69850</xdr:colOff>
                    <xdr:row>1</xdr:row>
                    <xdr:rowOff>101600</xdr:rowOff>
                  </from>
                  <to>
                    <xdr:col>4</xdr:col>
                    <xdr:colOff>755650</xdr:colOff>
                    <xdr:row>1</xdr:row>
                    <xdr:rowOff>584200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374ABF-05AB-49F5-965E-9BDDCDFEED95}">
  <sheetPr codeName="Tabelle11">
    <pageSetUpPr fitToPage="1"/>
  </sheetPr>
  <dimension ref="A1:U232"/>
  <sheetViews>
    <sheetView zoomScale="75" zoomScaleNormal="75" workbookViewId="0">
      <selection activeCell="A3" sqref="A3:A127"/>
    </sheetView>
  </sheetViews>
  <sheetFormatPr baseColWidth="10" defaultRowHeight="14.5" x14ac:dyDescent="0.35"/>
  <cols>
    <col min="2" max="2" width="42" bestFit="1" customWidth="1"/>
    <col min="3" max="3" width="32" bestFit="1" customWidth="1"/>
    <col min="6" max="6" width="20.1796875" bestFit="1" customWidth="1"/>
    <col min="7" max="7" width="13.81640625" customWidth="1"/>
    <col min="8" max="8" width="10.81640625" bestFit="1" customWidth="1"/>
    <col min="9" max="9" width="18.1796875" bestFit="1" customWidth="1"/>
    <col min="10" max="10" width="13.453125" bestFit="1" customWidth="1"/>
    <col min="21" max="21" width="11.54296875" style="31"/>
  </cols>
  <sheetData>
    <row r="1" spans="1:21" ht="15" thickBot="1" x14ac:dyDescent="0.4">
      <c r="A1" s="6" t="s">
        <v>481</v>
      </c>
    </row>
    <row r="2" spans="1:21" ht="44" thickBot="1" x14ac:dyDescent="0.4">
      <c r="A2" s="42" t="s">
        <v>52</v>
      </c>
      <c r="B2" s="42" t="s">
        <v>53</v>
      </c>
      <c r="C2" s="42" t="s">
        <v>161</v>
      </c>
      <c r="D2" s="42" t="s">
        <v>162</v>
      </c>
      <c r="E2" s="43" t="s">
        <v>54</v>
      </c>
      <c r="F2" s="43" t="s">
        <v>163</v>
      </c>
      <c r="G2" s="43" t="s">
        <v>164</v>
      </c>
      <c r="H2" s="43" t="s">
        <v>55</v>
      </c>
      <c r="I2" s="43" t="s">
        <v>163</v>
      </c>
      <c r="J2" s="43" t="s">
        <v>164</v>
      </c>
      <c r="K2" s="43" t="s">
        <v>56</v>
      </c>
      <c r="L2" s="43" t="s">
        <v>57</v>
      </c>
      <c r="M2" s="43" t="s">
        <v>58</v>
      </c>
      <c r="N2" s="43" t="s">
        <v>59</v>
      </c>
      <c r="O2" s="44" t="s">
        <v>60</v>
      </c>
      <c r="P2" s="42" t="s">
        <v>61</v>
      </c>
      <c r="Q2" s="42" t="s">
        <v>62</v>
      </c>
      <c r="R2" s="42" t="s">
        <v>159</v>
      </c>
      <c r="S2" s="42" t="s">
        <v>63</v>
      </c>
      <c r="T2" s="42" t="s">
        <v>64</v>
      </c>
      <c r="U2" s="45" t="s">
        <v>160</v>
      </c>
    </row>
    <row r="3" spans="1:21" x14ac:dyDescent="0.35">
      <c r="A3" s="100">
        <v>15</v>
      </c>
      <c r="B3" s="50" t="s">
        <v>486</v>
      </c>
      <c r="C3" s="100"/>
      <c r="D3" s="100"/>
      <c r="E3" s="100"/>
      <c r="F3" s="100"/>
      <c r="G3" s="100"/>
      <c r="H3" s="100"/>
      <c r="I3" s="100"/>
      <c r="J3" s="100"/>
      <c r="K3" s="101"/>
      <c r="L3" s="101"/>
      <c r="M3" s="102"/>
      <c r="N3" s="40"/>
      <c r="O3" s="39"/>
      <c r="P3" s="39"/>
      <c r="Q3" s="39"/>
      <c r="R3" s="39"/>
      <c r="S3" s="39"/>
      <c r="T3" s="39"/>
      <c r="U3" s="41"/>
    </row>
    <row r="4" spans="1:21" x14ac:dyDescent="0.35">
      <c r="A4" s="15">
        <v>11</v>
      </c>
      <c r="B4" s="50" t="s">
        <v>337</v>
      </c>
      <c r="C4" s="15"/>
      <c r="D4" s="15"/>
      <c r="E4" s="15"/>
      <c r="F4" s="15"/>
      <c r="G4" s="15"/>
      <c r="H4" s="15"/>
      <c r="I4" s="15"/>
      <c r="J4" s="15"/>
      <c r="K4" s="25"/>
      <c r="L4" s="25"/>
      <c r="M4" s="26"/>
      <c r="N4" s="27"/>
      <c r="O4" s="38"/>
      <c r="P4" s="38"/>
      <c r="Q4" s="38"/>
      <c r="R4" s="15"/>
      <c r="S4" s="28">
        <f t="shared" ref="S4:S13" si="0">R4+M4</f>
        <v>0</v>
      </c>
      <c r="T4" s="29">
        <f t="shared" ref="T4:T13" si="1">S4*A4</f>
        <v>0</v>
      </c>
      <c r="U4" s="46"/>
    </row>
    <row r="5" spans="1:21" x14ac:dyDescent="0.35">
      <c r="A5" s="15">
        <v>10</v>
      </c>
      <c r="B5" s="50" t="s">
        <v>211</v>
      </c>
      <c r="C5" s="15"/>
      <c r="D5" s="15"/>
      <c r="E5" s="15"/>
      <c r="F5" s="15"/>
      <c r="G5" s="15"/>
      <c r="H5" s="15"/>
      <c r="I5" s="15"/>
      <c r="J5" s="15"/>
      <c r="K5" s="25"/>
      <c r="L5" s="25"/>
      <c r="M5" s="26"/>
      <c r="N5" s="15"/>
      <c r="O5" s="15"/>
      <c r="P5" s="15"/>
      <c r="Q5" s="15"/>
      <c r="R5" s="15"/>
      <c r="S5" s="28">
        <f t="shared" si="0"/>
        <v>0</v>
      </c>
      <c r="T5" s="29">
        <f t="shared" si="1"/>
        <v>0</v>
      </c>
      <c r="U5" s="37"/>
    </row>
    <row r="6" spans="1:21" x14ac:dyDescent="0.35">
      <c r="A6" s="15">
        <v>9</v>
      </c>
      <c r="B6" s="50" t="s">
        <v>213</v>
      </c>
      <c r="C6" s="15"/>
      <c r="D6" s="15"/>
      <c r="E6" s="25"/>
      <c r="F6" s="25"/>
      <c r="G6" s="26"/>
      <c r="H6" s="15"/>
      <c r="I6" s="15"/>
      <c r="J6" s="15"/>
      <c r="K6" s="15"/>
      <c r="L6" s="15"/>
      <c r="M6" s="28"/>
      <c r="N6" s="15"/>
      <c r="O6" s="15"/>
      <c r="P6" s="15"/>
      <c r="Q6" s="15"/>
      <c r="R6" s="15"/>
      <c r="S6" s="28">
        <f t="shared" si="0"/>
        <v>0</v>
      </c>
      <c r="T6" s="29">
        <f t="shared" si="1"/>
        <v>0</v>
      </c>
      <c r="U6" s="37"/>
    </row>
    <row r="7" spans="1:21" x14ac:dyDescent="0.35">
      <c r="A7" s="15">
        <v>9</v>
      </c>
      <c r="B7" s="50" t="s">
        <v>507</v>
      </c>
      <c r="C7" s="15"/>
      <c r="D7" s="15"/>
      <c r="E7" s="15"/>
      <c r="F7" s="15"/>
      <c r="G7" s="15"/>
      <c r="H7" s="15"/>
      <c r="I7" s="15"/>
      <c r="J7" s="15"/>
      <c r="K7" s="25"/>
      <c r="L7" s="25"/>
      <c r="M7" s="26"/>
      <c r="N7" s="15"/>
      <c r="O7" s="15"/>
      <c r="P7" s="15"/>
      <c r="Q7" s="15"/>
      <c r="R7" s="15"/>
      <c r="S7" s="28">
        <f t="shared" si="0"/>
        <v>0</v>
      </c>
      <c r="T7" s="29">
        <f t="shared" si="1"/>
        <v>0</v>
      </c>
      <c r="U7" s="37"/>
    </row>
    <row r="8" spans="1:21" x14ac:dyDescent="0.35">
      <c r="A8" s="15">
        <v>7</v>
      </c>
      <c r="B8" s="50" t="s">
        <v>411</v>
      </c>
      <c r="C8" s="15"/>
      <c r="D8" s="15"/>
      <c r="E8" s="15"/>
      <c r="F8" s="15"/>
      <c r="G8" s="15"/>
      <c r="H8" s="15"/>
      <c r="I8" s="15"/>
      <c r="J8" s="15"/>
      <c r="K8" s="25"/>
      <c r="L8" s="25"/>
      <c r="M8" s="26"/>
      <c r="N8" s="15"/>
      <c r="O8" s="15"/>
      <c r="P8" s="15"/>
      <c r="Q8" s="15"/>
      <c r="R8" s="15"/>
      <c r="S8" s="28">
        <f t="shared" si="0"/>
        <v>0</v>
      </c>
      <c r="T8" s="29">
        <f t="shared" si="1"/>
        <v>0</v>
      </c>
      <c r="U8" s="37"/>
    </row>
    <row r="9" spans="1:21" x14ac:dyDescent="0.35">
      <c r="A9" s="15">
        <v>6</v>
      </c>
      <c r="B9" s="50" t="s">
        <v>255</v>
      </c>
      <c r="C9" s="15"/>
      <c r="D9" s="15"/>
      <c r="E9" s="15"/>
      <c r="F9" s="15"/>
      <c r="G9" s="15"/>
      <c r="H9" s="15"/>
      <c r="I9" s="15"/>
      <c r="J9" s="15"/>
      <c r="K9" s="25"/>
      <c r="L9" s="25"/>
      <c r="M9" s="26"/>
      <c r="N9" s="15"/>
      <c r="O9" s="15"/>
      <c r="P9" s="15"/>
      <c r="Q9" s="15"/>
      <c r="R9" s="15"/>
      <c r="S9" s="28">
        <f t="shared" si="0"/>
        <v>0</v>
      </c>
      <c r="T9" s="29">
        <f t="shared" si="1"/>
        <v>0</v>
      </c>
      <c r="U9" s="37"/>
    </row>
    <row r="10" spans="1:21" x14ac:dyDescent="0.35">
      <c r="A10" s="15">
        <v>4</v>
      </c>
      <c r="B10" s="50" t="s">
        <v>343</v>
      </c>
      <c r="C10" s="15"/>
      <c r="D10" s="15"/>
      <c r="E10" s="15"/>
      <c r="F10" s="15"/>
      <c r="G10" s="15"/>
      <c r="H10" s="15"/>
      <c r="I10" s="15"/>
      <c r="J10" s="15"/>
      <c r="K10" s="25"/>
      <c r="L10" s="25"/>
      <c r="M10" s="26"/>
      <c r="N10" s="15"/>
      <c r="O10" s="15"/>
      <c r="P10" s="15"/>
      <c r="Q10" s="15"/>
      <c r="R10" s="15"/>
      <c r="S10" s="28">
        <f t="shared" si="0"/>
        <v>0</v>
      </c>
      <c r="T10" s="29">
        <f t="shared" si="1"/>
        <v>0</v>
      </c>
      <c r="U10" s="37"/>
    </row>
    <row r="11" spans="1:21" x14ac:dyDescent="0.35">
      <c r="A11" s="15">
        <v>3</v>
      </c>
      <c r="B11" s="50" t="s">
        <v>210</v>
      </c>
      <c r="C11" s="15"/>
      <c r="D11" s="15"/>
      <c r="E11" s="15"/>
      <c r="F11" s="15"/>
      <c r="G11" s="15"/>
      <c r="H11" s="15"/>
      <c r="I11" s="15"/>
      <c r="J11" s="15"/>
      <c r="K11" s="25"/>
      <c r="L11" s="25"/>
      <c r="M11" s="26"/>
      <c r="N11" s="15"/>
      <c r="O11" s="15"/>
      <c r="P11" s="15"/>
      <c r="Q11" s="15"/>
      <c r="R11" s="15"/>
      <c r="S11" s="28">
        <f t="shared" si="0"/>
        <v>0</v>
      </c>
      <c r="T11" s="29">
        <f t="shared" si="1"/>
        <v>0</v>
      </c>
      <c r="U11" s="37"/>
    </row>
    <row r="12" spans="1:21" x14ac:dyDescent="0.35">
      <c r="A12" s="15">
        <v>3</v>
      </c>
      <c r="B12" s="50" t="s">
        <v>285</v>
      </c>
      <c r="C12" s="15"/>
      <c r="D12" s="15"/>
      <c r="E12" s="15"/>
      <c r="F12" s="15"/>
      <c r="G12" s="15"/>
      <c r="H12" s="15"/>
      <c r="I12" s="15"/>
      <c r="J12" s="15"/>
      <c r="K12" s="25"/>
      <c r="L12" s="25"/>
      <c r="M12" s="26"/>
      <c r="N12" s="15"/>
      <c r="O12" s="15"/>
      <c r="P12" s="15"/>
      <c r="Q12" s="15"/>
      <c r="R12" s="15"/>
      <c r="S12" s="28">
        <f t="shared" si="0"/>
        <v>0</v>
      </c>
      <c r="T12" s="29">
        <f t="shared" si="1"/>
        <v>0</v>
      </c>
      <c r="U12" s="37"/>
    </row>
    <row r="13" spans="1:21" x14ac:dyDescent="0.35">
      <c r="A13" s="15">
        <v>3</v>
      </c>
      <c r="B13" s="50" t="s">
        <v>502</v>
      </c>
      <c r="C13" s="15"/>
      <c r="D13" s="15"/>
      <c r="E13" s="15"/>
      <c r="F13" s="15"/>
      <c r="G13" s="15"/>
      <c r="H13" s="15"/>
      <c r="I13" s="15"/>
      <c r="J13" s="15"/>
      <c r="K13" s="25"/>
      <c r="L13" s="25"/>
      <c r="M13" s="26"/>
      <c r="N13" s="15"/>
      <c r="O13" s="15"/>
      <c r="P13" s="15"/>
      <c r="Q13" s="15"/>
      <c r="R13" s="15"/>
      <c r="S13" s="28">
        <f t="shared" si="0"/>
        <v>0</v>
      </c>
      <c r="T13" s="29">
        <f t="shared" si="1"/>
        <v>0</v>
      </c>
      <c r="U13" s="46"/>
    </row>
    <row r="14" spans="1:21" x14ac:dyDescent="0.35">
      <c r="A14" s="15">
        <v>3</v>
      </c>
      <c r="B14" s="50" t="s">
        <v>212</v>
      </c>
      <c r="C14" s="15"/>
      <c r="D14" s="15"/>
      <c r="E14" s="25"/>
      <c r="F14" s="25"/>
      <c r="G14" s="26"/>
      <c r="H14" s="15"/>
      <c r="I14" s="15"/>
      <c r="J14" s="15"/>
      <c r="K14" s="15"/>
      <c r="L14" s="15"/>
      <c r="M14" s="28"/>
      <c r="N14" s="15"/>
      <c r="O14" s="15"/>
      <c r="P14" s="15"/>
      <c r="Q14" s="15"/>
      <c r="R14" s="15"/>
      <c r="S14" s="28"/>
      <c r="T14" s="29"/>
      <c r="U14" s="46"/>
    </row>
    <row r="15" spans="1:21" x14ac:dyDescent="0.35">
      <c r="A15" s="15">
        <v>3</v>
      </c>
      <c r="B15" s="50" t="s">
        <v>311</v>
      </c>
      <c r="C15" s="15"/>
      <c r="D15" s="15"/>
      <c r="E15" s="15"/>
      <c r="F15" s="15"/>
      <c r="G15" s="15"/>
      <c r="H15" s="15"/>
      <c r="I15" s="15"/>
      <c r="J15" s="15"/>
      <c r="K15" s="25"/>
      <c r="L15" s="25"/>
      <c r="M15" s="26"/>
      <c r="N15" s="15"/>
      <c r="O15" s="15"/>
      <c r="P15" s="15"/>
      <c r="Q15" s="15"/>
      <c r="R15" s="15"/>
      <c r="S15" s="28">
        <f>R15+M15</f>
        <v>0</v>
      </c>
      <c r="T15" s="29">
        <f>S15*A15</f>
        <v>0</v>
      </c>
      <c r="U15" s="32">
        <v>43227</v>
      </c>
    </row>
    <row r="16" spans="1:21" x14ac:dyDescent="0.35">
      <c r="A16" s="15">
        <v>3</v>
      </c>
      <c r="B16" s="51" t="s">
        <v>269</v>
      </c>
      <c r="C16" s="15"/>
      <c r="D16" s="15"/>
      <c r="E16" s="27"/>
      <c r="F16" s="15"/>
      <c r="G16" s="15"/>
      <c r="H16" s="15"/>
      <c r="I16" s="15"/>
      <c r="J16" s="15"/>
      <c r="K16" s="25"/>
      <c r="L16" s="25"/>
      <c r="M16" s="26"/>
      <c r="N16" s="15"/>
      <c r="O16" s="15"/>
      <c r="P16" s="15"/>
      <c r="Q16" s="15"/>
      <c r="R16" s="15"/>
      <c r="S16" s="28">
        <f t="shared" ref="S16:S79" si="2">R16+M16</f>
        <v>0</v>
      </c>
      <c r="T16" s="29">
        <f t="shared" ref="T16:T79" si="3">S16*A16</f>
        <v>0</v>
      </c>
      <c r="U16" s="32"/>
    </row>
    <row r="17" spans="1:21" x14ac:dyDescent="0.35">
      <c r="A17" s="15">
        <v>2</v>
      </c>
      <c r="B17" s="50" t="s">
        <v>316</v>
      </c>
      <c r="C17" s="15"/>
      <c r="D17" s="15"/>
      <c r="E17" s="15"/>
      <c r="F17" s="15"/>
      <c r="G17" s="15"/>
      <c r="H17" s="15"/>
      <c r="I17" s="15"/>
      <c r="J17" s="15"/>
      <c r="K17" s="25"/>
      <c r="L17" s="25"/>
      <c r="M17" s="26"/>
      <c r="N17" s="15"/>
      <c r="O17" s="15"/>
      <c r="P17" s="15"/>
      <c r="Q17" s="15"/>
      <c r="R17" s="15"/>
      <c r="S17" s="28">
        <f t="shared" si="2"/>
        <v>0</v>
      </c>
      <c r="T17" s="29">
        <f t="shared" si="3"/>
        <v>0</v>
      </c>
      <c r="U17" s="32"/>
    </row>
    <row r="18" spans="1:21" x14ac:dyDescent="0.35">
      <c r="A18" s="15">
        <v>2</v>
      </c>
      <c r="B18" s="50" t="s">
        <v>298</v>
      </c>
      <c r="C18" s="15"/>
      <c r="D18" s="15"/>
      <c r="E18" s="15"/>
      <c r="F18" s="15"/>
      <c r="G18" s="15"/>
      <c r="H18" s="15"/>
      <c r="I18" s="15"/>
      <c r="J18" s="15"/>
      <c r="K18" s="25"/>
      <c r="L18" s="25"/>
      <c r="M18" s="26"/>
      <c r="N18" s="15"/>
      <c r="O18" s="15"/>
      <c r="P18" s="15"/>
      <c r="Q18" s="15"/>
      <c r="R18" s="15"/>
      <c r="S18" s="28">
        <f t="shared" si="2"/>
        <v>0</v>
      </c>
      <c r="T18" s="29">
        <f t="shared" si="3"/>
        <v>0</v>
      </c>
      <c r="U18" s="32"/>
    </row>
    <row r="19" spans="1:21" x14ac:dyDescent="0.35">
      <c r="A19" s="15">
        <v>2</v>
      </c>
      <c r="B19" s="50" t="s">
        <v>468</v>
      </c>
      <c r="C19" s="15"/>
      <c r="D19" s="15"/>
      <c r="E19" s="15"/>
      <c r="F19" s="15"/>
      <c r="G19" s="15"/>
      <c r="H19" s="15"/>
      <c r="I19" s="15"/>
      <c r="J19" s="15"/>
      <c r="K19" s="25"/>
      <c r="L19" s="25"/>
      <c r="M19" s="26"/>
      <c r="N19" s="15"/>
      <c r="O19" s="15"/>
      <c r="P19" s="15"/>
      <c r="Q19" s="15"/>
      <c r="R19" s="15"/>
      <c r="S19" s="28">
        <f t="shared" si="2"/>
        <v>0</v>
      </c>
      <c r="T19" s="29">
        <f t="shared" si="3"/>
        <v>0</v>
      </c>
      <c r="U19" s="32">
        <v>43227</v>
      </c>
    </row>
    <row r="20" spans="1:21" x14ac:dyDescent="0.35">
      <c r="A20" s="15">
        <v>1</v>
      </c>
      <c r="B20" s="50" t="s">
        <v>355</v>
      </c>
      <c r="C20" s="15"/>
      <c r="D20" s="15"/>
      <c r="E20" s="15"/>
      <c r="F20" s="15"/>
      <c r="G20" s="15"/>
      <c r="H20" s="15"/>
      <c r="I20" s="15"/>
      <c r="J20" s="15"/>
      <c r="K20" s="25"/>
      <c r="L20" s="25"/>
      <c r="M20" s="26"/>
      <c r="N20" s="15"/>
      <c r="O20" s="15"/>
      <c r="P20" s="15"/>
      <c r="Q20" s="15"/>
      <c r="R20" s="15"/>
      <c r="S20" s="28">
        <f t="shared" si="2"/>
        <v>0</v>
      </c>
      <c r="T20" s="29">
        <f t="shared" si="3"/>
        <v>0</v>
      </c>
      <c r="U20" s="32">
        <v>43227</v>
      </c>
    </row>
    <row r="21" spans="1:21" x14ac:dyDescent="0.35">
      <c r="A21" s="15">
        <v>1</v>
      </c>
      <c r="B21" s="50" t="s">
        <v>487</v>
      </c>
      <c r="C21" s="15"/>
      <c r="D21" s="15"/>
      <c r="E21" s="15"/>
      <c r="F21" s="15"/>
      <c r="G21" s="15"/>
      <c r="H21" s="15"/>
      <c r="I21" s="15"/>
      <c r="J21" s="15"/>
      <c r="K21" s="25"/>
      <c r="L21" s="25"/>
      <c r="M21" s="26"/>
      <c r="N21" s="15"/>
      <c r="O21" s="15"/>
      <c r="P21" s="15"/>
      <c r="Q21" s="15"/>
      <c r="R21" s="15"/>
      <c r="S21" s="28">
        <f t="shared" si="2"/>
        <v>0</v>
      </c>
      <c r="T21" s="29">
        <f t="shared" si="3"/>
        <v>0</v>
      </c>
      <c r="U21" s="32">
        <v>43227</v>
      </c>
    </row>
    <row r="22" spans="1:21" x14ac:dyDescent="0.35">
      <c r="A22" s="15">
        <v>1</v>
      </c>
      <c r="B22" s="50" t="s">
        <v>320</v>
      </c>
      <c r="C22" s="15"/>
      <c r="D22" s="15"/>
      <c r="E22" s="15"/>
      <c r="F22" s="15"/>
      <c r="G22" s="15"/>
      <c r="H22" s="15"/>
      <c r="I22" s="15"/>
      <c r="J22" s="15"/>
      <c r="K22" s="25"/>
      <c r="L22" s="25"/>
      <c r="M22" s="26"/>
      <c r="N22" s="15"/>
      <c r="O22" s="15"/>
      <c r="P22" s="15"/>
      <c r="Q22" s="15"/>
      <c r="R22" s="15"/>
      <c r="S22" s="28">
        <f t="shared" si="2"/>
        <v>0</v>
      </c>
      <c r="T22" s="29">
        <f t="shared" si="3"/>
        <v>0</v>
      </c>
      <c r="U22" s="32">
        <v>43227</v>
      </c>
    </row>
    <row r="23" spans="1:21" x14ac:dyDescent="0.35">
      <c r="A23" s="15">
        <v>1</v>
      </c>
      <c r="B23" s="50" t="s">
        <v>260</v>
      </c>
      <c r="C23" s="15"/>
      <c r="D23" s="15"/>
      <c r="E23" s="15"/>
      <c r="F23" s="15"/>
      <c r="G23" s="15"/>
      <c r="H23" s="15"/>
      <c r="I23" s="15"/>
      <c r="J23" s="15"/>
      <c r="K23" s="25"/>
      <c r="L23" s="25"/>
      <c r="M23" s="26"/>
      <c r="N23" s="15"/>
      <c r="O23" s="15"/>
      <c r="P23" s="15"/>
      <c r="Q23" s="15"/>
      <c r="R23" s="15"/>
      <c r="S23" s="28">
        <f t="shared" si="2"/>
        <v>0</v>
      </c>
      <c r="T23" s="29">
        <f t="shared" si="3"/>
        <v>0</v>
      </c>
      <c r="U23" s="32">
        <v>43227</v>
      </c>
    </row>
    <row r="24" spans="1:21" x14ac:dyDescent="0.35">
      <c r="A24" s="15">
        <v>1</v>
      </c>
      <c r="B24" s="50" t="s">
        <v>307</v>
      </c>
      <c r="C24" s="15"/>
      <c r="D24" s="15"/>
      <c r="E24" s="15"/>
      <c r="F24" s="15"/>
      <c r="G24" s="15"/>
      <c r="H24" s="15"/>
      <c r="I24" s="15"/>
      <c r="J24" s="15"/>
      <c r="K24" s="25"/>
      <c r="L24" s="25"/>
      <c r="M24" s="26"/>
      <c r="N24" s="15"/>
      <c r="O24" s="15"/>
      <c r="P24" s="15"/>
      <c r="Q24" s="15"/>
      <c r="R24" s="15"/>
      <c r="S24" s="28">
        <f t="shared" si="2"/>
        <v>0</v>
      </c>
      <c r="T24" s="29">
        <f t="shared" si="3"/>
        <v>0</v>
      </c>
      <c r="U24" s="32">
        <v>43227</v>
      </c>
    </row>
    <row r="25" spans="1:21" x14ac:dyDescent="0.35">
      <c r="A25" s="15">
        <v>1</v>
      </c>
      <c r="B25" s="50" t="s">
        <v>509</v>
      </c>
      <c r="C25" s="15"/>
      <c r="D25" s="15"/>
      <c r="E25" s="15"/>
      <c r="F25" s="15"/>
      <c r="G25" s="15"/>
      <c r="H25" s="15"/>
      <c r="I25" s="15"/>
      <c r="J25" s="15"/>
      <c r="K25" s="25"/>
      <c r="L25" s="25"/>
      <c r="M25" s="26"/>
      <c r="N25" s="15"/>
      <c r="O25" s="15"/>
      <c r="P25" s="15"/>
      <c r="Q25" s="15"/>
      <c r="R25" s="15"/>
      <c r="S25" s="28">
        <f t="shared" si="2"/>
        <v>0</v>
      </c>
      <c r="T25" s="29">
        <f t="shared" si="3"/>
        <v>0</v>
      </c>
      <c r="U25" s="32">
        <v>43227</v>
      </c>
    </row>
    <row r="26" spans="1:21" x14ac:dyDescent="0.35">
      <c r="A26" s="15">
        <v>1</v>
      </c>
      <c r="B26" s="50" t="s">
        <v>289</v>
      </c>
      <c r="C26" s="15"/>
      <c r="D26" s="15"/>
      <c r="E26" s="15"/>
      <c r="F26" s="15"/>
      <c r="G26" s="15"/>
      <c r="H26" s="15"/>
      <c r="I26" s="15"/>
      <c r="J26" s="15"/>
      <c r="K26" s="25"/>
      <c r="L26" s="25"/>
      <c r="M26" s="26"/>
      <c r="N26" s="15"/>
      <c r="O26" s="15"/>
      <c r="P26" s="15"/>
      <c r="Q26" s="15"/>
      <c r="R26" s="15"/>
      <c r="S26" s="28">
        <f t="shared" si="2"/>
        <v>0</v>
      </c>
      <c r="T26" s="29">
        <f t="shared" si="3"/>
        <v>0</v>
      </c>
      <c r="U26" s="32">
        <v>43227</v>
      </c>
    </row>
    <row r="27" spans="1:21" x14ac:dyDescent="0.35">
      <c r="A27" s="15">
        <v>1</v>
      </c>
      <c r="B27" s="50" t="s">
        <v>472</v>
      </c>
      <c r="C27" s="15"/>
      <c r="D27" s="15"/>
      <c r="E27" s="15"/>
      <c r="F27" s="15"/>
      <c r="G27" s="15"/>
      <c r="H27" s="15"/>
      <c r="I27" s="15"/>
      <c r="J27" s="15"/>
      <c r="K27" s="25"/>
      <c r="L27" s="25"/>
      <c r="M27" s="26"/>
      <c r="N27" s="15"/>
      <c r="O27" s="15"/>
      <c r="P27" s="15"/>
      <c r="Q27" s="15"/>
      <c r="R27" s="15"/>
      <c r="S27" s="28">
        <f t="shared" si="2"/>
        <v>0</v>
      </c>
      <c r="T27" s="29">
        <f t="shared" si="3"/>
        <v>0</v>
      </c>
      <c r="U27" s="32">
        <v>43227</v>
      </c>
    </row>
    <row r="28" spans="1:21" x14ac:dyDescent="0.35">
      <c r="A28" s="15">
        <v>1</v>
      </c>
      <c r="B28" s="50" t="s">
        <v>228</v>
      </c>
      <c r="C28" s="15"/>
      <c r="D28" s="15"/>
      <c r="E28" s="25"/>
      <c r="F28" s="25"/>
      <c r="G28" s="26"/>
      <c r="H28" s="15"/>
      <c r="I28" s="15"/>
      <c r="J28" s="15"/>
      <c r="K28" s="15"/>
      <c r="L28" s="15"/>
      <c r="M28" s="28"/>
      <c r="N28" s="15"/>
      <c r="O28" s="15"/>
      <c r="P28" s="15"/>
      <c r="Q28" s="15"/>
      <c r="R28" s="15"/>
      <c r="S28" s="28">
        <f t="shared" si="2"/>
        <v>0</v>
      </c>
      <c r="T28" s="29">
        <f t="shared" si="3"/>
        <v>0</v>
      </c>
      <c r="U28" s="32">
        <v>43227</v>
      </c>
    </row>
    <row r="29" spans="1:21" ht="14.25" customHeight="1" x14ac:dyDescent="0.35">
      <c r="A29" s="15">
        <v>1</v>
      </c>
      <c r="B29" s="50" t="s">
        <v>471</v>
      </c>
      <c r="C29" s="15"/>
      <c r="D29" s="15"/>
      <c r="E29" s="15"/>
      <c r="F29" s="15"/>
      <c r="G29" s="15"/>
      <c r="H29" s="15"/>
      <c r="I29" s="15"/>
      <c r="J29" s="15"/>
      <c r="K29" s="25"/>
      <c r="L29" s="25"/>
      <c r="M29" s="26"/>
      <c r="N29" s="15"/>
      <c r="O29" s="15"/>
      <c r="P29" s="15"/>
      <c r="Q29" s="15"/>
      <c r="R29" s="15"/>
      <c r="S29" s="28">
        <f t="shared" si="2"/>
        <v>0</v>
      </c>
      <c r="T29" s="29">
        <f t="shared" si="3"/>
        <v>0</v>
      </c>
      <c r="U29" s="32"/>
    </row>
    <row r="30" spans="1:21" x14ac:dyDescent="0.35">
      <c r="A30" s="15">
        <v>1</v>
      </c>
      <c r="B30" s="50" t="s">
        <v>345</v>
      </c>
      <c r="C30" s="15"/>
      <c r="D30" s="15"/>
      <c r="E30" s="15"/>
      <c r="F30" s="15"/>
      <c r="G30" s="15"/>
      <c r="H30" s="15"/>
      <c r="I30" s="15"/>
      <c r="J30" s="15"/>
      <c r="K30" s="25"/>
      <c r="L30" s="25"/>
      <c r="M30" s="26"/>
      <c r="N30" s="15"/>
      <c r="O30" s="15"/>
      <c r="P30" s="15"/>
      <c r="Q30" s="15"/>
      <c r="R30" s="15"/>
      <c r="S30" s="28">
        <f t="shared" si="2"/>
        <v>0</v>
      </c>
      <c r="T30" s="29">
        <f t="shared" si="3"/>
        <v>0</v>
      </c>
      <c r="U30" s="32"/>
    </row>
    <row r="31" spans="1:21" x14ac:dyDescent="0.35">
      <c r="A31" s="15">
        <v>1</v>
      </c>
      <c r="B31" s="50" t="s">
        <v>530</v>
      </c>
      <c r="C31" s="15"/>
      <c r="D31" s="15"/>
      <c r="E31" s="15"/>
      <c r="F31" s="15"/>
      <c r="G31" s="15"/>
      <c r="H31" s="15"/>
      <c r="I31" s="15"/>
      <c r="J31" s="15"/>
      <c r="K31" s="25"/>
      <c r="L31" s="25"/>
      <c r="M31" s="26"/>
      <c r="N31" s="15"/>
      <c r="O31" s="15"/>
      <c r="P31" s="15"/>
      <c r="Q31" s="15"/>
      <c r="R31" s="15"/>
      <c r="S31" s="28">
        <f t="shared" si="2"/>
        <v>0</v>
      </c>
      <c r="T31" s="29">
        <f t="shared" si="3"/>
        <v>0</v>
      </c>
      <c r="U31" s="32"/>
    </row>
    <row r="32" spans="1:21" x14ac:dyDescent="0.35">
      <c r="A32" s="15">
        <v>1</v>
      </c>
      <c r="B32" s="50" t="s">
        <v>464</v>
      </c>
      <c r="C32" s="15"/>
      <c r="D32" s="15"/>
      <c r="E32" s="15"/>
      <c r="F32" s="15"/>
      <c r="G32" s="15"/>
      <c r="H32" s="15"/>
      <c r="I32" s="15"/>
      <c r="J32" s="15"/>
      <c r="K32" s="25"/>
      <c r="L32" s="25"/>
      <c r="M32" s="26"/>
      <c r="N32" s="15"/>
      <c r="O32" s="15"/>
      <c r="P32" s="15"/>
      <c r="Q32" s="15"/>
      <c r="R32" s="15"/>
      <c r="S32" s="28">
        <f t="shared" si="2"/>
        <v>0</v>
      </c>
      <c r="T32" s="29">
        <f t="shared" si="3"/>
        <v>0</v>
      </c>
      <c r="U32" s="32"/>
    </row>
    <row r="33" spans="1:21" x14ac:dyDescent="0.35">
      <c r="A33" s="15">
        <v>1</v>
      </c>
      <c r="B33" s="50" t="s">
        <v>249</v>
      </c>
      <c r="C33" s="15"/>
      <c r="D33" s="15"/>
      <c r="E33" s="15"/>
      <c r="F33" s="15"/>
      <c r="G33" s="15"/>
      <c r="H33" s="15"/>
      <c r="I33" s="15"/>
      <c r="J33" s="15"/>
      <c r="K33" s="25"/>
      <c r="L33" s="25"/>
      <c r="M33" s="26"/>
      <c r="N33" s="15"/>
      <c r="O33" s="15"/>
      <c r="P33" s="15"/>
      <c r="Q33" s="15"/>
      <c r="R33" s="15"/>
      <c r="S33" s="28">
        <f t="shared" si="2"/>
        <v>0</v>
      </c>
      <c r="T33" s="29">
        <f t="shared" si="3"/>
        <v>0</v>
      </c>
      <c r="U33" s="32"/>
    </row>
    <row r="34" spans="1:21" x14ac:dyDescent="0.35">
      <c r="A34" s="15">
        <v>1</v>
      </c>
      <c r="B34" s="50" t="s">
        <v>306</v>
      </c>
      <c r="C34" s="15"/>
      <c r="D34" s="15"/>
      <c r="E34" s="15"/>
      <c r="F34" s="15"/>
      <c r="G34" s="15"/>
      <c r="H34" s="15"/>
      <c r="I34" s="15"/>
      <c r="J34" s="15"/>
      <c r="K34" s="25"/>
      <c r="L34" s="25"/>
      <c r="M34" s="26"/>
      <c r="N34" s="15"/>
      <c r="O34" s="15"/>
      <c r="P34" s="15"/>
      <c r="Q34" s="15"/>
      <c r="R34" s="15"/>
      <c r="S34" s="28">
        <f t="shared" si="2"/>
        <v>0</v>
      </c>
      <c r="T34" s="29">
        <f t="shared" si="3"/>
        <v>0</v>
      </c>
      <c r="U34" s="32"/>
    </row>
    <row r="35" spans="1:21" x14ac:dyDescent="0.35">
      <c r="A35" s="15">
        <v>1</v>
      </c>
      <c r="B35" s="50" t="s">
        <v>321</v>
      </c>
      <c r="C35" s="15"/>
      <c r="D35" s="15"/>
      <c r="E35" s="15"/>
      <c r="F35" s="15"/>
      <c r="G35" s="15"/>
      <c r="H35" s="15"/>
      <c r="I35" s="15"/>
      <c r="J35" s="15"/>
      <c r="K35" s="25"/>
      <c r="L35" s="25"/>
      <c r="M35" s="26"/>
      <c r="N35" s="15"/>
      <c r="O35" s="15"/>
      <c r="P35" s="15"/>
      <c r="Q35" s="15"/>
      <c r="R35" s="15"/>
      <c r="S35" s="28">
        <f t="shared" si="2"/>
        <v>0</v>
      </c>
      <c r="T35" s="29">
        <f t="shared" si="3"/>
        <v>0</v>
      </c>
      <c r="U35" s="32"/>
    </row>
    <row r="36" spans="1:21" x14ac:dyDescent="0.35">
      <c r="A36" s="15">
        <v>1</v>
      </c>
      <c r="B36" s="50" t="s">
        <v>229</v>
      </c>
      <c r="C36" s="15"/>
      <c r="D36" s="15"/>
      <c r="E36" s="25"/>
      <c r="F36" s="25"/>
      <c r="G36" s="26"/>
      <c r="H36" s="15"/>
      <c r="I36" s="15"/>
      <c r="J36" s="15"/>
      <c r="K36" s="15"/>
      <c r="L36" s="15"/>
      <c r="M36" s="28"/>
      <c r="N36" s="15"/>
      <c r="O36" s="15"/>
      <c r="P36" s="15"/>
      <c r="Q36" s="15"/>
      <c r="R36" s="15"/>
      <c r="S36" s="28">
        <f t="shared" si="2"/>
        <v>0</v>
      </c>
      <c r="T36" s="29">
        <f t="shared" si="3"/>
        <v>0</v>
      </c>
      <c r="U36" s="32"/>
    </row>
    <row r="37" spans="1:21" x14ac:dyDescent="0.35">
      <c r="A37" s="38">
        <v>0</v>
      </c>
      <c r="B37" s="50" t="s">
        <v>205</v>
      </c>
      <c r="C37" s="38"/>
      <c r="D37" s="35"/>
      <c r="E37" s="36"/>
      <c r="F37" s="36"/>
      <c r="G37" s="36"/>
      <c r="H37" s="36"/>
      <c r="I37" s="36"/>
      <c r="J37" s="36"/>
      <c r="K37" s="36"/>
      <c r="L37" s="36"/>
      <c r="M37" s="36"/>
      <c r="N37" s="15"/>
      <c r="O37" s="15"/>
      <c r="P37" s="15"/>
      <c r="Q37" s="15"/>
      <c r="R37" s="15"/>
      <c r="S37" s="28">
        <f t="shared" si="2"/>
        <v>0</v>
      </c>
      <c r="T37" s="29">
        <f t="shared" si="3"/>
        <v>0</v>
      </c>
      <c r="U37" s="32"/>
    </row>
    <row r="38" spans="1:21" x14ac:dyDescent="0.35">
      <c r="A38" s="15">
        <v>0</v>
      </c>
      <c r="B38" s="15" t="s">
        <v>204</v>
      </c>
      <c r="C38" s="15"/>
      <c r="D38" s="15"/>
      <c r="E38" s="25"/>
      <c r="F38" s="25"/>
      <c r="G38" s="26"/>
      <c r="H38" s="15"/>
      <c r="I38" s="15"/>
      <c r="J38" s="15"/>
      <c r="K38" s="15"/>
      <c r="L38" s="15"/>
      <c r="M38" s="28"/>
      <c r="N38" s="15"/>
      <c r="O38" s="15"/>
      <c r="P38" s="15"/>
      <c r="Q38" s="15"/>
      <c r="R38" s="15"/>
      <c r="S38" s="28">
        <f t="shared" si="2"/>
        <v>0</v>
      </c>
      <c r="T38" s="29">
        <f t="shared" si="3"/>
        <v>0</v>
      </c>
      <c r="U38" s="32"/>
    </row>
    <row r="39" spans="1:21" x14ac:dyDescent="0.35">
      <c r="A39" s="15">
        <v>0</v>
      </c>
      <c r="B39" s="50" t="s">
        <v>297</v>
      </c>
      <c r="C39" s="15"/>
      <c r="D39" s="15"/>
      <c r="E39" s="15"/>
      <c r="F39" s="15"/>
      <c r="G39" s="15"/>
      <c r="H39" s="15"/>
      <c r="I39" s="15"/>
      <c r="J39" s="15"/>
      <c r="K39" s="25"/>
      <c r="L39" s="25"/>
      <c r="M39" s="26"/>
      <c r="N39" s="15"/>
      <c r="O39" s="15"/>
      <c r="P39" s="15"/>
      <c r="Q39" s="15"/>
      <c r="R39" s="15"/>
      <c r="S39" s="28">
        <f t="shared" si="2"/>
        <v>0</v>
      </c>
      <c r="T39" s="29">
        <f t="shared" si="3"/>
        <v>0</v>
      </c>
      <c r="U39" s="32"/>
    </row>
    <row r="40" spans="1:21" x14ac:dyDescent="0.35">
      <c r="A40" s="15">
        <v>0</v>
      </c>
      <c r="B40" s="50" t="s">
        <v>302</v>
      </c>
      <c r="C40" s="15"/>
      <c r="D40" s="15"/>
      <c r="E40" s="25"/>
      <c r="F40" s="25"/>
      <c r="G40" s="26"/>
      <c r="H40" s="15"/>
      <c r="I40" s="15"/>
      <c r="J40" s="15"/>
      <c r="K40" s="15"/>
      <c r="L40" s="15"/>
      <c r="M40" s="28"/>
      <c r="N40" s="15"/>
      <c r="O40" s="15"/>
      <c r="P40" s="15"/>
      <c r="Q40" s="15"/>
      <c r="R40" s="15"/>
      <c r="S40" s="28">
        <f t="shared" si="2"/>
        <v>0</v>
      </c>
      <c r="T40" s="29">
        <f t="shared" si="3"/>
        <v>0</v>
      </c>
      <c r="U40" s="32"/>
    </row>
    <row r="41" spans="1:21" x14ac:dyDescent="0.35">
      <c r="A41" s="15">
        <v>0</v>
      </c>
      <c r="B41" s="15" t="s">
        <v>203</v>
      </c>
      <c r="C41" s="15"/>
      <c r="D41" s="15"/>
      <c r="E41" s="25"/>
      <c r="F41" s="25"/>
      <c r="G41" s="26"/>
      <c r="H41" s="15"/>
      <c r="I41" s="15"/>
      <c r="J41" s="15"/>
      <c r="K41" s="15"/>
      <c r="L41" s="15"/>
      <c r="M41" s="28"/>
      <c r="N41" s="15"/>
      <c r="O41" s="15"/>
      <c r="P41" s="15"/>
      <c r="Q41" s="15"/>
      <c r="R41" s="15"/>
      <c r="S41" s="28">
        <f t="shared" si="2"/>
        <v>0</v>
      </c>
      <c r="T41" s="29">
        <f t="shared" si="3"/>
        <v>0</v>
      </c>
      <c r="U41" s="32"/>
    </row>
    <row r="42" spans="1:21" x14ac:dyDescent="0.35">
      <c r="A42" s="15">
        <v>0</v>
      </c>
      <c r="B42" s="50" t="s">
        <v>206</v>
      </c>
      <c r="C42" s="15"/>
      <c r="D42" s="15"/>
      <c r="E42" s="25"/>
      <c r="F42" s="25"/>
      <c r="G42" s="26"/>
      <c r="H42" s="15"/>
      <c r="I42" s="15"/>
      <c r="J42" s="15"/>
      <c r="K42" s="15"/>
      <c r="L42" s="15"/>
      <c r="M42" s="28"/>
      <c r="N42" s="15"/>
      <c r="O42" s="15"/>
      <c r="P42" s="15"/>
      <c r="Q42" s="15"/>
      <c r="R42" s="15"/>
      <c r="S42" s="28">
        <f t="shared" si="2"/>
        <v>0</v>
      </c>
      <c r="T42" s="29">
        <f t="shared" si="3"/>
        <v>0</v>
      </c>
      <c r="U42" s="32"/>
    </row>
    <row r="43" spans="1:21" x14ac:dyDescent="0.35">
      <c r="A43" s="15">
        <v>0</v>
      </c>
      <c r="B43" s="50" t="s">
        <v>207</v>
      </c>
      <c r="C43" s="15"/>
      <c r="D43" s="15"/>
      <c r="E43" s="25"/>
      <c r="F43" s="25"/>
      <c r="G43" s="26"/>
      <c r="H43" s="15"/>
      <c r="I43" s="15"/>
      <c r="J43" s="15"/>
      <c r="K43" s="15"/>
      <c r="L43" s="15"/>
      <c r="M43" s="28"/>
      <c r="N43" s="15"/>
      <c r="O43" s="15"/>
      <c r="P43" s="15"/>
      <c r="Q43" s="15"/>
      <c r="R43" s="15"/>
      <c r="S43" s="28">
        <f t="shared" si="2"/>
        <v>0</v>
      </c>
      <c r="T43" s="29">
        <f t="shared" si="3"/>
        <v>0</v>
      </c>
      <c r="U43" s="32"/>
    </row>
    <row r="44" spans="1:21" x14ac:dyDescent="0.35">
      <c r="A44" s="15">
        <v>0</v>
      </c>
      <c r="B44" s="50" t="s">
        <v>208</v>
      </c>
      <c r="C44" s="15"/>
      <c r="D44" s="15"/>
      <c r="E44" s="25"/>
      <c r="F44" s="25"/>
      <c r="G44" s="26"/>
      <c r="H44" s="15"/>
      <c r="I44" s="15"/>
      <c r="J44" s="15"/>
      <c r="K44" s="15"/>
      <c r="L44" s="15"/>
      <c r="M44" s="28"/>
      <c r="N44" s="15"/>
      <c r="O44" s="15"/>
      <c r="P44" s="15"/>
      <c r="Q44" s="15"/>
      <c r="R44" s="15"/>
      <c r="S44" s="28">
        <f t="shared" si="2"/>
        <v>0</v>
      </c>
      <c r="T44" s="29">
        <f t="shared" si="3"/>
        <v>0</v>
      </c>
      <c r="U44" s="32"/>
    </row>
    <row r="45" spans="1:21" x14ac:dyDescent="0.35">
      <c r="A45" s="15">
        <v>0</v>
      </c>
      <c r="B45" s="50" t="s">
        <v>209</v>
      </c>
      <c r="C45" s="15"/>
      <c r="D45" s="15"/>
      <c r="E45" s="15"/>
      <c r="F45" s="15"/>
      <c r="G45" s="15"/>
      <c r="H45" s="15"/>
      <c r="I45" s="15"/>
      <c r="J45" s="15"/>
      <c r="K45" s="25"/>
      <c r="L45" s="25"/>
      <c r="M45" s="26"/>
      <c r="N45" s="15"/>
      <c r="O45" s="15"/>
      <c r="P45" s="15"/>
      <c r="Q45" s="15"/>
      <c r="R45" s="15"/>
      <c r="S45" s="28">
        <f t="shared" si="2"/>
        <v>0</v>
      </c>
      <c r="T45" s="29">
        <f t="shared" si="3"/>
        <v>0</v>
      </c>
      <c r="U45" s="32"/>
    </row>
    <row r="46" spans="1:21" x14ac:dyDescent="0.35">
      <c r="A46" s="15">
        <v>0</v>
      </c>
      <c r="B46" s="50" t="s">
        <v>214</v>
      </c>
      <c r="C46" s="15"/>
      <c r="D46" s="15"/>
      <c r="E46" s="25"/>
      <c r="F46" s="25"/>
      <c r="G46" s="26"/>
      <c r="H46" s="15"/>
      <c r="I46" s="15"/>
      <c r="J46" s="15"/>
      <c r="K46" s="15"/>
      <c r="L46" s="15"/>
      <c r="M46" s="28"/>
      <c r="N46" s="15"/>
      <c r="O46" s="15"/>
      <c r="P46" s="15"/>
      <c r="Q46" s="15"/>
      <c r="R46" s="15"/>
      <c r="S46" s="28">
        <f t="shared" si="2"/>
        <v>0</v>
      </c>
      <c r="T46" s="29">
        <f t="shared" si="3"/>
        <v>0</v>
      </c>
      <c r="U46" s="32"/>
    </row>
    <row r="47" spans="1:21" x14ac:dyDescent="0.35">
      <c r="A47" s="15">
        <v>0</v>
      </c>
      <c r="B47" s="50" t="s">
        <v>215</v>
      </c>
      <c r="C47" s="15"/>
      <c r="D47" s="15"/>
      <c r="E47" s="25"/>
      <c r="F47" s="25"/>
      <c r="G47" s="26"/>
      <c r="H47" s="15"/>
      <c r="I47" s="15"/>
      <c r="J47" s="15"/>
      <c r="K47" s="15"/>
      <c r="L47" s="15"/>
      <c r="M47" s="28"/>
      <c r="N47" s="15"/>
      <c r="O47" s="15"/>
      <c r="P47" s="15"/>
      <c r="Q47" s="15"/>
      <c r="R47" s="15"/>
      <c r="S47" s="28">
        <f t="shared" si="2"/>
        <v>0</v>
      </c>
      <c r="T47" s="29">
        <f t="shared" si="3"/>
        <v>0</v>
      </c>
      <c r="U47" s="32"/>
    </row>
    <row r="48" spans="1:21" x14ac:dyDescent="0.35">
      <c r="A48" s="15">
        <v>0</v>
      </c>
      <c r="B48" s="50" t="s">
        <v>216</v>
      </c>
      <c r="C48" s="15"/>
      <c r="D48" s="15"/>
      <c r="E48" s="15"/>
      <c r="F48" s="15"/>
      <c r="G48" s="15"/>
      <c r="H48" s="15"/>
      <c r="I48" s="15"/>
      <c r="J48" s="15"/>
      <c r="K48" s="25"/>
      <c r="L48" s="25"/>
      <c r="M48" s="26"/>
      <c r="N48" s="15"/>
      <c r="O48" s="15"/>
      <c r="P48" s="15"/>
      <c r="Q48" s="15"/>
      <c r="R48" s="15"/>
      <c r="S48" s="28">
        <f t="shared" si="2"/>
        <v>0</v>
      </c>
      <c r="T48" s="29">
        <f t="shared" si="3"/>
        <v>0</v>
      </c>
      <c r="U48" s="32"/>
    </row>
    <row r="49" spans="1:21" x14ac:dyDescent="0.35">
      <c r="A49" s="38">
        <v>0</v>
      </c>
      <c r="B49" s="50" t="s">
        <v>217</v>
      </c>
      <c r="C49" s="38"/>
      <c r="D49" s="38"/>
      <c r="E49" s="27"/>
      <c r="F49" s="27"/>
      <c r="G49" s="27"/>
      <c r="H49" s="27"/>
      <c r="I49" s="27"/>
      <c r="J49" s="27"/>
      <c r="K49" s="25"/>
      <c r="L49" s="25"/>
      <c r="M49" s="26"/>
      <c r="N49" s="15"/>
      <c r="O49" s="15"/>
      <c r="P49" s="15"/>
      <c r="Q49" s="15"/>
      <c r="R49" s="15"/>
      <c r="S49" s="28">
        <f t="shared" si="2"/>
        <v>0</v>
      </c>
      <c r="T49" s="29">
        <f t="shared" si="3"/>
        <v>0</v>
      </c>
      <c r="U49" s="32"/>
    </row>
    <row r="50" spans="1:21" x14ac:dyDescent="0.35">
      <c r="A50" s="15">
        <v>0</v>
      </c>
      <c r="B50" s="50" t="s">
        <v>218</v>
      </c>
      <c r="C50" s="15"/>
      <c r="D50" s="15"/>
      <c r="E50" s="15"/>
      <c r="F50" s="15"/>
      <c r="G50" s="15"/>
      <c r="H50" s="15"/>
      <c r="I50" s="15"/>
      <c r="J50" s="15"/>
      <c r="K50" s="25"/>
      <c r="L50" s="25"/>
      <c r="M50" s="26"/>
      <c r="N50" s="15"/>
      <c r="O50" s="15"/>
      <c r="P50" s="15"/>
      <c r="Q50" s="15"/>
      <c r="R50" s="15"/>
      <c r="S50" s="28">
        <f t="shared" si="2"/>
        <v>0</v>
      </c>
      <c r="T50" s="29">
        <f t="shared" si="3"/>
        <v>0</v>
      </c>
      <c r="U50" s="32"/>
    </row>
    <row r="51" spans="1:21" x14ac:dyDescent="0.35">
      <c r="A51" s="15">
        <v>0</v>
      </c>
      <c r="B51" s="50" t="s">
        <v>219</v>
      </c>
      <c r="C51" s="15"/>
      <c r="D51" s="15"/>
      <c r="E51" s="25"/>
      <c r="F51" s="25"/>
      <c r="G51" s="26"/>
      <c r="H51" s="15"/>
      <c r="I51" s="15"/>
      <c r="J51" s="15"/>
      <c r="K51" s="15"/>
      <c r="L51" s="15"/>
      <c r="M51" s="28"/>
      <c r="N51" s="15"/>
      <c r="O51" s="15"/>
      <c r="P51" s="15"/>
      <c r="Q51" s="15"/>
      <c r="R51" s="15"/>
      <c r="S51" s="28">
        <f t="shared" si="2"/>
        <v>0</v>
      </c>
      <c r="T51" s="29">
        <f t="shared" si="3"/>
        <v>0</v>
      </c>
      <c r="U51" s="32"/>
    </row>
    <row r="52" spans="1:21" x14ac:dyDescent="0.35">
      <c r="A52" s="15">
        <v>0</v>
      </c>
      <c r="B52" s="50" t="s">
        <v>220</v>
      </c>
      <c r="C52" s="15"/>
      <c r="D52" s="15"/>
      <c r="E52" s="25"/>
      <c r="F52" s="25"/>
      <c r="G52" s="26"/>
      <c r="H52" s="15"/>
      <c r="I52" s="15"/>
      <c r="J52" s="15"/>
      <c r="K52" s="15"/>
      <c r="L52" s="15"/>
      <c r="M52" s="28"/>
      <c r="N52" s="15"/>
      <c r="O52" s="15"/>
      <c r="P52" s="15"/>
      <c r="Q52" s="15"/>
      <c r="R52" s="15"/>
      <c r="S52" s="28">
        <f t="shared" si="2"/>
        <v>0</v>
      </c>
      <c r="T52" s="29">
        <f t="shared" si="3"/>
        <v>0</v>
      </c>
      <c r="U52" s="32"/>
    </row>
    <row r="53" spans="1:21" x14ac:dyDescent="0.35">
      <c r="A53" s="15">
        <v>0</v>
      </c>
      <c r="B53" s="50" t="s">
        <v>221</v>
      </c>
      <c r="C53" s="15"/>
      <c r="D53" s="15"/>
      <c r="E53" s="15"/>
      <c r="F53" s="15"/>
      <c r="G53" s="15"/>
      <c r="H53" s="15"/>
      <c r="I53" s="15"/>
      <c r="J53" s="15"/>
      <c r="K53" s="25"/>
      <c r="L53" s="25"/>
      <c r="M53" s="26"/>
      <c r="N53" s="15"/>
      <c r="O53" s="15"/>
      <c r="P53" s="15"/>
      <c r="Q53" s="15"/>
      <c r="R53" s="15"/>
      <c r="S53" s="28">
        <f t="shared" si="2"/>
        <v>0</v>
      </c>
      <c r="T53" s="29">
        <f t="shared" si="3"/>
        <v>0</v>
      </c>
      <c r="U53" s="32"/>
    </row>
    <row r="54" spans="1:21" x14ac:dyDescent="0.35">
      <c r="A54" s="15">
        <v>0</v>
      </c>
      <c r="B54" s="50" t="s">
        <v>222</v>
      </c>
      <c r="C54" s="15"/>
      <c r="D54" s="15"/>
      <c r="E54" s="15"/>
      <c r="F54" s="15"/>
      <c r="G54" s="15"/>
      <c r="H54" s="15"/>
      <c r="I54" s="15"/>
      <c r="J54" s="15"/>
      <c r="K54" s="25"/>
      <c r="L54" s="25"/>
      <c r="M54" s="26"/>
      <c r="N54" s="15"/>
      <c r="O54" s="15"/>
      <c r="P54" s="15"/>
      <c r="Q54" s="15"/>
      <c r="R54" s="15"/>
      <c r="S54" s="28">
        <f t="shared" si="2"/>
        <v>0</v>
      </c>
      <c r="T54" s="29">
        <f t="shared" si="3"/>
        <v>0</v>
      </c>
      <c r="U54" s="32"/>
    </row>
    <row r="55" spans="1:21" x14ac:dyDescent="0.35">
      <c r="A55" s="38">
        <v>0</v>
      </c>
      <c r="B55" s="50" t="s">
        <v>223</v>
      </c>
      <c r="C55" s="38"/>
      <c r="D55" s="35"/>
      <c r="E55" s="36"/>
      <c r="F55" s="36"/>
      <c r="G55" s="36"/>
      <c r="H55" s="36"/>
      <c r="I55" s="36"/>
      <c r="J55" s="36"/>
      <c r="K55" s="36"/>
      <c r="L55" s="36"/>
      <c r="M55" s="36"/>
      <c r="N55" s="15"/>
      <c r="O55" s="15"/>
      <c r="P55" s="15"/>
      <c r="Q55" s="15"/>
      <c r="R55" s="15"/>
      <c r="S55" s="28">
        <f t="shared" si="2"/>
        <v>0</v>
      </c>
      <c r="T55" s="29">
        <f t="shared" si="3"/>
        <v>0</v>
      </c>
      <c r="U55" s="32"/>
    </row>
    <row r="56" spans="1:21" x14ac:dyDescent="0.35">
      <c r="A56" s="38">
        <v>0</v>
      </c>
      <c r="B56" s="50" t="s">
        <v>224</v>
      </c>
      <c r="C56" s="38"/>
      <c r="D56" s="38"/>
      <c r="E56" s="27"/>
      <c r="F56" s="27"/>
      <c r="G56" s="27"/>
      <c r="H56" s="27"/>
      <c r="I56" s="27"/>
      <c r="J56" s="27"/>
      <c r="K56" s="25"/>
      <c r="L56" s="25"/>
      <c r="M56" s="26"/>
      <c r="N56" s="15"/>
      <c r="O56" s="15"/>
      <c r="P56" s="15"/>
      <c r="Q56" s="15"/>
      <c r="R56" s="15"/>
      <c r="S56" s="28">
        <f t="shared" si="2"/>
        <v>0</v>
      </c>
      <c r="T56" s="29">
        <f t="shared" si="3"/>
        <v>0</v>
      </c>
      <c r="U56" s="32"/>
    </row>
    <row r="57" spans="1:21" x14ac:dyDescent="0.35">
      <c r="A57" s="15">
        <v>0</v>
      </c>
      <c r="B57" s="50" t="s">
        <v>225</v>
      </c>
      <c r="C57" s="15"/>
      <c r="D57" s="15"/>
      <c r="E57" s="25"/>
      <c r="F57" s="25"/>
      <c r="G57" s="26"/>
      <c r="H57" s="15"/>
      <c r="I57" s="15"/>
      <c r="J57" s="15"/>
      <c r="K57" s="15"/>
      <c r="L57" s="15"/>
      <c r="M57" s="28"/>
      <c r="N57" s="15"/>
      <c r="O57" s="15"/>
      <c r="P57" s="15"/>
      <c r="Q57" s="15"/>
      <c r="R57" s="15"/>
      <c r="S57" s="28">
        <f t="shared" si="2"/>
        <v>0</v>
      </c>
      <c r="T57" s="29">
        <f t="shared" si="3"/>
        <v>0</v>
      </c>
      <c r="U57" s="32"/>
    </row>
    <row r="58" spans="1:21" x14ac:dyDescent="0.35">
      <c r="A58" s="15">
        <v>0</v>
      </c>
      <c r="B58" s="50" t="s">
        <v>226</v>
      </c>
      <c r="C58" s="15"/>
      <c r="D58" s="15"/>
      <c r="E58" s="15"/>
      <c r="F58" s="15"/>
      <c r="G58" s="15"/>
      <c r="H58" s="15"/>
      <c r="I58" s="15"/>
      <c r="J58" s="15"/>
      <c r="K58" s="25"/>
      <c r="L58" s="25"/>
      <c r="M58" s="26"/>
      <c r="N58" s="15"/>
      <c r="O58" s="15"/>
      <c r="P58" s="15"/>
      <c r="Q58" s="15"/>
      <c r="R58" s="15"/>
      <c r="S58" s="28">
        <f t="shared" si="2"/>
        <v>0</v>
      </c>
      <c r="T58" s="29">
        <f t="shared" si="3"/>
        <v>0</v>
      </c>
      <c r="U58" s="32"/>
    </row>
    <row r="59" spans="1:21" x14ac:dyDescent="0.35">
      <c r="A59" s="38">
        <v>0</v>
      </c>
      <c r="B59" s="50" t="s">
        <v>227</v>
      </c>
      <c r="C59" s="38"/>
      <c r="D59" s="38"/>
      <c r="E59" s="27"/>
      <c r="F59" s="27"/>
      <c r="G59" s="27"/>
      <c r="H59" s="27"/>
      <c r="I59" s="27"/>
      <c r="J59" s="27"/>
      <c r="K59" s="25"/>
      <c r="L59" s="25"/>
      <c r="M59" s="26"/>
      <c r="N59" s="15"/>
      <c r="O59" s="15"/>
      <c r="P59" s="15"/>
      <c r="Q59" s="15"/>
      <c r="R59" s="15"/>
      <c r="S59" s="28">
        <f t="shared" si="2"/>
        <v>0</v>
      </c>
      <c r="T59" s="29">
        <f t="shared" si="3"/>
        <v>0</v>
      </c>
      <c r="U59" s="32"/>
    </row>
    <row r="60" spans="1:21" x14ac:dyDescent="0.35">
      <c r="A60" s="15">
        <v>0</v>
      </c>
      <c r="B60" s="50" t="s">
        <v>230</v>
      </c>
      <c r="C60" s="15"/>
      <c r="D60" s="15"/>
      <c r="E60" s="15"/>
      <c r="F60" s="15"/>
      <c r="G60" s="15"/>
      <c r="H60" s="15"/>
      <c r="I60" s="15"/>
      <c r="J60" s="15"/>
      <c r="K60" s="25"/>
      <c r="L60" s="25"/>
      <c r="M60" s="26"/>
      <c r="N60" s="15"/>
      <c r="O60" s="15"/>
      <c r="P60" s="15"/>
      <c r="Q60" s="15"/>
      <c r="R60" s="15"/>
      <c r="S60" s="28">
        <f t="shared" si="2"/>
        <v>0</v>
      </c>
      <c r="T60" s="29">
        <f t="shared" si="3"/>
        <v>0</v>
      </c>
      <c r="U60" s="32"/>
    </row>
    <row r="61" spans="1:21" x14ac:dyDescent="0.35">
      <c r="A61" s="15">
        <v>0</v>
      </c>
      <c r="B61" s="50" t="s">
        <v>231</v>
      </c>
      <c r="C61" s="15"/>
      <c r="D61" s="15"/>
      <c r="E61" s="15"/>
      <c r="F61" s="15"/>
      <c r="G61" s="15"/>
      <c r="H61" s="15"/>
      <c r="I61" s="15"/>
      <c r="J61" s="15"/>
      <c r="K61" s="25"/>
      <c r="L61" s="25"/>
      <c r="M61" s="26"/>
      <c r="N61" s="15"/>
      <c r="O61" s="15"/>
      <c r="P61" s="15"/>
      <c r="Q61" s="15"/>
      <c r="R61" s="15"/>
      <c r="S61" s="28">
        <f t="shared" si="2"/>
        <v>0</v>
      </c>
      <c r="T61" s="29">
        <f t="shared" si="3"/>
        <v>0</v>
      </c>
      <c r="U61" s="32"/>
    </row>
    <row r="62" spans="1:21" x14ac:dyDescent="0.35">
      <c r="A62" s="15">
        <v>0</v>
      </c>
      <c r="B62" s="50" t="s">
        <v>232</v>
      </c>
      <c r="C62" s="15"/>
      <c r="D62" s="15"/>
      <c r="E62" s="15"/>
      <c r="F62" s="15"/>
      <c r="G62" s="15"/>
      <c r="H62" s="15"/>
      <c r="I62" s="15"/>
      <c r="J62" s="15"/>
      <c r="K62" s="25"/>
      <c r="L62" s="25"/>
      <c r="M62" s="26"/>
      <c r="N62" s="15"/>
      <c r="O62" s="15"/>
      <c r="P62" s="15"/>
      <c r="Q62" s="15"/>
      <c r="R62" s="15"/>
      <c r="S62" s="28">
        <f t="shared" si="2"/>
        <v>0</v>
      </c>
      <c r="T62" s="29">
        <f t="shared" si="3"/>
        <v>0</v>
      </c>
      <c r="U62" s="32"/>
    </row>
    <row r="63" spans="1:21" x14ac:dyDescent="0.35">
      <c r="A63" s="38">
        <v>0</v>
      </c>
      <c r="B63" s="50" t="s">
        <v>233</v>
      </c>
      <c r="C63" s="38"/>
      <c r="D63" s="38"/>
      <c r="E63" s="27"/>
      <c r="F63" s="27"/>
      <c r="G63" s="27"/>
      <c r="H63" s="27"/>
      <c r="I63" s="27"/>
      <c r="J63" s="27"/>
      <c r="K63" s="25"/>
      <c r="L63" s="25"/>
      <c r="M63" s="26"/>
      <c r="N63" s="15"/>
      <c r="O63" s="15"/>
      <c r="P63" s="15"/>
      <c r="Q63" s="15"/>
      <c r="R63" s="15"/>
      <c r="S63" s="28">
        <f t="shared" si="2"/>
        <v>0</v>
      </c>
      <c r="T63" s="29">
        <f t="shared" si="3"/>
        <v>0</v>
      </c>
      <c r="U63" s="32"/>
    </row>
    <row r="64" spans="1:21" x14ac:dyDescent="0.35">
      <c r="A64" s="38">
        <v>0</v>
      </c>
      <c r="B64" s="50" t="s">
        <v>234</v>
      </c>
      <c r="C64" s="38"/>
      <c r="D64" s="38"/>
      <c r="E64" s="27"/>
      <c r="F64" s="27"/>
      <c r="G64" s="27"/>
      <c r="H64" s="27"/>
      <c r="I64" s="27"/>
      <c r="J64" s="27"/>
      <c r="K64" s="25"/>
      <c r="L64" s="25"/>
      <c r="M64" s="26"/>
      <c r="N64" s="15"/>
      <c r="O64" s="15"/>
      <c r="P64" s="15"/>
      <c r="Q64" s="15"/>
      <c r="R64" s="15"/>
      <c r="S64" s="28">
        <f t="shared" si="2"/>
        <v>0</v>
      </c>
      <c r="T64" s="29">
        <f t="shared" si="3"/>
        <v>0</v>
      </c>
      <c r="U64" s="32"/>
    </row>
    <row r="65" spans="1:21" x14ac:dyDescent="0.35">
      <c r="A65" s="38">
        <v>0</v>
      </c>
      <c r="B65" s="50" t="s">
        <v>235</v>
      </c>
      <c r="C65" s="38"/>
      <c r="D65" s="38"/>
      <c r="E65" s="27"/>
      <c r="F65" s="27"/>
      <c r="G65" s="27"/>
      <c r="H65" s="27"/>
      <c r="I65" s="27"/>
      <c r="J65" s="27"/>
      <c r="K65" s="25"/>
      <c r="L65" s="25"/>
      <c r="M65" s="26"/>
      <c r="N65" s="15"/>
      <c r="O65" s="15"/>
      <c r="P65" s="15"/>
      <c r="Q65" s="15"/>
      <c r="R65" s="15"/>
      <c r="S65" s="28">
        <f t="shared" si="2"/>
        <v>0</v>
      </c>
      <c r="T65" s="29">
        <f t="shared" si="3"/>
        <v>0</v>
      </c>
      <c r="U65" s="32"/>
    </row>
    <row r="66" spans="1:21" x14ac:dyDescent="0.35">
      <c r="A66" s="15">
        <v>0</v>
      </c>
      <c r="B66" s="50" t="s">
        <v>236</v>
      </c>
      <c r="C66" s="15"/>
      <c r="D66" s="15"/>
      <c r="E66" s="15"/>
      <c r="F66" s="15"/>
      <c r="G66" s="15"/>
      <c r="H66" s="15"/>
      <c r="I66" s="15"/>
      <c r="J66" s="15"/>
      <c r="K66" s="25"/>
      <c r="L66" s="25"/>
      <c r="M66" s="26"/>
      <c r="N66" s="15"/>
      <c r="O66" s="15"/>
      <c r="P66" s="15"/>
      <c r="Q66" s="15"/>
      <c r="R66" s="15"/>
      <c r="S66" s="28">
        <f t="shared" si="2"/>
        <v>0</v>
      </c>
      <c r="T66" s="29">
        <f t="shared" si="3"/>
        <v>0</v>
      </c>
      <c r="U66" s="32"/>
    </row>
    <row r="67" spans="1:21" x14ac:dyDescent="0.35">
      <c r="A67" s="15">
        <v>0</v>
      </c>
      <c r="B67" s="50" t="s">
        <v>237</v>
      </c>
      <c r="C67" s="15"/>
      <c r="D67" s="15"/>
      <c r="E67" s="15"/>
      <c r="F67" s="15"/>
      <c r="G67" s="15"/>
      <c r="H67" s="15"/>
      <c r="I67" s="15"/>
      <c r="J67" s="15"/>
      <c r="K67" s="25"/>
      <c r="L67" s="25"/>
      <c r="M67" s="26"/>
      <c r="N67" s="15"/>
      <c r="O67" s="15"/>
      <c r="P67" s="15"/>
      <c r="Q67" s="15"/>
      <c r="R67" s="15"/>
      <c r="S67" s="28">
        <f t="shared" si="2"/>
        <v>0</v>
      </c>
      <c r="T67" s="29">
        <f t="shared" si="3"/>
        <v>0</v>
      </c>
      <c r="U67" s="32"/>
    </row>
    <row r="68" spans="1:21" x14ac:dyDescent="0.35">
      <c r="A68" s="38">
        <v>0</v>
      </c>
      <c r="B68" s="50" t="s">
        <v>238</v>
      </c>
      <c r="C68" s="38"/>
      <c r="D68" s="38"/>
      <c r="E68" s="27"/>
      <c r="F68" s="27"/>
      <c r="G68" s="27"/>
      <c r="H68" s="27"/>
      <c r="I68" s="27"/>
      <c r="J68" s="27"/>
      <c r="K68" s="25"/>
      <c r="L68" s="25"/>
      <c r="M68" s="26"/>
      <c r="N68" s="15"/>
      <c r="O68" s="15"/>
      <c r="P68" s="15"/>
      <c r="Q68" s="15"/>
      <c r="R68" s="15"/>
      <c r="S68" s="28">
        <f t="shared" si="2"/>
        <v>0</v>
      </c>
      <c r="T68" s="29">
        <f t="shared" si="3"/>
        <v>0</v>
      </c>
      <c r="U68" s="32"/>
    </row>
    <row r="69" spans="1:21" x14ac:dyDescent="0.35">
      <c r="A69" s="38">
        <v>0</v>
      </c>
      <c r="B69" s="50" t="s">
        <v>239</v>
      </c>
      <c r="C69" s="38"/>
      <c r="D69" s="38"/>
      <c r="E69" s="27"/>
      <c r="F69" s="27"/>
      <c r="G69" s="27"/>
      <c r="H69" s="27"/>
      <c r="I69" s="27"/>
      <c r="J69" s="27"/>
      <c r="K69" s="25"/>
      <c r="L69" s="25"/>
      <c r="M69" s="26"/>
      <c r="N69" s="15"/>
      <c r="O69" s="15"/>
      <c r="P69" s="15"/>
      <c r="Q69" s="15"/>
      <c r="R69" s="15"/>
      <c r="S69" s="28">
        <f t="shared" si="2"/>
        <v>0</v>
      </c>
      <c r="T69" s="29">
        <f t="shared" si="3"/>
        <v>0</v>
      </c>
      <c r="U69" s="32"/>
    </row>
    <row r="70" spans="1:21" x14ac:dyDescent="0.35">
      <c r="A70" s="38">
        <v>0</v>
      </c>
      <c r="B70" s="50" t="s">
        <v>240</v>
      </c>
      <c r="C70" s="38"/>
      <c r="D70" s="38"/>
      <c r="E70" s="27"/>
      <c r="F70" s="27"/>
      <c r="G70" s="27"/>
      <c r="H70" s="27"/>
      <c r="I70" s="27"/>
      <c r="J70" s="27"/>
      <c r="K70" s="25"/>
      <c r="L70" s="25"/>
      <c r="M70" s="26"/>
      <c r="N70" s="15"/>
      <c r="O70" s="15"/>
      <c r="P70" s="15"/>
      <c r="Q70" s="15"/>
      <c r="R70" s="15"/>
      <c r="S70" s="28">
        <f t="shared" si="2"/>
        <v>0</v>
      </c>
      <c r="T70" s="29">
        <f t="shared" si="3"/>
        <v>0</v>
      </c>
      <c r="U70" s="32"/>
    </row>
    <row r="71" spans="1:21" x14ac:dyDescent="0.35">
      <c r="A71" s="38">
        <v>0</v>
      </c>
      <c r="B71" s="50" t="s">
        <v>241</v>
      </c>
      <c r="C71" s="38"/>
      <c r="D71" s="38"/>
      <c r="E71" s="27"/>
      <c r="F71" s="27"/>
      <c r="G71" s="27"/>
      <c r="H71" s="27"/>
      <c r="I71" s="27"/>
      <c r="J71" s="27"/>
      <c r="K71" s="25"/>
      <c r="L71" s="25"/>
      <c r="M71" s="26"/>
      <c r="N71" s="15"/>
      <c r="O71" s="15"/>
      <c r="P71" s="15"/>
      <c r="Q71" s="15"/>
      <c r="R71" s="15"/>
      <c r="S71" s="28">
        <f t="shared" si="2"/>
        <v>0</v>
      </c>
      <c r="T71" s="29">
        <f t="shared" si="3"/>
        <v>0</v>
      </c>
      <c r="U71" s="32"/>
    </row>
    <row r="72" spans="1:21" x14ac:dyDescent="0.35">
      <c r="A72" s="15">
        <v>0</v>
      </c>
      <c r="B72" s="50" t="s">
        <v>242</v>
      </c>
      <c r="C72" s="15"/>
      <c r="D72" s="15"/>
      <c r="E72" s="15"/>
      <c r="F72" s="15"/>
      <c r="G72" s="15"/>
      <c r="H72" s="15"/>
      <c r="I72" s="15"/>
      <c r="J72" s="15"/>
      <c r="K72" s="25"/>
      <c r="L72" s="25"/>
      <c r="M72" s="26"/>
      <c r="N72" s="15"/>
      <c r="O72" s="15"/>
      <c r="P72" s="15"/>
      <c r="Q72" s="15"/>
      <c r="R72" s="15"/>
      <c r="S72" s="28">
        <f t="shared" si="2"/>
        <v>0</v>
      </c>
      <c r="T72" s="29">
        <f t="shared" si="3"/>
        <v>0</v>
      </c>
      <c r="U72" s="32"/>
    </row>
    <row r="73" spans="1:21" x14ac:dyDescent="0.35">
      <c r="A73" s="15">
        <v>0</v>
      </c>
      <c r="B73" s="50" t="s">
        <v>243</v>
      </c>
      <c r="C73" s="15"/>
      <c r="D73" s="15"/>
      <c r="E73" s="15"/>
      <c r="F73" s="15"/>
      <c r="G73" s="15"/>
      <c r="H73" s="15"/>
      <c r="I73" s="15"/>
      <c r="J73" s="15"/>
      <c r="K73" s="25"/>
      <c r="L73" s="25"/>
      <c r="M73" s="26"/>
      <c r="N73" s="15"/>
      <c r="O73" s="15"/>
      <c r="P73" s="15"/>
      <c r="Q73" s="15"/>
      <c r="R73" s="15"/>
      <c r="S73" s="28">
        <f t="shared" si="2"/>
        <v>0</v>
      </c>
      <c r="T73" s="29">
        <f t="shared" si="3"/>
        <v>0</v>
      </c>
      <c r="U73" s="32"/>
    </row>
    <row r="74" spans="1:21" x14ac:dyDescent="0.35">
      <c r="A74" s="15">
        <v>0</v>
      </c>
      <c r="B74" s="50" t="s">
        <v>244</v>
      </c>
      <c r="C74" s="15"/>
      <c r="D74" s="15"/>
      <c r="E74" s="15"/>
      <c r="F74" s="15"/>
      <c r="G74" s="30"/>
      <c r="H74" s="15"/>
      <c r="I74" s="15"/>
      <c r="J74" s="15"/>
      <c r="K74" s="25"/>
      <c r="L74" s="25"/>
      <c r="M74" s="26"/>
      <c r="N74" s="15"/>
      <c r="O74" s="15"/>
      <c r="P74" s="15"/>
      <c r="Q74" s="15"/>
      <c r="R74" s="15"/>
      <c r="S74" s="28">
        <f t="shared" si="2"/>
        <v>0</v>
      </c>
      <c r="T74" s="29">
        <f t="shared" si="3"/>
        <v>0</v>
      </c>
      <c r="U74" s="32"/>
    </row>
    <row r="75" spans="1:21" x14ac:dyDescent="0.35">
      <c r="A75" s="15">
        <v>0</v>
      </c>
      <c r="B75" s="50" t="s">
        <v>245</v>
      </c>
      <c r="C75" s="15"/>
      <c r="D75" s="15"/>
      <c r="E75" s="15"/>
      <c r="F75" s="15"/>
      <c r="G75" s="15"/>
      <c r="H75" s="15"/>
      <c r="I75" s="15"/>
      <c r="J75" s="15"/>
      <c r="K75" s="25"/>
      <c r="L75" s="25"/>
      <c r="M75" s="26"/>
      <c r="N75" s="15"/>
      <c r="O75" s="15"/>
      <c r="P75" s="15"/>
      <c r="Q75" s="15"/>
      <c r="R75" s="15"/>
      <c r="S75" s="28">
        <f t="shared" si="2"/>
        <v>0</v>
      </c>
      <c r="T75" s="29">
        <f t="shared" si="3"/>
        <v>0</v>
      </c>
      <c r="U75" s="32"/>
    </row>
    <row r="76" spans="1:21" x14ac:dyDescent="0.35">
      <c r="A76" s="15">
        <v>0</v>
      </c>
      <c r="B76" s="50" t="s">
        <v>246</v>
      </c>
      <c r="C76" s="15"/>
      <c r="D76" s="15"/>
      <c r="E76" s="15"/>
      <c r="F76" s="15"/>
      <c r="G76" s="15"/>
      <c r="H76" s="15"/>
      <c r="I76" s="15"/>
      <c r="J76" s="15"/>
      <c r="K76" s="25"/>
      <c r="L76" s="25"/>
      <c r="M76" s="26"/>
      <c r="N76" s="15"/>
      <c r="O76" s="15"/>
      <c r="P76" s="15"/>
      <c r="Q76" s="15"/>
      <c r="R76" s="15"/>
      <c r="S76" s="28">
        <f t="shared" si="2"/>
        <v>0</v>
      </c>
      <c r="T76" s="29">
        <f t="shared" si="3"/>
        <v>0</v>
      </c>
      <c r="U76" s="32"/>
    </row>
    <row r="77" spans="1:21" x14ac:dyDescent="0.35">
      <c r="A77" s="15">
        <v>0</v>
      </c>
      <c r="B77" s="50" t="s">
        <v>247</v>
      </c>
      <c r="C77" s="15"/>
      <c r="D77" s="15"/>
      <c r="E77" s="15"/>
      <c r="F77" s="15"/>
      <c r="G77" s="15"/>
      <c r="H77" s="15"/>
      <c r="I77" s="15"/>
      <c r="J77" s="15"/>
      <c r="K77" s="25"/>
      <c r="L77" s="25"/>
      <c r="M77" s="26"/>
      <c r="N77" s="15"/>
      <c r="O77" s="15"/>
      <c r="P77" s="15"/>
      <c r="Q77" s="15"/>
      <c r="R77" s="15"/>
      <c r="S77" s="28">
        <f t="shared" si="2"/>
        <v>0</v>
      </c>
      <c r="T77" s="29">
        <f t="shared" si="3"/>
        <v>0</v>
      </c>
      <c r="U77" s="32"/>
    </row>
    <row r="78" spans="1:21" x14ac:dyDescent="0.35">
      <c r="A78" s="15">
        <v>0</v>
      </c>
      <c r="B78" s="50" t="s">
        <v>248</v>
      </c>
      <c r="C78" s="15"/>
      <c r="D78" s="15"/>
      <c r="E78" s="15"/>
      <c r="F78" s="15"/>
      <c r="G78" s="15"/>
      <c r="H78" s="15"/>
      <c r="I78" s="15"/>
      <c r="J78" s="15"/>
      <c r="K78" s="25"/>
      <c r="L78" s="25"/>
      <c r="M78" s="26"/>
      <c r="N78" s="15"/>
      <c r="O78" s="15"/>
      <c r="P78" s="15"/>
      <c r="Q78" s="15"/>
      <c r="R78" s="15"/>
      <c r="S78" s="28">
        <f t="shared" si="2"/>
        <v>0</v>
      </c>
      <c r="T78" s="29">
        <f t="shared" si="3"/>
        <v>0</v>
      </c>
      <c r="U78" s="32"/>
    </row>
    <row r="79" spans="1:21" x14ac:dyDescent="0.35">
      <c r="A79" s="15">
        <v>0</v>
      </c>
      <c r="B79" s="50" t="s">
        <v>250</v>
      </c>
      <c r="C79" s="15"/>
      <c r="D79" s="15"/>
      <c r="E79" s="15"/>
      <c r="F79" s="15"/>
      <c r="G79" s="15"/>
      <c r="H79" s="15"/>
      <c r="I79" s="15"/>
      <c r="J79" s="15"/>
      <c r="K79" s="25"/>
      <c r="L79" s="25"/>
      <c r="M79" s="26"/>
      <c r="N79" s="15"/>
      <c r="O79" s="15"/>
      <c r="P79" s="15"/>
      <c r="Q79" s="15"/>
      <c r="R79" s="15"/>
      <c r="S79" s="28">
        <f t="shared" si="2"/>
        <v>0</v>
      </c>
      <c r="T79" s="29">
        <f t="shared" si="3"/>
        <v>0</v>
      </c>
      <c r="U79" s="32"/>
    </row>
    <row r="80" spans="1:21" x14ac:dyDescent="0.35">
      <c r="A80" s="15">
        <v>0</v>
      </c>
      <c r="B80" s="50" t="s">
        <v>251</v>
      </c>
      <c r="C80" s="15"/>
      <c r="D80" s="15"/>
      <c r="E80" s="15"/>
      <c r="F80" s="15"/>
      <c r="G80" s="15"/>
      <c r="H80" s="15"/>
      <c r="I80" s="15"/>
      <c r="J80" s="15"/>
      <c r="K80" s="25"/>
      <c r="L80" s="25"/>
      <c r="M80" s="26"/>
      <c r="N80" s="15"/>
      <c r="O80" s="15"/>
      <c r="P80" s="15"/>
      <c r="Q80" s="15"/>
      <c r="R80" s="15"/>
      <c r="S80" s="28">
        <f t="shared" ref="S80:S86" si="4">R80+M80</f>
        <v>0</v>
      </c>
      <c r="T80" s="29">
        <f t="shared" ref="T80:T86" si="5">S80*A80</f>
        <v>0</v>
      </c>
      <c r="U80" s="32"/>
    </row>
    <row r="81" spans="1:21" x14ac:dyDescent="0.35">
      <c r="A81" s="15">
        <v>0</v>
      </c>
      <c r="B81" s="50" t="s">
        <v>252</v>
      </c>
      <c r="C81" s="15"/>
      <c r="D81" s="15"/>
      <c r="E81" s="15"/>
      <c r="F81" s="15"/>
      <c r="G81" s="15"/>
      <c r="H81" s="15"/>
      <c r="I81" s="15"/>
      <c r="J81" s="15"/>
      <c r="K81" s="25"/>
      <c r="L81" s="25"/>
      <c r="M81" s="26"/>
      <c r="N81" s="15"/>
      <c r="O81" s="15"/>
      <c r="P81" s="15"/>
      <c r="Q81" s="15"/>
      <c r="R81" s="15"/>
      <c r="S81" s="28">
        <f t="shared" si="4"/>
        <v>0</v>
      </c>
      <c r="T81" s="29">
        <f t="shared" si="5"/>
        <v>0</v>
      </c>
      <c r="U81" s="32"/>
    </row>
    <row r="82" spans="1:21" x14ac:dyDescent="0.35">
      <c r="A82" s="15">
        <v>0</v>
      </c>
      <c r="B82" s="50" t="s">
        <v>253</v>
      </c>
      <c r="C82" s="15"/>
      <c r="D82" s="15"/>
      <c r="E82" s="15"/>
      <c r="F82" s="15"/>
      <c r="G82" s="15"/>
      <c r="H82" s="15"/>
      <c r="I82" s="15"/>
      <c r="J82" s="15"/>
      <c r="K82" s="25"/>
      <c r="L82" s="25"/>
      <c r="M82" s="26"/>
      <c r="N82" s="15"/>
      <c r="O82" s="15"/>
      <c r="P82" s="15"/>
      <c r="Q82" s="15"/>
      <c r="R82" s="15"/>
      <c r="S82" s="28">
        <f t="shared" si="4"/>
        <v>0</v>
      </c>
      <c r="T82" s="29">
        <f t="shared" si="5"/>
        <v>0</v>
      </c>
      <c r="U82" s="32"/>
    </row>
    <row r="83" spans="1:21" x14ac:dyDescent="0.35">
      <c r="A83" s="15">
        <v>0</v>
      </c>
      <c r="B83" s="50" t="s">
        <v>254</v>
      </c>
      <c r="C83" s="15"/>
      <c r="D83" s="15"/>
      <c r="E83" s="15"/>
      <c r="F83" s="15"/>
      <c r="G83" s="15"/>
      <c r="H83" s="15"/>
      <c r="I83" s="15"/>
      <c r="J83" s="15"/>
      <c r="K83" s="25"/>
      <c r="L83" s="25"/>
      <c r="M83" s="26"/>
      <c r="N83" s="15"/>
      <c r="O83" s="15"/>
      <c r="P83" s="15"/>
      <c r="Q83" s="15"/>
      <c r="R83" s="15"/>
      <c r="S83" s="28">
        <f t="shared" si="4"/>
        <v>0</v>
      </c>
      <c r="T83" s="29">
        <f t="shared" si="5"/>
        <v>0</v>
      </c>
      <c r="U83" s="32"/>
    </row>
    <row r="84" spans="1:21" x14ac:dyDescent="0.35">
      <c r="A84" s="15">
        <v>0</v>
      </c>
      <c r="B84" s="50" t="s">
        <v>256</v>
      </c>
      <c r="C84" s="15"/>
      <c r="D84" s="15"/>
      <c r="E84" s="15"/>
      <c r="F84" s="15"/>
      <c r="G84" s="15"/>
      <c r="H84" s="15"/>
      <c r="I84" s="15"/>
      <c r="J84" s="15"/>
      <c r="K84" s="25"/>
      <c r="L84" s="25"/>
      <c r="M84" s="26"/>
      <c r="N84" s="15"/>
      <c r="O84" s="15"/>
      <c r="P84" s="15"/>
      <c r="Q84" s="15"/>
      <c r="R84" s="15"/>
      <c r="S84" s="28">
        <f t="shared" si="4"/>
        <v>0</v>
      </c>
      <c r="T84" s="29">
        <f t="shared" si="5"/>
        <v>0</v>
      </c>
      <c r="U84" s="32"/>
    </row>
    <row r="85" spans="1:21" x14ac:dyDescent="0.35">
      <c r="A85" s="15">
        <v>0</v>
      </c>
      <c r="B85" s="50" t="s">
        <v>257</v>
      </c>
      <c r="C85" s="15"/>
      <c r="D85" s="15"/>
      <c r="E85" s="15"/>
      <c r="F85" s="15"/>
      <c r="G85" s="30"/>
      <c r="H85" s="15"/>
      <c r="I85" s="15"/>
      <c r="J85" s="15"/>
      <c r="K85" s="25"/>
      <c r="L85" s="25"/>
      <c r="M85" s="26"/>
      <c r="N85" s="15"/>
      <c r="O85" s="15"/>
      <c r="P85" s="15"/>
      <c r="Q85" s="15"/>
      <c r="R85" s="15"/>
      <c r="S85" s="28">
        <f t="shared" si="4"/>
        <v>0</v>
      </c>
      <c r="T85" s="29">
        <f t="shared" si="5"/>
        <v>0</v>
      </c>
      <c r="U85" s="32"/>
    </row>
    <row r="86" spans="1:21" x14ac:dyDescent="0.35">
      <c r="A86" s="15">
        <v>0</v>
      </c>
      <c r="B86" s="50" t="s">
        <v>258</v>
      </c>
      <c r="C86" s="15"/>
      <c r="D86" s="15"/>
      <c r="E86" s="15"/>
      <c r="F86" s="15"/>
      <c r="G86" s="30"/>
      <c r="H86" s="15"/>
      <c r="I86" s="15"/>
      <c r="J86" s="15"/>
      <c r="K86" s="25"/>
      <c r="L86" s="25"/>
      <c r="M86" s="26"/>
      <c r="N86" s="15"/>
      <c r="O86" s="15"/>
      <c r="P86" s="15"/>
      <c r="Q86" s="15"/>
      <c r="R86" s="15"/>
      <c r="S86" s="28">
        <f t="shared" si="4"/>
        <v>0</v>
      </c>
      <c r="T86" s="29">
        <f t="shared" si="5"/>
        <v>0</v>
      </c>
      <c r="U86" s="32"/>
    </row>
    <row r="87" spans="1:21" x14ac:dyDescent="0.35">
      <c r="A87" s="15">
        <v>0</v>
      </c>
      <c r="B87" s="50" t="s">
        <v>259</v>
      </c>
      <c r="C87" s="15"/>
      <c r="D87" s="15"/>
      <c r="E87" s="15"/>
      <c r="F87" s="15"/>
      <c r="G87" s="15"/>
      <c r="H87" s="15"/>
      <c r="I87" s="15"/>
      <c r="J87" s="15"/>
      <c r="K87" s="25"/>
      <c r="L87" s="25"/>
      <c r="M87" s="26"/>
      <c r="N87" s="29"/>
      <c r="O87" s="15"/>
      <c r="P87" s="15"/>
      <c r="Q87" s="15"/>
      <c r="R87" s="15"/>
      <c r="S87" s="15"/>
      <c r="T87" s="15"/>
      <c r="U87" s="32"/>
    </row>
    <row r="88" spans="1:21" x14ac:dyDescent="0.35">
      <c r="A88" s="15">
        <v>0</v>
      </c>
      <c r="B88" s="50" t="s">
        <v>261</v>
      </c>
      <c r="C88" s="15"/>
      <c r="D88" s="15"/>
      <c r="E88" s="15"/>
      <c r="F88" s="15"/>
      <c r="G88" s="15"/>
      <c r="H88" s="15"/>
      <c r="I88" s="15"/>
      <c r="J88" s="15"/>
      <c r="K88" s="25"/>
      <c r="L88" s="25"/>
      <c r="M88" s="26"/>
      <c r="N88" s="29"/>
      <c r="O88" s="15"/>
      <c r="P88" s="15"/>
      <c r="Q88" s="15"/>
      <c r="R88" s="15"/>
      <c r="S88" s="15"/>
      <c r="T88" s="15"/>
      <c r="U88" s="32"/>
    </row>
    <row r="89" spans="1:21" x14ac:dyDescent="0.35">
      <c r="A89" s="15">
        <v>0</v>
      </c>
      <c r="B89" s="50" t="s">
        <v>262</v>
      </c>
      <c r="C89" s="15"/>
      <c r="D89" s="15"/>
      <c r="E89" s="15"/>
      <c r="F89" s="15"/>
      <c r="G89" s="15"/>
      <c r="H89" s="15"/>
      <c r="I89" s="15"/>
      <c r="J89" s="15"/>
      <c r="K89" s="25"/>
      <c r="L89" s="25"/>
      <c r="M89" s="26"/>
      <c r="N89" s="29"/>
      <c r="O89" s="15"/>
      <c r="P89" s="15"/>
      <c r="Q89" s="15"/>
      <c r="R89" s="15"/>
      <c r="S89" s="15"/>
      <c r="T89" s="15"/>
    </row>
    <row r="90" spans="1:21" x14ac:dyDescent="0.35">
      <c r="A90" s="15">
        <v>0</v>
      </c>
      <c r="B90" s="50" t="s">
        <v>263</v>
      </c>
      <c r="C90" s="15"/>
      <c r="D90" s="15"/>
      <c r="E90" s="15"/>
      <c r="F90" s="15"/>
      <c r="G90" s="15"/>
      <c r="H90" s="15"/>
      <c r="I90" s="15"/>
      <c r="J90" s="15"/>
      <c r="K90" s="25"/>
      <c r="L90" s="25"/>
      <c r="M90" s="26"/>
      <c r="N90" s="29"/>
      <c r="O90" s="15"/>
      <c r="P90" s="15"/>
      <c r="Q90" s="15"/>
      <c r="R90" s="15"/>
      <c r="S90" s="15"/>
      <c r="T90" s="15"/>
    </row>
    <row r="91" spans="1:21" x14ac:dyDescent="0.35">
      <c r="A91" s="15">
        <v>0</v>
      </c>
      <c r="B91" s="50" t="s">
        <v>264</v>
      </c>
      <c r="C91" s="15"/>
      <c r="D91" s="15"/>
      <c r="E91" s="15"/>
      <c r="F91" s="15"/>
      <c r="G91" s="15"/>
      <c r="H91" s="15"/>
      <c r="I91" s="15"/>
      <c r="J91" s="15"/>
      <c r="K91" s="25"/>
      <c r="L91" s="25"/>
      <c r="M91" s="26"/>
      <c r="N91" s="29"/>
      <c r="O91" s="15"/>
      <c r="P91" s="15"/>
      <c r="Q91" s="15"/>
      <c r="R91" s="15"/>
      <c r="S91" s="15"/>
      <c r="T91" s="15"/>
    </row>
    <row r="92" spans="1:21" x14ac:dyDescent="0.35">
      <c r="A92" s="15">
        <v>0</v>
      </c>
      <c r="B92" s="50" t="s">
        <v>265</v>
      </c>
      <c r="C92" s="15"/>
      <c r="D92" s="15"/>
      <c r="E92" s="15"/>
      <c r="F92" s="15"/>
      <c r="G92" s="15"/>
      <c r="H92" s="15"/>
      <c r="I92" s="15"/>
      <c r="J92" s="15"/>
      <c r="K92" s="25"/>
      <c r="L92" s="25"/>
      <c r="M92" s="26"/>
      <c r="N92" s="29"/>
      <c r="O92" s="15"/>
      <c r="P92" s="15"/>
      <c r="Q92" s="15"/>
      <c r="R92" s="15"/>
      <c r="S92" s="15"/>
      <c r="T92" s="15"/>
    </row>
    <row r="93" spans="1:21" x14ac:dyDescent="0.35">
      <c r="A93" s="15">
        <v>0</v>
      </c>
      <c r="B93" s="50" t="s">
        <v>266</v>
      </c>
      <c r="C93" s="15"/>
      <c r="D93" s="15"/>
      <c r="E93" s="27"/>
      <c r="F93" s="27"/>
      <c r="G93" s="27"/>
      <c r="H93" s="27"/>
      <c r="I93" s="27"/>
      <c r="J93" s="27"/>
      <c r="K93" s="25"/>
      <c r="L93" s="25"/>
      <c r="M93" s="26"/>
      <c r="N93" s="29"/>
      <c r="O93" s="15"/>
      <c r="P93" s="15"/>
      <c r="Q93" s="15"/>
      <c r="R93" s="15"/>
      <c r="S93" s="15"/>
      <c r="T93" s="15"/>
    </row>
    <row r="94" spans="1:21" x14ac:dyDescent="0.35">
      <c r="A94" s="15">
        <v>0</v>
      </c>
      <c r="B94" s="50" t="s">
        <v>267</v>
      </c>
      <c r="C94" s="15"/>
      <c r="D94" s="15"/>
      <c r="E94" s="15"/>
      <c r="F94" s="15"/>
      <c r="G94" s="15"/>
      <c r="H94" s="15"/>
      <c r="I94" s="15"/>
      <c r="J94" s="15"/>
      <c r="K94" s="25"/>
      <c r="L94" s="25"/>
      <c r="M94" s="26"/>
      <c r="N94" s="29"/>
      <c r="O94" s="15"/>
      <c r="P94" s="15"/>
      <c r="Q94" s="15"/>
      <c r="R94" s="15"/>
      <c r="S94" s="15"/>
      <c r="T94" s="15"/>
    </row>
    <row r="95" spans="1:21" x14ac:dyDescent="0.35">
      <c r="A95" s="15">
        <v>0</v>
      </c>
      <c r="B95" s="50" t="s">
        <v>268</v>
      </c>
      <c r="C95" s="15"/>
      <c r="D95" s="15"/>
      <c r="E95" s="15"/>
      <c r="F95" s="15"/>
      <c r="G95" s="15"/>
      <c r="H95" s="15"/>
      <c r="I95" s="15"/>
      <c r="J95" s="15"/>
      <c r="K95" s="25"/>
      <c r="L95" s="25"/>
      <c r="M95" s="26"/>
      <c r="N95" s="29"/>
      <c r="O95" s="15"/>
      <c r="P95" s="15"/>
      <c r="Q95" s="15"/>
      <c r="R95" s="15"/>
      <c r="S95" s="15"/>
      <c r="T95" s="15"/>
    </row>
    <row r="96" spans="1:21" x14ac:dyDescent="0.35">
      <c r="A96" s="15">
        <v>0</v>
      </c>
      <c r="B96" s="50" t="s">
        <v>270</v>
      </c>
      <c r="C96" s="15"/>
      <c r="D96" s="15"/>
      <c r="E96" s="15"/>
      <c r="F96" s="15"/>
      <c r="G96" s="15"/>
      <c r="H96" s="15"/>
      <c r="I96" s="15"/>
      <c r="J96" s="15"/>
      <c r="K96" s="25"/>
      <c r="L96" s="25"/>
      <c r="M96" s="26"/>
      <c r="N96" s="29"/>
      <c r="O96" s="15"/>
      <c r="P96" s="15"/>
      <c r="Q96" s="15"/>
      <c r="R96" s="15"/>
      <c r="S96" s="15"/>
      <c r="T96" s="15"/>
    </row>
    <row r="97" spans="1:20" x14ac:dyDescent="0.35">
      <c r="A97" s="15">
        <v>0</v>
      </c>
      <c r="B97" s="50" t="s">
        <v>271</v>
      </c>
      <c r="C97" s="15"/>
      <c r="D97" s="15"/>
      <c r="E97" s="15"/>
      <c r="F97" s="15"/>
      <c r="G97" s="15"/>
      <c r="H97" s="15"/>
      <c r="I97" s="15"/>
      <c r="J97" s="15"/>
      <c r="K97" s="25"/>
      <c r="L97" s="25"/>
      <c r="M97" s="26"/>
      <c r="N97" s="29"/>
      <c r="O97" s="15"/>
      <c r="P97" s="15"/>
      <c r="Q97" s="15"/>
      <c r="R97" s="15"/>
      <c r="S97" s="15"/>
      <c r="T97" s="15"/>
    </row>
    <row r="98" spans="1:20" x14ac:dyDescent="0.35">
      <c r="A98" s="15">
        <v>0</v>
      </c>
      <c r="B98" s="50" t="s">
        <v>272</v>
      </c>
      <c r="C98" s="15"/>
      <c r="D98" s="15"/>
      <c r="E98" s="15"/>
      <c r="F98" s="15"/>
      <c r="G98" s="15"/>
      <c r="H98" s="15"/>
      <c r="I98" s="15"/>
      <c r="J98" s="15"/>
      <c r="K98" s="25"/>
      <c r="L98" s="25"/>
      <c r="M98" s="26"/>
      <c r="N98" s="29"/>
      <c r="O98" s="15"/>
      <c r="P98" s="15"/>
      <c r="Q98" s="15"/>
      <c r="R98" s="15"/>
      <c r="S98" s="15"/>
      <c r="T98" s="15"/>
    </row>
    <row r="99" spans="1:20" x14ac:dyDescent="0.35">
      <c r="A99" s="15">
        <v>0</v>
      </c>
      <c r="B99" s="50" t="s">
        <v>273</v>
      </c>
      <c r="C99" s="15"/>
      <c r="D99" s="15"/>
      <c r="E99" s="15"/>
      <c r="F99" s="15"/>
      <c r="G99" s="15"/>
      <c r="H99" s="15"/>
      <c r="I99" s="15"/>
      <c r="J99" s="15"/>
      <c r="K99" s="25"/>
      <c r="L99" s="25"/>
      <c r="M99" s="26"/>
      <c r="N99" s="29"/>
      <c r="O99" s="15"/>
      <c r="P99" s="15"/>
      <c r="Q99" s="15"/>
      <c r="R99" s="15"/>
      <c r="S99" s="15"/>
      <c r="T99" s="15"/>
    </row>
    <row r="100" spans="1:20" x14ac:dyDescent="0.35">
      <c r="A100" s="15">
        <v>0</v>
      </c>
      <c r="B100" s="50" t="s">
        <v>274</v>
      </c>
      <c r="C100" s="15"/>
      <c r="D100" s="15"/>
      <c r="E100" s="15"/>
      <c r="F100" s="15"/>
      <c r="G100" s="15"/>
      <c r="H100" s="15"/>
      <c r="I100" s="15"/>
      <c r="J100" s="15"/>
      <c r="K100" s="25"/>
      <c r="L100" s="25"/>
      <c r="M100" s="26"/>
      <c r="N100" s="29"/>
      <c r="O100" s="15"/>
      <c r="P100" s="15"/>
      <c r="Q100" s="15"/>
      <c r="R100" s="15"/>
      <c r="S100" s="15"/>
      <c r="T100" s="15"/>
    </row>
    <row r="101" spans="1:20" x14ac:dyDescent="0.35">
      <c r="A101" s="15">
        <v>0</v>
      </c>
      <c r="B101" s="50" t="s">
        <v>275</v>
      </c>
      <c r="C101" s="15"/>
      <c r="D101" s="15"/>
      <c r="E101" s="15"/>
      <c r="F101" s="15"/>
      <c r="G101" s="15"/>
      <c r="H101" s="15"/>
      <c r="I101" s="15"/>
      <c r="J101" s="15"/>
      <c r="K101" s="25"/>
      <c r="L101" s="25"/>
      <c r="M101" s="26"/>
      <c r="N101" s="29"/>
      <c r="O101" s="15"/>
      <c r="P101" s="15"/>
      <c r="Q101" s="15"/>
      <c r="R101" s="15"/>
      <c r="S101" s="15"/>
      <c r="T101" s="15"/>
    </row>
    <row r="102" spans="1:20" x14ac:dyDescent="0.35">
      <c r="A102" s="15">
        <v>0</v>
      </c>
      <c r="B102" s="50" t="s">
        <v>276</v>
      </c>
      <c r="C102" s="15"/>
      <c r="D102" s="15"/>
      <c r="E102" s="15"/>
      <c r="F102" s="15"/>
      <c r="G102" s="15"/>
      <c r="H102" s="15"/>
      <c r="I102" s="15"/>
      <c r="J102" s="15"/>
      <c r="K102" s="25"/>
      <c r="L102" s="25"/>
      <c r="M102" s="26"/>
      <c r="N102" s="29"/>
      <c r="O102" s="15"/>
      <c r="P102" s="15"/>
      <c r="Q102" s="15"/>
      <c r="R102" s="15"/>
      <c r="S102" s="15"/>
      <c r="T102" s="15"/>
    </row>
    <row r="103" spans="1:20" x14ac:dyDescent="0.35">
      <c r="A103" s="15">
        <v>0</v>
      </c>
      <c r="B103" s="50" t="s">
        <v>277</v>
      </c>
      <c r="C103" s="15"/>
      <c r="D103" s="15"/>
      <c r="E103" s="15"/>
      <c r="F103" s="15"/>
      <c r="G103" s="15"/>
      <c r="H103" s="15"/>
      <c r="I103" s="15"/>
      <c r="J103" s="15"/>
      <c r="K103" s="25"/>
      <c r="L103" s="25"/>
      <c r="M103" s="26"/>
      <c r="N103" s="29"/>
      <c r="O103" s="15"/>
      <c r="P103" s="15"/>
      <c r="Q103" s="15"/>
      <c r="R103" s="15"/>
      <c r="S103" s="15"/>
      <c r="T103" s="15"/>
    </row>
    <row r="104" spans="1:20" x14ac:dyDescent="0.35">
      <c r="A104" s="15">
        <v>0</v>
      </c>
      <c r="B104" s="50" t="s">
        <v>278</v>
      </c>
      <c r="C104" s="15"/>
      <c r="D104" s="15"/>
      <c r="E104" s="15"/>
      <c r="F104" s="15"/>
      <c r="G104" s="15"/>
      <c r="H104" s="15"/>
      <c r="I104" s="15"/>
      <c r="J104" s="15"/>
      <c r="K104" s="25"/>
      <c r="L104" s="25"/>
      <c r="M104" s="26"/>
      <c r="N104" s="29"/>
      <c r="O104" s="15"/>
      <c r="P104" s="15"/>
      <c r="Q104" s="15"/>
      <c r="R104" s="15"/>
      <c r="S104" s="15"/>
      <c r="T104" s="15"/>
    </row>
    <row r="105" spans="1:20" x14ac:dyDescent="0.35">
      <c r="A105" s="15">
        <v>0</v>
      </c>
      <c r="B105" s="50" t="s">
        <v>279</v>
      </c>
      <c r="C105" s="15"/>
      <c r="D105" s="15"/>
      <c r="E105" s="15"/>
      <c r="F105" s="15"/>
      <c r="G105" s="15"/>
      <c r="H105" s="15"/>
      <c r="I105" s="15"/>
      <c r="J105" s="15"/>
      <c r="K105" s="25"/>
      <c r="L105" s="25"/>
      <c r="M105" s="26"/>
      <c r="N105" s="29"/>
      <c r="O105" s="15"/>
      <c r="P105" s="15"/>
      <c r="Q105" s="15"/>
      <c r="R105" s="15"/>
      <c r="S105" s="15"/>
      <c r="T105" s="15"/>
    </row>
    <row r="106" spans="1:20" x14ac:dyDescent="0.35">
      <c r="A106" s="15">
        <v>0</v>
      </c>
      <c r="B106" s="50" t="s">
        <v>280</v>
      </c>
      <c r="C106" s="15"/>
      <c r="D106" s="15"/>
      <c r="E106" s="15"/>
      <c r="F106" s="15"/>
      <c r="G106" s="15"/>
      <c r="H106" s="15"/>
      <c r="I106" s="15"/>
      <c r="J106" s="15"/>
      <c r="K106" s="25"/>
      <c r="L106" s="25"/>
      <c r="M106" s="26"/>
      <c r="N106" s="29"/>
      <c r="O106" s="15"/>
      <c r="P106" s="15"/>
      <c r="Q106" s="15"/>
      <c r="R106" s="15"/>
      <c r="S106" s="15"/>
      <c r="T106" s="15"/>
    </row>
    <row r="107" spans="1:20" x14ac:dyDescent="0.35">
      <c r="A107" s="15">
        <v>0</v>
      </c>
      <c r="B107" s="50" t="s">
        <v>281</v>
      </c>
      <c r="C107" s="15"/>
      <c r="D107" s="15"/>
      <c r="E107" s="15"/>
      <c r="F107" s="15"/>
      <c r="G107" s="15"/>
      <c r="H107" s="15"/>
      <c r="I107" s="15"/>
      <c r="J107" s="15"/>
      <c r="K107" s="25"/>
      <c r="L107" s="25"/>
      <c r="M107" s="26"/>
      <c r="N107" s="29"/>
      <c r="O107" s="15"/>
      <c r="P107" s="15"/>
      <c r="Q107" s="15"/>
      <c r="R107" s="15"/>
      <c r="S107" s="15"/>
      <c r="T107" s="15"/>
    </row>
    <row r="108" spans="1:20" x14ac:dyDescent="0.35">
      <c r="A108" s="15">
        <v>0</v>
      </c>
      <c r="B108" s="50" t="s">
        <v>282</v>
      </c>
      <c r="C108" s="15"/>
      <c r="D108" s="15"/>
      <c r="E108" s="15"/>
      <c r="F108" s="15"/>
      <c r="G108" s="15"/>
      <c r="H108" s="15"/>
      <c r="I108" s="15"/>
      <c r="J108" s="15"/>
      <c r="K108" s="25"/>
      <c r="L108" s="25"/>
      <c r="M108" s="26"/>
      <c r="N108" s="29"/>
      <c r="O108" s="15"/>
      <c r="P108" s="15"/>
      <c r="Q108" s="15"/>
      <c r="R108" s="15"/>
      <c r="S108" s="15"/>
      <c r="T108" s="15"/>
    </row>
    <row r="109" spans="1:20" x14ac:dyDescent="0.35">
      <c r="A109" s="15">
        <v>0</v>
      </c>
      <c r="B109" s="50" t="s">
        <v>283</v>
      </c>
      <c r="C109" s="15"/>
      <c r="D109" s="15"/>
      <c r="E109" s="15"/>
      <c r="F109" s="15"/>
      <c r="G109" s="15"/>
      <c r="H109" s="15"/>
      <c r="I109" s="15"/>
      <c r="J109" s="15"/>
      <c r="K109" s="25"/>
      <c r="L109" s="25"/>
      <c r="M109" s="26"/>
      <c r="N109" s="29"/>
      <c r="O109" s="15"/>
      <c r="P109" s="15"/>
      <c r="Q109" s="15"/>
      <c r="R109" s="15"/>
      <c r="S109" s="15"/>
      <c r="T109" s="15"/>
    </row>
    <row r="110" spans="1:20" x14ac:dyDescent="0.35">
      <c r="A110" s="15">
        <v>0</v>
      </c>
      <c r="B110" s="50" t="s">
        <v>284</v>
      </c>
      <c r="C110" s="15"/>
      <c r="D110" s="15"/>
      <c r="E110" s="15"/>
      <c r="F110" s="15"/>
      <c r="G110" s="15"/>
      <c r="H110" s="15"/>
      <c r="I110" s="15"/>
      <c r="J110" s="15"/>
      <c r="K110" s="25"/>
      <c r="L110" s="25"/>
      <c r="M110" s="26"/>
      <c r="N110" s="29"/>
      <c r="O110" s="15"/>
      <c r="P110" s="15"/>
      <c r="Q110" s="15"/>
      <c r="R110" s="15"/>
      <c r="S110" s="15"/>
      <c r="T110" s="15"/>
    </row>
    <row r="111" spans="1:20" x14ac:dyDescent="0.35">
      <c r="A111" s="15">
        <v>0</v>
      </c>
      <c r="B111" s="50" t="s">
        <v>286</v>
      </c>
      <c r="C111" s="15"/>
      <c r="D111" s="15"/>
      <c r="E111" s="15"/>
      <c r="F111" s="15"/>
      <c r="G111" s="15"/>
      <c r="H111" s="15"/>
      <c r="I111" s="15"/>
      <c r="J111" s="15"/>
      <c r="K111" s="25"/>
      <c r="L111" s="25"/>
      <c r="M111" s="26"/>
      <c r="N111" s="29"/>
      <c r="O111" s="15"/>
      <c r="P111" s="15"/>
      <c r="Q111" s="15"/>
      <c r="R111" s="15"/>
      <c r="S111" s="15"/>
      <c r="T111" s="15"/>
    </row>
    <row r="112" spans="1:20" x14ac:dyDescent="0.35">
      <c r="A112" s="15">
        <v>0</v>
      </c>
      <c r="B112" s="50" t="s">
        <v>287</v>
      </c>
      <c r="C112" s="15"/>
      <c r="D112" s="15"/>
      <c r="E112" s="15"/>
      <c r="F112" s="15"/>
      <c r="G112" s="15"/>
      <c r="H112" s="15"/>
      <c r="I112" s="15"/>
      <c r="J112" s="15"/>
      <c r="K112" s="25"/>
      <c r="L112" s="25"/>
      <c r="M112" s="26"/>
      <c r="N112" s="29"/>
      <c r="O112" s="15"/>
      <c r="P112" s="15"/>
      <c r="Q112" s="15"/>
      <c r="R112" s="15"/>
      <c r="S112" s="15"/>
      <c r="T112" s="15"/>
    </row>
    <row r="113" spans="1:20" x14ac:dyDescent="0.35">
      <c r="A113" s="15">
        <v>0</v>
      </c>
      <c r="B113" s="50" t="s">
        <v>288</v>
      </c>
      <c r="C113" s="15"/>
      <c r="D113" s="15"/>
      <c r="E113" s="15"/>
      <c r="F113" s="15"/>
      <c r="G113" s="15"/>
      <c r="H113" s="15"/>
      <c r="I113" s="15"/>
      <c r="J113" s="15"/>
      <c r="K113" s="25"/>
      <c r="L113" s="25"/>
      <c r="M113" s="26"/>
      <c r="N113" s="29"/>
      <c r="O113" s="15"/>
      <c r="P113" s="15"/>
      <c r="Q113" s="15"/>
      <c r="R113" s="15"/>
      <c r="S113" s="15"/>
      <c r="T113" s="15"/>
    </row>
    <row r="114" spans="1:20" x14ac:dyDescent="0.35">
      <c r="A114" s="15">
        <v>0</v>
      </c>
      <c r="B114" s="50" t="s">
        <v>290</v>
      </c>
      <c r="C114" s="15"/>
      <c r="D114" s="15"/>
      <c r="E114" s="15"/>
      <c r="F114" s="15"/>
      <c r="G114" s="15"/>
      <c r="H114" s="15"/>
      <c r="I114" s="15"/>
      <c r="J114" s="15"/>
      <c r="K114" s="25"/>
      <c r="L114" s="25"/>
      <c r="M114" s="26"/>
      <c r="N114" s="29"/>
      <c r="O114" s="15"/>
      <c r="P114" s="15"/>
      <c r="Q114" s="15"/>
      <c r="R114" s="15"/>
      <c r="S114" s="15"/>
      <c r="T114" s="15"/>
    </row>
    <row r="115" spans="1:20" x14ac:dyDescent="0.35">
      <c r="A115" s="15">
        <v>0</v>
      </c>
      <c r="B115" s="50" t="s">
        <v>291</v>
      </c>
      <c r="C115" s="15"/>
      <c r="D115" s="15"/>
      <c r="E115" s="15"/>
      <c r="F115" s="15"/>
      <c r="G115" s="15"/>
      <c r="H115" s="15"/>
      <c r="I115" s="15"/>
      <c r="J115" s="15"/>
      <c r="K115" s="25"/>
      <c r="L115" s="25"/>
      <c r="M115" s="26"/>
      <c r="N115" s="29"/>
      <c r="O115" s="15"/>
      <c r="P115" s="15"/>
      <c r="Q115" s="15"/>
      <c r="R115" s="15"/>
      <c r="S115" s="15"/>
      <c r="T115" s="15"/>
    </row>
    <row r="116" spans="1:20" x14ac:dyDescent="0.35">
      <c r="A116" s="15">
        <v>0</v>
      </c>
      <c r="B116" s="50" t="s">
        <v>292</v>
      </c>
      <c r="C116" s="15"/>
      <c r="D116" s="15"/>
      <c r="E116" s="15"/>
      <c r="F116" s="15"/>
      <c r="G116" s="15"/>
      <c r="H116" s="15"/>
      <c r="I116" s="15"/>
      <c r="J116" s="15"/>
      <c r="K116" s="25"/>
      <c r="L116" s="25"/>
      <c r="M116" s="26"/>
      <c r="N116" s="29"/>
      <c r="O116" s="15"/>
      <c r="P116" s="15"/>
      <c r="Q116" s="15"/>
      <c r="R116" s="15"/>
      <c r="S116" s="15"/>
      <c r="T116" s="15"/>
    </row>
    <row r="117" spans="1:20" x14ac:dyDescent="0.35">
      <c r="A117" s="15">
        <v>0</v>
      </c>
      <c r="B117" s="50" t="s">
        <v>293</v>
      </c>
      <c r="C117" s="15"/>
      <c r="D117" s="15"/>
      <c r="E117" s="15"/>
      <c r="F117" s="15"/>
      <c r="G117" s="15"/>
      <c r="H117" s="15"/>
      <c r="I117" s="15"/>
      <c r="J117" s="15"/>
      <c r="K117" s="25"/>
      <c r="L117" s="25"/>
      <c r="M117" s="26"/>
      <c r="N117" s="29"/>
      <c r="O117" s="15"/>
      <c r="P117" s="15"/>
      <c r="Q117" s="15"/>
      <c r="R117" s="15"/>
      <c r="S117" s="15"/>
      <c r="T117" s="15"/>
    </row>
    <row r="118" spans="1:20" x14ac:dyDescent="0.35">
      <c r="A118" s="15">
        <v>0</v>
      </c>
      <c r="B118" s="50" t="s">
        <v>294</v>
      </c>
      <c r="C118" s="15"/>
      <c r="D118" s="15"/>
      <c r="E118" s="15"/>
      <c r="F118" s="15"/>
      <c r="G118" s="15"/>
      <c r="H118" s="15"/>
      <c r="I118" s="15"/>
      <c r="J118" s="15"/>
      <c r="K118" s="25"/>
      <c r="L118" s="25"/>
      <c r="M118" s="26"/>
      <c r="N118" s="29"/>
      <c r="O118" s="15"/>
      <c r="P118" s="15"/>
      <c r="Q118" s="15"/>
      <c r="R118" s="15"/>
      <c r="S118" s="15"/>
      <c r="T118" s="15"/>
    </row>
    <row r="119" spans="1:20" x14ac:dyDescent="0.35">
      <c r="A119" s="15">
        <v>0</v>
      </c>
      <c r="B119" s="50" t="s">
        <v>295</v>
      </c>
      <c r="C119" s="15"/>
      <c r="D119" s="15"/>
      <c r="E119" s="15"/>
      <c r="F119" s="15"/>
      <c r="G119" s="15"/>
      <c r="H119" s="15"/>
      <c r="I119" s="15"/>
      <c r="J119" s="15"/>
      <c r="K119" s="25"/>
      <c r="L119" s="25"/>
      <c r="M119" s="26"/>
      <c r="N119" s="29"/>
      <c r="O119" s="15"/>
      <c r="P119" s="15"/>
      <c r="Q119" s="15"/>
      <c r="R119" s="15"/>
      <c r="S119" s="15"/>
      <c r="T119" s="15"/>
    </row>
    <row r="120" spans="1:20" x14ac:dyDescent="0.35">
      <c r="A120" s="15">
        <v>0</v>
      </c>
      <c r="B120" s="50" t="s">
        <v>296</v>
      </c>
      <c r="C120" s="15"/>
      <c r="D120" s="15"/>
      <c r="E120" s="15"/>
      <c r="F120" s="15"/>
      <c r="G120" s="15"/>
      <c r="H120" s="15"/>
      <c r="I120" s="15"/>
      <c r="J120" s="15"/>
      <c r="K120" s="25"/>
      <c r="L120" s="25"/>
      <c r="M120" s="26"/>
      <c r="N120" s="29"/>
      <c r="O120" s="15"/>
      <c r="P120" s="15"/>
      <c r="Q120" s="15"/>
      <c r="R120" s="15"/>
      <c r="S120" s="15"/>
      <c r="T120" s="15"/>
    </row>
    <row r="121" spans="1:20" x14ac:dyDescent="0.35">
      <c r="A121" s="15">
        <v>0</v>
      </c>
      <c r="B121" s="50" t="s">
        <v>299</v>
      </c>
      <c r="C121" s="15"/>
      <c r="D121" s="15"/>
      <c r="E121" s="15"/>
      <c r="F121" s="15"/>
      <c r="G121" s="15"/>
      <c r="H121" s="15"/>
      <c r="I121" s="15"/>
      <c r="J121" s="15"/>
      <c r="K121" s="25"/>
      <c r="L121" s="25"/>
      <c r="M121" s="26"/>
      <c r="N121" s="29"/>
      <c r="O121" s="15"/>
      <c r="P121" s="15"/>
      <c r="Q121" s="15"/>
      <c r="R121" s="15"/>
      <c r="S121" s="15"/>
      <c r="T121" s="15"/>
    </row>
    <row r="122" spans="1:20" x14ac:dyDescent="0.35">
      <c r="A122" s="15">
        <v>0</v>
      </c>
      <c r="B122" s="50" t="s">
        <v>300</v>
      </c>
      <c r="C122" s="15"/>
      <c r="D122" s="15"/>
      <c r="E122" s="15"/>
      <c r="F122" s="15"/>
      <c r="G122" s="15"/>
      <c r="H122" s="15"/>
      <c r="I122" s="15"/>
      <c r="J122" s="15"/>
      <c r="K122" s="25"/>
      <c r="L122" s="25"/>
      <c r="M122" s="26"/>
      <c r="N122" s="29"/>
      <c r="O122" s="15"/>
      <c r="P122" s="15"/>
      <c r="Q122" s="15"/>
      <c r="R122" s="15"/>
      <c r="S122" s="15"/>
      <c r="T122" s="15"/>
    </row>
    <row r="123" spans="1:20" x14ac:dyDescent="0.35">
      <c r="A123" s="15">
        <v>0</v>
      </c>
      <c r="B123" s="50" t="s">
        <v>301</v>
      </c>
      <c r="C123" s="15"/>
      <c r="D123" s="15"/>
      <c r="E123" s="15"/>
      <c r="F123" s="15"/>
      <c r="G123" s="15"/>
      <c r="H123" s="15"/>
      <c r="I123" s="15"/>
      <c r="J123" s="15"/>
      <c r="K123" s="25"/>
      <c r="L123" s="25"/>
      <c r="M123" s="26"/>
      <c r="N123" s="29"/>
      <c r="O123" s="15"/>
      <c r="P123" s="15"/>
      <c r="Q123" s="15"/>
      <c r="R123" s="15"/>
      <c r="S123" s="15"/>
      <c r="T123" s="15"/>
    </row>
    <row r="124" spans="1:20" x14ac:dyDescent="0.35">
      <c r="A124" s="15">
        <v>0</v>
      </c>
      <c r="B124" s="50" t="s">
        <v>196</v>
      </c>
      <c r="C124" s="15"/>
      <c r="D124" s="15"/>
      <c r="E124" s="15"/>
      <c r="F124" s="15"/>
      <c r="G124" s="15"/>
      <c r="H124" s="15"/>
      <c r="I124" s="15"/>
      <c r="J124" s="15"/>
      <c r="K124" s="25"/>
      <c r="L124" s="25"/>
      <c r="M124" s="26"/>
      <c r="N124" s="29"/>
      <c r="O124" s="15"/>
      <c r="P124" s="15"/>
      <c r="Q124" s="15"/>
      <c r="R124" s="15"/>
      <c r="S124" s="15"/>
      <c r="T124" s="15"/>
    </row>
    <row r="125" spans="1:20" x14ac:dyDescent="0.35">
      <c r="A125" s="15">
        <v>0</v>
      </c>
      <c r="B125" s="50" t="s">
        <v>303</v>
      </c>
      <c r="C125" s="15"/>
      <c r="D125" s="15"/>
      <c r="E125" s="15"/>
      <c r="F125" s="15"/>
      <c r="G125" s="15"/>
      <c r="H125" s="15"/>
      <c r="I125" s="15"/>
      <c r="J125" s="15"/>
      <c r="K125" s="25"/>
      <c r="L125" s="25"/>
      <c r="M125" s="26"/>
      <c r="N125" s="29"/>
      <c r="O125" s="15"/>
      <c r="P125" s="15"/>
      <c r="Q125" s="15"/>
      <c r="R125" s="15"/>
      <c r="S125" s="15"/>
      <c r="T125" s="15"/>
    </row>
    <row r="126" spans="1:20" x14ac:dyDescent="0.35">
      <c r="A126" s="15">
        <v>0</v>
      </c>
      <c r="B126" s="50" t="s">
        <v>304</v>
      </c>
      <c r="C126" s="15"/>
      <c r="D126" s="15"/>
      <c r="E126" s="15"/>
      <c r="F126" s="15"/>
      <c r="G126" s="15"/>
      <c r="H126" s="15"/>
      <c r="I126" s="15"/>
      <c r="J126" s="15"/>
      <c r="K126" s="25"/>
      <c r="L126" s="25"/>
      <c r="M126" s="26"/>
      <c r="N126" s="29"/>
      <c r="O126" s="15"/>
      <c r="P126" s="15"/>
      <c r="Q126" s="15"/>
      <c r="R126" s="15"/>
      <c r="S126" s="15"/>
      <c r="T126" s="15"/>
    </row>
    <row r="127" spans="1:20" x14ac:dyDescent="0.35">
      <c r="A127" s="15">
        <v>0</v>
      </c>
      <c r="B127" s="50" t="s">
        <v>305</v>
      </c>
      <c r="C127" s="15"/>
      <c r="D127" s="15"/>
      <c r="E127" s="15"/>
      <c r="F127" s="15"/>
      <c r="G127" s="15"/>
      <c r="H127" s="15"/>
      <c r="I127" s="15"/>
      <c r="J127" s="15"/>
      <c r="K127" s="25"/>
      <c r="L127" s="25"/>
      <c r="M127" s="26"/>
      <c r="N127" s="29"/>
      <c r="O127" s="15"/>
      <c r="P127" s="15"/>
      <c r="Q127" s="15"/>
      <c r="R127" s="15"/>
      <c r="S127" s="15"/>
      <c r="T127" s="15"/>
    </row>
    <row r="128" spans="1:20" x14ac:dyDescent="0.35">
      <c r="A128" s="52">
        <v>0</v>
      </c>
      <c r="B128" s="53" t="s">
        <v>308</v>
      </c>
      <c r="C128" s="54"/>
      <c r="D128" s="54"/>
      <c r="E128" s="55"/>
      <c r="F128" s="55"/>
      <c r="G128" s="55"/>
      <c r="H128" s="55"/>
      <c r="I128" s="55"/>
      <c r="J128" s="55"/>
      <c r="K128" s="56"/>
      <c r="L128" s="56"/>
      <c r="M128" s="57"/>
      <c r="N128" s="58"/>
      <c r="P128" s="55"/>
      <c r="Q128" s="55"/>
      <c r="R128" s="55"/>
      <c r="S128" s="55"/>
      <c r="T128" s="55"/>
    </row>
    <row r="129" spans="1:20" x14ac:dyDescent="0.35">
      <c r="A129" s="52">
        <v>0</v>
      </c>
      <c r="B129" s="53" t="s">
        <v>309</v>
      </c>
      <c r="C129" s="54"/>
      <c r="D129" s="54"/>
      <c r="E129" s="55"/>
      <c r="F129" s="55"/>
      <c r="G129" s="55"/>
      <c r="H129" s="55"/>
      <c r="I129" s="55"/>
      <c r="J129" s="55"/>
      <c r="K129" s="56"/>
      <c r="L129" s="56"/>
      <c r="M129" s="57"/>
      <c r="N129" s="58"/>
      <c r="P129" s="55"/>
      <c r="Q129" s="55"/>
      <c r="R129" s="55"/>
      <c r="S129" s="55"/>
      <c r="T129" s="55"/>
    </row>
    <row r="130" spans="1:20" x14ac:dyDescent="0.35">
      <c r="A130" s="52">
        <v>0</v>
      </c>
      <c r="B130" s="53" t="s">
        <v>310</v>
      </c>
      <c r="C130" s="54"/>
      <c r="D130" s="54"/>
      <c r="E130" s="55"/>
      <c r="F130" s="55"/>
      <c r="G130" s="55"/>
      <c r="H130" s="55"/>
      <c r="I130" s="55"/>
      <c r="J130" s="55"/>
      <c r="K130" s="56"/>
      <c r="L130" s="56"/>
      <c r="M130" s="57"/>
      <c r="N130" s="58"/>
      <c r="P130" s="55"/>
      <c r="Q130" s="55"/>
      <c r="R130" s="55"/>
      <c r="S130" s="55"/>
      <c r="T130" s="55"/>
    </row>
    <row r="131" spans="1:20" x14ac:dyDescent="0.35">
      <c r="A131" s="52">
        <v>0</v>
      </c>
      <c r="B131" s="53" t="s">
        <v>312</v>
      </c>
      <c r="C131" s="54"/>
      <c r="D131" s="54"/>
      <c r="E131" s="55"/>
      <c r="F131" s="55"/>
      <c r="G131" s="55"/>
      <c r="H131" s="55"/>
      <c r="I131" s="55"/>
      <c r="J131" s="55"/>
      <c r="K131" s="56"/>
      <c r="L131" s="56"/>
      <c r="M131" s="57"/>
      <c r="N131" s="58"/>
      <c r="P131" s="55"/>
      <c r="Q131" s="55"/>
      <c r="R131" s="55"/>
      <c r="S131" s="55"/>
      <c r="T131" s="55"/>
    </row>
    <row r="132" spans="1:20" x14ac:dyDescent="0.35">
      <c r="A132" s="52">
        <v>0</v>
      </c>
      <c r="B132" s="53" t="s">
        <v>313</v>
      </c>
      <c r="C132" s="54"/>
      <c r="D132" s="54"/>
      <c r="E132" s="55"/>
      <c r="F132" s="55"/>
      <c r="G132" s="55"/>
      <c r="H132" s="55"/>
      <c r="I132" s="55"/>
      <c r="J132" s="55"/>
      <c r="K132" s="56"/>
      <c r="L132" s="56"/>
      <c r="M132" s="57"/>
      <c r="N132" s="58"/>
      <c r="P132" s="55"/>
      <c r="Q132" s="55"/>
      <c r="R132" s="55"/>
      <c r="S132" s="55"/>
      <c r="T132" s="55"/>
    </row>
    <row r="133" spans="1:20" x14ac:dyDescent="0.35">
      <c r="A133" s="52">
        <v>0</v>
      </c>
      <c r="B133" s="53" t="s">
        <v>314</v>
      </c>
      <c r="C133" s="54"/>
      <c r="D133" s="54"/>
      <c r="E133" s="55"/>
      <c r="F133" s="55"/>
      <c r="G133" s="55"/>
      <c r="H133" s="55"/>
      <c r="I133" s="55"/>
      <c r="J133" s="55"/>
      <c r="K133" s="56"/>
      <c r="L133" s="56"/>
      <c r="M133" s="57"/>
      <c r="N133" s="58"/>
      <c r="P133" s="55"/>
      <c r="Q133" s="55"/>
      <c r="R133" s="55"/>
      <c r="S133" s="55"/>
      <c r="T133" s="55"/>
    </row>
    <row r="134" spans="1:20" x14ac:dyDescent="0.35">
      <c r="A134" s="52">
        <v>0</v>
      </c>
      <c r="B134" s="53" t="s">
        <v>315</v>
      </c>
      <c r="C134" s="54"/>
      <c r="D134" s="54"/>
      <c r="E134" s="55"/>
      <c r="F134" s="55"/>
      <c r="G134" s="55"/>
      <c r="H134" s="55"/>
      <c r="I134" s="55"/>
      <c r="J134" s="55"/>
      <c r="K134" s="56"/>
      <c r="L134" s="56"/>
      <c r="M134" s="57"/>
      <c r="N134" s="58"/>
      <c r="P134" s="55"/>
      <c r="Q134" s="55"/>
      <c r="R134" s="55"/>
      <c r="S134" s="55"/>
      <c r="T134" s="55"/>
    </row>
    <row r="135" spans="1:20" x14ac:dyDescent="0.35">
      <c r="A135" s="52">
        <v>0</v>
      </c>
      <c r="B135" s="53" t="s">
        <v>317</v>
      </c>
      <c r="C135" s="54"/>
      <c r="D135" s="54"/>
      <c r="E135" s="55"/>
      <c r="F135" s="55"/>
      <c r="G135" s="55"/>
      <c r="H135" s="55"/>
      <c r="I135" s="55"/>
      <c r="J135" s="55"/>
      <c r="K135" s="56"/>
      <c r="L135" s="56"/>
      <c r="M135" s="57"/>
      <c r="N135" s="58"/>
      <c r="P135" s="55"/>
      <c r="Q135" s="55"/>
      <c r="R135" s="55"/>
      <c r="S135" s="55"/>
      <c r="T135" s="55"/>
    </row>
    <row r="136" spans="1:20" x14ac:dyDescent="0.35">
      <c r="A136" s="52">
        <v>0</v>
      </c>
      <c r="B136" s="53" t="s">
        <v>318</v>
      </c>
      <c r="C136" s="54"/>
      <c r="D136" s="54"/>
      <c r="E136" s="55"/>
      <c r="F136" s="55"/>
      <c r="G136" s="55"/>
      <c r="H136" s="55"/>
      <c r="I136" s="55"/>
      <c r="J136" s="55"/>
      <c r="K136" s="56"/>
      <c r="L136" s="56"/>
      <c r="M136" s="57"/>
      <c r="N136" s="58"/>
      <c r="P136" s="55"/>
      <c r="Q136" s="55"/>
      <c r="R136" s="55"/>
      <c r="S136" s="55"/>
      <c r="T136" s="55"/>
    </row>
    <row r="137" spans="1:20" x14ac:dyDescent="0.35">
      <c r="A137" s="52">
        <v>0</v>
      </c>
      <c r="B137" s="53" t="s">
        <v>319</v>
      </c>
      <c r="C137" s="54"/>
      <c r="D137" s="54"/>
      <c r="E137" s="55"/>
      <c r="F137" s="55"/>
      <c r="G137" s="55"/>
      <c r="H137" s="55"/>
      <c r="I137" s="55"/>
      <c r="J137" s="55"/>
      <c r="K137" s="56"/>
      <c r="L137" s="56"/>
      <c r="M137" s="57"/>
      <c r="N137" s="58"/>
      <c r="P137" s="55"/>
      <c r="Q137" s="55"/>
      <c r="R137" s="55"/>
      <c r="S137" s="55"/>
      <c r="T137" s="55"/>
    </row>
    <row r="138" spans="1:20" x14ac:dyDescent="0.35">
      <c r="A138" s="52">
        <v>0</v>
      </c>
      <c r="B138" s="53" t="s">
        <v>322</v>
      </c>
      <c r="C138" s="54"/>
      <c r="D138" s="54"/>
      <c r="E138" s="55"/>
      <c r="F138" s="55"/>
      <c r="G138" s="55"/>
      <c r="H138" s="55"/>
      <c r="I138" s="55"/>
      <c r="J138" s="55"/>
      <c r="K138" s="56"/>
      <c r="L138" s="56"/>
      <c r="M138" s="57"/>
      <c r="N138" s="58"/>
      <c r="P138" s="55"/>
      <c r="Q138" s="55"/>
      <c r="R138" s="55"/>
      <c r="S138" s="55"/>
      <c r="T138" s="55"/>
    </row>
    <row r="139" spans="1:20" x14ac:dyDescent="0.35">
      <c r="A139" s="52">
        <v>0</v>
      </c>
      <c r="B139" s="53" t="s">
        <v>323</v>
      </c>
      <c r="C139" s="54"/>
      <c r="D139" s="54"/>
      <c r="E139" s="55"/>
      <c r="F139" s="55"/>
      <c r="G139" s="55"/>
      <c r="H139" s="55"/>
      <c r="I139" s="55"/>
      <c r="J139" s="55"/>
      <c r="K139" s="56"/>
      <c r="L139" s="56"/>
      <c r="M139" s="57"/>
      <c r="N139" s="58"/>
      <c r="P139" s="55"/>
      <c r="Q139" s="55"/>
      <c r="R139" s="55"/>
      <c r="S139" s="55"/>
      <c r="T139" s="55"/>
    </row>
    <row r="140" spans="1:20" x14ac:dyDescent="0.35">
      <c r="A140" s="52">
        <v>0</v>
      </c>
      <c r="B140" s="53" t="s">
        <v>324</v>
      </c>
      <c r="C140" s="54"/>
      <c r="D140" s="54"/>
      <c r="E140" s="55"/>
      <c r="F140" s="55"/>
      <c r="G140" s="55"/>
      <c r="H140" s="55"/>
      <c r="I140" s="55"/>
      <c r="J140" s="55"/>
      <c r="K140" s="56"/>
      <c r="L140" s="56"/>
      <c r="M140" s="57"/>
      <c r="N140" s="58"/>
      <c r="P140" s="55"/>
      <c r="Q140" s="55"/>
      <c r="R140" s="55"/>
      <c r="S140" s="55"/>
      <c r="T140" s="55"/>
    </row>
    <row r="141" spans="1:20" x14ac:dyDescent="0.35">
      <c r="A141" s="52">
        <v>0</v>
      </c>
      <c r="B141" s="53" t="s">
        <v>325</v>
      </c>
      <c r="C141" s="54"/>
      <c r="D141" s="54"/>
      <c r="E141" s="55"/>
      <c r="F141" s="55"/>
      <c r="G141" s="55"/>
      <c r="H141" s="55"/>
      <c r="I141" s="55"/>
      <c r="J141" s="55"/>
      <c r="K141" s="56"/>
      <c r="L141" s="56"/>
      <c r="M141" s="57"/>
      <c r="N141" s="58"/>
      <c r="P141" s="55"/>
      <c r="Q141" s="55"/>
      <c r="R141" s="55"/>
      <c r="S141" s="55"/>
      <c r="T141" s="55"/>
    </row>
    <row r="142" spans="1:20" x14ac:dyDescent="0.35">
      <c r="A142" s="52">
        <v>0</v>
      </c>
      <c r="B142" s="53" t="s">
        <v>326</v>
      </c>
      <c r="C142" s="54"/>
      <c r="D142" s="54"/>
      <c r="E142" s="55"/>
      <c r="F142" s="55"/>
      <c r="G142" s="55"/>
      <c r="H142" s="55"/>
      <c r="I142" s="55"/>
      <c r="J142" s="55"/>
      <c r="K142" s="56"/>
      <c r="L142" s="56"/>
      <c r="M142" s="57"/>
      <c r="N142" s="58"/>
      <c r="P142" s="55"/>
      <c r="Q142" s="55"/>
      <c r="R142" s="55"/>
      <c r="S142" s="55"/>
      <c r="T142" s="55"/>
    </row>
    <row r="143" spans="1:20" x14ac:dyDescent="0.35">
      <c r="A143" s="52">
        <v>0</v>
      </c>
      <c r="B143" s="53" t="s">
        <v>331</v>
      </c>
      <c r="C143" s="54"/>
      <c r="D143" s="54"/>
      <c r="E143" s="55"/>
      <c r="F143" s="55"/>
      <c r="G143" s="55"/>
      <c r="H143" s="55"/>
      <c r="I143" s="55"/>
      <c r="J143" s="55"/>
      <c r="K143" s="56"/>
      <c r="L143" s="56"/>
      <c r="M143" s="57"/>
      <c r="N143" s="58"/>
      <c r="P143" s="55"/>
      <c r="Q143" s="55"/>
      <c r="R143" s="55"/>
      <c r="S143" s="55"/>
      <c r="T143" s="55"/>
    </row>
    <row r="144" spans="1:20" x14ac:dyDescent="0.35">
      <c r="A144" s="52">
        <v>0</v>
      </c>
      <c r="B144" s="53" t="s">
        <v>332</v>
      </c>
      <c r="C144" s="54"/>
      <c r="D144" s="54"/>
      <c r="E144" s="55"/>
      <c r="F144" s="55"/>
      <c r="G144" s="55"/>
      <c r="H144" s="55"/>
      <c r="I144" s="55"/>
      <c r="J144" s="55"/>
      <c r="K144" s="56"/>
      <c r="L144" s="56"/>
      <c r="M144" s="57"/>
      <c r="N144" s="58"/>
      <c r="P144" s="55"/>
      <c r="Q144" s="55"/>
      <c r="R144" s="55"/>
      <c r="S144" s="55"/>
      <c r="T144" s="55"/>
    </row>
    <row r="145" spans="1:20" x14ac:dyDescent="0.35">
      <c r="A145" s="52">
        <v>0</v>
      </c>
      <c r="B145" s="53" t="s">
        <v>333</v>
      </c>
      <c r="C145" s="54"/>
      <c r="D145" s="54"/>
      <c r="E145" s="55"/>
      <c r="F145" s="55"/>
      <c r="G145" s="55"/>
      <c r="H145" s="55"/>
      <c r="I145" s="55"/>
      <c r="J145" s="55"/>
      <c r="K145" s="56"/>
      <c r="L145" s="56"/>
      <c r="M145" s="57"/>
      <c r="N145" s="58"/>
      <c r="P145" s="55"/>
      <c r="Q145" s="55"/>
      <c r="R145" s="55"/>
      <c r="S145" s="55"/>
      <c r="T145" s="55"/>
    </row>
    <row r="146" spans="1:20" x14ac:dyDescent="0.35">
      <c r="A146" s="52">
        <v>0</v>
      </c>
      <c r="B146" s="53" t="s">
        <v>334</v>
      </c>
      <c r="C146" s="54"/>
      <c r="D146" s="54"/>
      <c r="E146" s="55"/>
      <c r="F146" s="55"/>
      <c r="G146" s="55"/>
      <c r="H146" s="55"/>
      <c r="I146" s="55"/>
      <c r="J146" s="55"/>
      <c r="K146" s="56"/>
      <c r="L146" s="56"/>
      <c r="M146" s="57"/>
      <c r="N146" s="58"/>
      <c r="P146" s="55"/>
      <c r="Q146" s="55"/>
      <c r="R146" s="55"/>
      <c r="S146" s="55"/>
      <c r="T146" s="55"/>
    </row>
    <row r="147" spans="1:20" x14ac:dyDescent="0.35">
      <c r="A147" s="52">
        <v>0</v>
      </c>
      <c r="B147" s="53" t="s">
        <v>335</v>
      </c>
      <c r="C147" s="54"/>
      <c r="D147" s="54"/>
      <c r="E147" s="55"/>
      <c r="F147" s="55"/>
      <c r="G147" s="55"/>
      <c r="H147" s="55"/>
      <c r="I147" s="55"/>
      <c r="J147" s="55"/>
      <c r="K147" s="56"/>
      <c r="L147" s="56"/>
      <c r="M147" s="57"/>
      <c r="N147" s="58"/>
      <c r="P147" s="55"/>
      <c r="Q147" s="55"/>
      <c r="R147" s="55"/>
      <c r="S147" s="55"/>
      <c r="T147" s="55"/>
    </row>
    <row r="148" spans="1:20" x14ac:dyDescent="0.35">
      <c r="A148" s="52">
        <v>0</v>
      </c>
      <c r="B148" s="53" t="s">
        <v>336</v>
      </c>
      <c r="C148" s="54"/>
      <c r="D148" s="54"/>
      <c r="E148" s="55"/>
      <c r="F148" s="55"/>
      <c r="G148" s="55"/>
      <c r="H148" s="55"/>
      <c r="I148" s="55"/>
      <c r="J148" s="55"/>
      <c r="K148" s="56"/>
      <c r="L148" s="56"/>
      <c r="M148" s="57"/>
      <c r="N148" s="58"/>
      <c r="P148" s="55"/>
      <c r="Q148" s="55"/>
      <c r="R148" s="55"/>
      <c r="S148" s="55"/>
      <c r="T148" s="55"/>
    </row>
    <row r="149" spans="1:20" x14ac:dyDescent="0.35">
      <c r="A149" s="52">
        <v>0</v>
      </c>
      <c r="B149" s="53" t="s">
        <v>338</v>
      </c>
      <c r="C149" s="54"/>
      <c r="D149" s="54"/>
      <c r="E149" s="55"/>
      <c r="F149" s="55"/>
      <c r="G149" s="55"/>
      <c r="H149" s="55"/>
      <c r="I149" s="55"/>
      <c r="J149" s="55"/>
      <c r="K149" s="56"/>
      <c r="L149" s="56"/>
      <c r="M149" s="57"/>
      <c r="N149" s="58"/>
      <c r="P149" s="55"/>
      <c r="Q149" s="55"/>
      <c r="R149" s="55"/>
      <c r="S149" s="55"/>
      <c r="T149" s="55"/>
    </row>
    <row r="150" spans="1:20" x14ac:dyDescent="0.35">
      <c r="A150" s="52">
        <v>0</v>
      </c>
      <c r="B150" s="53" t="s">
        <v>339</v>
      </c>
      <c r="C150" s="54"/>
      <c r="D150" s="54"/>
      <c r="E150" s="55"/>
      <c r="F150" s="55"/>
      <c r="G150" s="55"/>
      <c r="H150" s="55"/>
      <c r="I150" s="55"/>
      <c r="J150" s="55"/>
      <c r="K150" s="56"/>
      <c r="L150" s="56"/>
      <c r="M150" s="57"/>
      <c r="N150" s="58"/>
      <c r="P150" s="55"/>
      <c r="Q150" s="55"/>
      <c r="R150" s="55"/>
      <c r="S150" s="55"/>
      <c r="T150" s="55"/>
    </row>
    <row r="151" spans="1:20" x14ac:dyDescent="0.35">
      <c r="A151" s="52">
        <v>0</v>
      </c>
      <c r="B151" s="53" t="s">
        <v>340</v>
      </c>
      <c r="C151" s="54"/>
      <c r="D151" s="54"/>
      <c r="E151" s="55"/>
      <c r="F151" s="55"/>
      <c r="G151" s="55"/>
      <c r="H151" s="55"/>
      <c r="I151" s="55"/>
      <c r="J151" s="55"/>
      <c r="K151" s="56"/>
      <c r="L151" s="56"/>
      <c r="M151" s="57"/>
      <c r="N151" s="58"/>
      <c r="P151" s="55"/>
      <c r="Q151" s="55"/>
      <c r="R151" s="55"/>
      <c r="S151" s="55"/>
      <c r="T151" s="55"/>
    </row>
    <row r="152" spans="1:20" x14ac:dyDescent="0.35">
      <c r="A152" s="52">
        <v>0</v>
      </c>
      <c r="B152" s="53" t="s">
        <v>341</v>
      </c>
      <c r="C152" s="54"/>
      <c r="D152" s="54"/>
      <c r="E152" s="55"/>
      <c r="F152" s="55"/>
      <c r="G152" s="55"/>
      <c r="H152" s="55"/>
      <c r="I152" s="55"/>
      <c r="J152" s="55"/>
      <c r="K152" s="56"/>
      <c r="L152" s="56"/>
      <c r="M152" s="57"/>
      <c r="N152" s="58"/>
      <c r="P152" s="55"/>
      <c r="Q152" s="55"/>
      <c r="R152" s="55"/>
      <c r="S152" s="55"/>
      <c r="T152" s="55"/>
    </row>
    <row r="153" spans="1:20" x14ac:dyDescent="0.35">
      <c r="A153" s="52">
        <v>0</v>
      </c>
      <c r="B153" s="53" t="s">
        <v>342</v>
      </c>
      <c r="C153" s="54"/>
      <c r="D153" s="54"/>
      <c r="E153" s="55"/>
      <c r="F153" s="55"/>
      <c r="G153" s="55"/>
      <c r="H153" s="55"/>
      <c r="I153" s="55"/>
      <c r="J153" s="55"/>
      <c r="K153" s="56"/>
      <c r="L153" s="56"/>
      <c r="M153" s="57"/>
      <c r="N153" s="58"/>
      <c r="P153" s="55"/>
      <c r="Q153" s="55"/>
      <c r="R153" s="55"/>
      <c r="S153" s="55"/>
      <c r="T153" s="55"/>
    </row>
    <row r="154" spans="1:20" x14ac:dyDescent="0.35">
      <c r="A154" s="52">
        <v>0</v>
      </c>
      <c r="B154" s="53" t="s">
        <v>344</v>
      </c>
      <c r="C154" s="54"/>
      <c r="D154" s="54"/>
      <c r="E154" s="55"/>
      <c r="F154" s="55"/>
      <c r="G154" s="55"/>
      <c r="H154" s="55"/>
      <c r="I154" s="55"/>
      <c r="J154" s="55"/>
      <c r="K154" s="56"/>
      <c r="L154" s="56"/>
      <c r="M154" s="57"/>
      <c r="N154" s="58"/>
      <c r="P154" s="55"/>
      <c r="Q154" s="55"/>
      <c r="R154" s="55"/>
      <c r="S154" s="55"/>
      <c r="T154" s="55"/>
    </row>
    <row r="155" spans="1:20" x14ac:dyDescent="0.35">
      <c r="A155" s="52">
        <v>0</v>
      </c>
      <c r="B155" s="53" t="s">
        <v>346</v>
      </c>
      <c r="C155" s="54"/>
      <c r="D155" s="54"/>
      <c r="E155" s="55"/>
      <c r="F155" s="55"/>
      <c r="G155" s="55"/>
      <c r="H155" s="55"/>
      <c r="I155" s="55"/>
      <c r="J155" s="55"/>
      <c r="K155" s="56"/>
      <c r="L155" s="56"/>
      <c r="M155" s="57"/>
      <c r="N155" s="58"/>
      <c r="P155" s="55"/>
      <c r="Q155" s="55"/>
      <c r="R155" s="55"/>
      <c r="S155" s="55"/>
      <c r="T155" s="55"/>
    </row>
    <row r="156" spans="1:20" x14ac:dyDescent="0.35">
      <c r="A156" s="52">
        <v>0</v>
      </c>
      <c r="B156" s="53" t="s">
        <v>347</v>
      </c>
      <c r="C156" s="54"/>
      <c r="D156" s="54"/>
      <c r="E156" s="55"/>
      <c r="F156" s="55"/>
      <c r="G156" s="55"/>
      <c r="H156" s="55"/>
      <c r="I156" s="55"/>
      <c r="J156" s="55"/>
      <c r="K156" s="56"/>
      <c r="L156" s="56"/>
      <c r="M156" s="57"/>
      <c r="N156" s="58"/>
      <c r="P156" s="55"/>
      <c r="Q156" s="55"/>
      <c r="R156" s="55"/>
      <c r="S156" s="55"/>
      <c r="T156" s="55"/>
    </row>
    <row r="157" spans="1:20" x14ac:dyDescent="0.35">
      <c r="A157" s="52">
        <v>0</v>
      </c>
      <c r="B157" s="53" t="s">
        <v>348</v>
      </c>
      <c r="C157" s="54"/>
      <c r="D157" s="54"/>
      <c r="E157" s="55"/>
      <c r="F157" s="55"/>
      <c r="G157" s="55"/>
      <c r="H157" s="55"/>
      <c r="I157" s="55"/>
      <c r="J157" s="55"/>
      <c r="K157" s="56"/>
      <c r="L157" s="56"/>
      <c r="M157" s="57"/>
      <c r="N157" s="58"/>
      <c r="P157" s="55"/>
      <c r="Q157" s="55"/>
      <c r="R157" s="55"/>
      <c r="S157" s="55"/>
      <c r="T157" s="55"/>
    </row>
    <row r="158" spans="1:20" x14ac:dyDescent="0.35">
      <c r="A158" s="52">
        <v>0</v>
      </c>
      <c r="B158" s="53" t="s">
        <v>349</v>
      </c>
      <c r="C158" s="54"/>
      <c r="D158" s="54"/>
      <c r="E158" s="55"/>
      <c r="F158" s="55"/>
      <c r="G158" s="55"/>
      <c r="H158" s="55"/>
      <c r="I158" s="55"/>
      <c r="J158" s="55"/>
      <c r="K158" s="56"/>
      <c r="L158" s="56"/>
      <c r="M158" s="57"/>
      <c r="N158" s="58"/>
      <c r="P158" s="55"/>
      <c r="Q158" s="55"/>
      <c r="R158" s="55"/>
      <c r="S158" s="55"/>
      <c r="T158" s="55"/>
    </row>
    <row r="159" spans="1:20" x14ac:dyDescent="0.35">
      <c r="A159" s="52">
        <v>0</v>
      </c>
      <c r="B159" s="53" t="s">
        <v>350</v>
      </c>
      <c r="C159" s="54"/>
      <c r="D159" s="54"/>
      <c r="E159" s="55"/>
      <c r="F159" s="55"/>
      <c r="G159" s="55"/>
      <c r="H159" s="55"/>
      <c r="I159" s="55"/>
      <c r="J159" s="55"/>
      <c r="K159" s="56"/>
      <c r="L159" s="56"/>
      <c r="M159" s="57"/>
      <c r="N159" s="58"/>
      <c r="P159" s="55"/>
      <c r="Q159" s="55"/>
      <c r="R159" s="55"/>
      <c r="S159" s="55"/>
      <c r="T159" s="55"/>
    </row>
    <row r="160" spans="1:20" x14ac:dyDescent="0.35">
      <c r="A160" s="52">
        <v>0</v>
      </c>
      <c r="B160" s="53" t="s">
        <v>351</v>
      </c>
      <c r="C160" s="54"/>
      <c r="D160" s="54"/>
      <c r="E160" s="55"/>
      <c r="F160" s="55"/>
      <c r="G160" s="55"/>
      <c r="H160" s="55"/>
      <c r="I160" s="55"/>
      <c r="J160" s="55"/>
      <c r="K160" s="56"/>
      <c r="L160" s="56"/>
      <c r="M160" s="57"/>
      <c r="N160" s="58"/>
      <c r="P160" s="55"/>
      <c r="Q160" s="55"/>
      <c r="R160" s="55"/>
      <c r="S160" s="55"/>
      <c r="T160" s="55"/>
    </row>
    <row r="161" spans="1:20" x14ac:dyDescent="0.35">
      <c r="A161" s="52">
        <v>0</v>
      </c>
      <c r="B161" s="53" t="s">
        <v>352</v>
      </c>
      <c r="C161" s="54"/>
      <c r="D161" s="54"/>
      <c r="E161" s="55"/>
      <c r="F161" s="55"/>
      <c r="G161" s="55"/>
      <c r="H161" s="55"/>
      <c r="I161" s="55"/>
      <c r="J161" s="55"/>
      <c r="K161" s="56"/>
      <c r="L161" s="56"/>
      <c r="M161" s="57"/>
      <c r="N161" s="58"/>
      <c r="P161" s="55"/>
      <c r="Q161" s="55"/>
      <c r="R161" s="55"/>
      <c r="S161" s="55"/>
      <c r="T161" s="55"/>
    </row>
    <row r="162" spans="1:20" x14ac:dyDescent="0.35">
      <c r="A162" s="52">
        <v>0</v>
      </c>
      <c r="B162" s="53" t="s">
        <v>353</v>
      </c>
      <c r="C162" s="54"/>
      <c r="D162" s="54"/>
      <c r="E162" s="55"/>
      <c r="F162" s="55"/>
      <c r="G162" s="55"/>
      <c r="H162" s="55"/>
      <c r="I162" s="55"/>
      <c r="J162" s="55"/>
      <c r="K162" s="56"/>
      <c r="L162" s="56"/>
      <c r="M162" s="57"/>
      <c r="N162" s="58"/>
      <c r="P162" s="55"/>
      <c r="Q162" s="55"/>
      <c r="R162" s="55"/>
      <c r="S162" s="55"/>
      <c r="T162" s="55"/>
    </row>
    <row r="163" spans="1:20" x14ac:dyDescent="0.35">
      <c r="A163" s="52">
        <v>0</v>
      </c>
      <c r="B163" s="53" t="s">
        <v>354</v>
      </c>
      <c r="C163" s="54"/>
      <c r="D163" s="54"/>
      <c r="E163" s="55"/>
      <c r="F163" s="55"/>
      <c r="G163" s="55"/>
      <c r="H163" s="55"/>
      <c r="I163" s="55"/>
      <c r="J163" s="55"/>
      <c r="K163" s="56"/>
      <c r="L163" s="56"/>
      <c r="M163" s="57"/>
      <c r="N163" s="58"/>
      <c r="P163" s="55"/>
      <c r="Q163" s="55"/>
      <c r="R163" s="55"/>
      <c r="S163" s="55"/>
      <c r="T163" s="55"/>
    </row>
    <row r="164" spans="1:20" x14ac:dyDescent="0.35">
      <c r="A164" s="52">
        <v>0</v>
      </c>
      <c r="B164" s="53" t="s">
        <v>356</v>
      </c>
      <c r="C164" s="54"/>
      <c r="D164" s="54"/>
      <c r="E164" s="55"/>
      <c r="F164" s="55"/>
      <c r="G164" s="55"/>
      <c r="H164" s="55"/>
      <c r="I164" s="55"/>
      <c r="J164" s="55"/>
      <c r="K164" s="56"/>
      <c r="L164" s="56"/>
      <c r="M164" s="57"/>
      <c r="N164" s="58"/>
      <c r="P164" s="55"/>
      <c r="Q164" s="55"/>
      <c r="R164" s="55"/>
      <c r="S164" s="55"/>
      <c r="T164" s="55"/>
    </row>
    <row r="165" spans="1:20" x14ac:dyDescent="0.35">
      <c r="A165" s="52">
        <v>0</v>
      </c>
      <c r="B165" s="53" t="s">
        <v>357</v>
      </c>
      <c r="C165" s="54"/>
      <c r="D165" s="54"/>
      <c r="E165" s="55"/>
      <c r="F165" s="55"/>
      <c r="G165" s="55"/>
      <c r="H165" s="55"/>
      <c r="I165" s="55"/>
      <c r="J165" s="55"/>
      <c r="K165" s="56"/>
      <c r="L165" s="56"/>
      <c r="M165" s="57"/>
      <c r="N165" s="58"/>
      <c r="P165" s="55"/>
      <c r="Q165" s="55"/>
      <c r="R165" s="55"/>
      <c r="S165" s="55"/>
      <c r="T165" s="55"/>
    </row>
    <row r="166" spans="1:20" x14ac:dyDescent="0.35">
      <c r="A166" s="52">
        <v>0</v>
      </c>
      <c r="B166" s="53" t="s">
        <v>358</v>
      </c>
      <c r="C166" s="54"/>
      <c r="D166" s="54"/>
      <c r="E166" s="55"/>
      <c r="F166" s="55"/>
      <c r="G166" s="55"/>
      <c r="H166" s="55"/>
      <c r="I166" s="55"/>
      <c r="J166" s="55"/>
      <c r="K166" s="56"/>
      <c r="L166" s="56"/>
      <c r="M166" s="57"/>
      <c r="N166" s="58"/>
      <c r="P166" s="55"/>
      <c r="Q166" s="55"/>
      <c r="R166" s="55"/>
      <c r="S166" s="55"/>
      <c r="T166" s="55"/>
    </row>
    <row r="167" spans="1:20" x14ac:dyDescent="0.35">
      <c r="A167" s="52">
        <v>0</v>
      </c>
      <c r="B167" s="53" t="s">
        <v>359</v>
      </c>
      <c r="C167" s="54"/>
      <c r="D167" s="54"/>
      <c r="E167" s="55"/>
      <c r="F167" s="55"/>
      <c r="G167" s="55"/>
      <c r="H167" s="55"/>
      <c r="I167" s="55"/>
      <c r="J167" s="55"/>
      <c r="K167" s="56"/>
      <c r="L167" s="56"/>
      <c r="M167" s="57"/>
      <c r="N167" s="58"/>
      <c r="P167" s="55"/>
      <c r="Q167" s="55"/>
      <c r="R167" s="55"/>
      <c r="S167" s="55"/>
      <c r="T167" s="55"/>
    </row>
    <row r="168" spans="1:20" x14ac:dyDescent="0.35">
      <c r="A168" s="52">
        <v>0</v>
      </c>
      <c r="B168" s="53" t="s">
        <v>360</v>
      </c>
      <c r="C168" s="54"/>
      <c r="D168" s="54"/>
      <c r="E168" s="55"/>
      <c r="F168" s="55"/>
      <c r="G168" s="55"/>
      <c r="H168" s="55"/>
      <c r="I168" s="55"/>
      <c r="J168" s="55"/>
      <c r="K168" s="56"/>
      <c r="L168" s="56"/>
      <c r="M168" s="57"/>
      <c r="N168" s="58"/>
      <c r="P168" s="55"/>
      <c r="Q168" s="55"/>
      <c r="R168" s="55"/>
      <c r="S168" s="55"/>
      <c r="T168" s="55"/>
    </row>
    <row r="169" spans="1:20" x14ac:dyDescent="0.35">
      <c r="A169" s="52">
        <v>0</v>
      </c>
      <c r="B169" s="53" t="s">
        <v>371</v>
      </c>
      <c r="C169" s="54"/>
      <c r="D169" s="54"/>
      <c r="E169" s="55"/>
      <c r="F169" s="55"/>
      <c r="G169" s="55"/>
      <c r="H169" s="55"/>
      <c r="I169" s="55"/>
      <c r="J169" s="55"/>
      <c r="K169" s="56"/>
      <c r="L169" s="56"/>
      <c r="M169" s="57"/>
      <c r="N169" s="58"/>
      <c r="P169" s="55"/>
      <c r="Q169" s="55"/>
      <c r="R169" s="55"/>
      <c r="S169" s="55"/>
      <c r="T169" s="55"/>
    </row>
    <row r="170" spans="1:20" x14ac:dyDescent="0.35">
      <c r="A170" s="52">
        <v>0</v>
      </c>
      <c r="B170" s="53" t="s">
        <v>372</v>
      </c>
      <c r="C170" s="54"/>
      <c r="D170" s="54"/>
      <c r="E170" s="55"/>
      <c r="F170" s="55"/>
      <c r="G170" s="55"/>
      <c r="H170" s="55"/>
      <c r="I170" s="55"/>
      <c r="J170" s="55"/>
      <c r="K170" s="56"/>
      <c r="L170" s="56"/>
      <c r="M170" s="57"/>
      <c r="N170" s="58"/>
      <c r="P170" s="55"/>
      <c r="Q170" s="55"/>
      <c r="R170" s="55"/>
      <c r="S170" s="55"/>
      <c r="T170" s="55"/>
    </row>
    <row r="171" spans="1:20" x14ac:dyDescent="0.35">
      <c r="A171" s="52">
        <v>0</v>
      </c>
      <c r="B171" s="53" t="s">
        <v>373</v>
      </c>
      <c r="C171" s="54"/>
      <c r="D171" s="54"/>
      <c r="E171" s="55"/>
      <c r="F171" s="55"/>
      <c r="G171" s="55"/>
      <c r="H171" s="55"/>
      <c r="I171" s="55"/>
      <c r="J171" s="55"/>
      <c r="K171" s="56"/>
      <c r="L171" s="56"/>
      <c r="M171" s="57"/>
      <c r="N171" s="58"/>
      <c r="P171" s="55"/>
      <c r="Q171" s="55"/>
      <c r="R171" s="55"/>
      <c r="S171" s="55"/>
      <c r="T171" s="55"/>
    </row>
    <row r="172" spans="1:20" x14ac:dyDescent="0.35">
      <c r="A172" s="52">
        <v>0</v>
      </c>
      <c r="B172" s="53" t="s">
        <v>374</v>
      </c>
      <c r="C172" s="54"/>
      <c r="D172" s="54"/>
      <c r="E172" s="55"/>
      <c r="F172" s="55"/>
      <c r="G172" s="55"/>
      <c r="H172" s="55"/>
      <c r="I172" s="55"/>
      <c r="J172" s="55"/>
      <c r="K172" s="56"/>
      <c r="L172" s="56"/>
      <c r="M172" s="57"/>
      <c r="N172" s="58"/>
      <c r="P172" s="55"/>
      <c r="Q172" s="55"/>
      <c r="R172" s="55"/>
      <c r="S172" s="55"/>
      <c r="T172" s="55"/>
    </row>
    <row r="173" spans="1:20" x14ac:dyDescent="0.35">
      <c r="A173" s="52">
        <v>0</v>
      </c>
      <c r="B173" s="53" t="s">
        <v>375</v>
      </c>
      <c r="C173" s="54"/>
      <c r="D173" s="54"/>
      <c r="E173" s="55"/>
      <c r="F173" s="55"/>
      <c r="G173" s="55"/>
      <c r="H173" s="55"/>
      <c r="I173" s="55"/>
      <c r="J173" s="55"/>
      <c r="K173" s="56"/>
      <c r="L173" s="56"/>
      <c r="M173" s="57"/>
      <c r="N173" s="58"/>
      <c r="P173" s="55"/>
      <c r="Q173" s="55"/>
      <c r="R173" s="55"/>
      <c r="S173" s="55"/>
      <c r="T173" s="55"/>
    </row>
    <row r="174" spans="1:20" x14ac:dyDescent="0.35">
      <c r="A174" s="52">
        <v>0</v>
      </c>
      <c r="B174" s="53" t="s">
        <v>376</v>
      </c>
      <c r="C174" s="54"/>
      <c r="D174" s="54"/>
      <c r="E174" s="55"/>
      <c r="F174" s="55"/>
      <c r="G174" s="55"/>
      <c r="H174" s="55"/>
      <c r="I174" s="55"/>
      <c r="J174" s="55"/>
      <c r="K174" s="56"/>
      <c r="L174" s="56"/>
      <c r="M174" s="57"/>
      <c r="N174" s="58"/>
      <c r="P174" s="55"/>
      <c r="Q174" s="55"/>
      <c r="R174" s="55"/>
      <c r="S174" s="55"/>
      <c r="T174" s="55"/>
    </row>
    <row r="175" spans="1:20" x14ac:dyDescent="0.35">
      <c r="A175" s="52">
        <v>0</v>
      </c>
      <c r="B175" s="53" t="s">
        <v>377</v>
      </c>
      <c r="C175" s="54"/>
      <c r="D175" s="54"/>
      <c r="E175" s="55"/>
      <c r="F175" s="55"/>
      <c r="G175" s="55"/>
      <c r="H175" s="55"/>
      <c r="I175" s="55"/>
      <c r="J175" s="55"/>
      <c r="K175" s="56"/>
      <c r="L175" s="56"/>
      <c r="M175" s="57"/>
      <c r="N175" s="58"/>
      <c r="P175" s="55"/>
      <c r="Q175" s="55"/>
      <c r="R175" s="55"/>
      <c r="S175" s="55"/>
      <c r="T175" s="55"/>
    </row>
    <row r="176" spans="1:20" x14ac:dyDescent="0.35">
      <c r="A176" s="52">
        <v>0</v>
      </c>
      <c r="B176" s="53" t="s">
        <v>378</v>
      </c>
      <c r="C176" s="54"/>
      <c r="D176" s="54"/>
      <c r="E176" s="55"/>
      <c r="F176" s="55"/>
      <c r="G176" s="55"/>
      <c r="H176" s="55"/>
      <c r="I176" s="55"/>
      <c r="J176" s="55"/>
      <c r="K176" s="56"/>
      <c r="L176" s="56"/>
      <c r="M176" s="57"/>
      <c r="N176" s="58"/>
      <c r="P176" s="55"/>
      <c r="Q176" s="55"/>
      <c r="R176" s="55"/>
      <c r="S176" s="55"/>
      <c r="T176" s="55"/>
    </row>
    <row r="177" spans="1:20" x14ac:dyDescent="0.35">
      <c r="A177" s="52">
        <v>0</v>
      </c>
      <c r="B177" s="53" t="s">
        <v>379</v>
      </c>
      <c r="C177" s="54"/>
      <c r="D177" s="54"/>
      <c r="E177" s="55"/>
      <c r="F177" s="55"/>
      <c r="G177" s="55"/>
      <c r="H177" s="55"/>
      <c r="I177" s="55"/>
      <c r="J177" s="55"/>
      <c r="K177" s="56"/>
      <c r="L177" s="56"/>
      <c r="M177" s="57"/>
      <c r="N177" s="58"/>
      <c r="P177" s="55"/>
      <c r="Q177" s="55"/>
      <c r="R177" s="55"/>
      <c r="S177" s="55"/>
      <c r="T177" s="55"/>
    </row>
    <row r="178" spans="1:20" x14ac:dyDescent="0.35">
      <c r="A178" s="52">
        <v>0</v>
      </c>
      <c r="B178" s="53" t="s">
        <v>380</v>
      </c>
      <c r="C178" s="54"/>
      <c r="D178" s="54"/>
      <c r="E178" s="55"/>
      <c r="F178" s="55"/>
      <c r="G178" s="55"/>
      <c r="H178" s="55"/>
      <c r="I178" s="55"/>
      <c r="J178" s="55"/>
      <c r="K178" s="56"/>
      <c r="L178" s="56"/>
      <c r="M178" s="57"/>
      <c r="N178" s="58"/>
      <c r="P178" s="55"/>
      <c r="Q178" s="55"/>
      <c r="R178" s="55"/>
      <c r="S178" s="55"/>
      <c r="T178" s="55"/>
    </row>
    <row r="179" spans="1:20" x14ac:dyDescent="0.35">
      <c r="A179" s="52">
        <v>0</v>
      </c>
      <c r="B179" s="53" t="s">
        <v>381</v>
      </c>
      <c r="C179" s="54"/>
      <c r="D179" s="54"/>
      <c r="E179" s="55"/>
      <c r="F179" s="55"/>
      <c r="G179" s="55"/>
      <c r="H179" s="55"/>
      <c r="I179" s="55"/>
      <c r="J179" s="55"/>
      <c r="K179" s="56"/>
      <c r="L179" s="56"/>
      <c r="M179" s="57"/>
      <c r="N179" s="58"/>
      <c r="P179" s="55"/>
      <c r="Q179" s="55"/>
      <c r="R179" s="55"/>
      <c r="S179" s="55"/>
      <c r="T179" s="55"/>
    </row>
    <row r="180" spans="1:20" x14ac:dyDescent="0.35">
      <c r="A180" s="52">
        <v>0</v>
      </c>
      <c r="B180" s="53" t="s">
        <v>382</v>
      </c>
      <c r="C180" s="54"/>
      <c r="D180" s="54"/>
      <c r="E180" s="55"/>
      <c r="F180" s="55"/>
      <c r="G180" s="55"/>
      <c r="H180" s="55"/>
      <c r="I180" s="55"/>
      <c r="J180" s="55"/>
      <c r="K180" s="56"/>
      <c r="L180" s="56"/>
      <c r="M180" s="57"/>
      <c r="N180" s="58"/>
      <c r="P180" s="55"/>
      <c r="Q180" s="55"/>
      <c r="R180" s="55"/>
      <c r="S180" s="55"/>
      <c r="T180" s="55"/>
    </row>
    <row r="181" spans="1:20" x14ac:dyDescent="0.35">
      <c r="A181" s="52">
        <v>0</v>
      </c>
      <c r="B181" s="53" t="s">
        <v>383</v>
      </c>
      <c r="C181" s="54"/>
      <c r="D181" s="54"/>
      <c r="E181" s="55"/>
      <c r="F181" s="55"/>
      <c r="G181" s="55"/>
      <c r="H181" s="55"/>
      <c r="I181" s="55"/>
      <c r="J181" s="55"/>
      <c r="K181" s="56"/>
      <c r="L181" s="56"/>
      <c r="M181" s="57"/>
      <c r="N181" s="58"/>
      <c r="P181" s="55"/>
      <c r="Q181" s="55"/>
      <c r="R181" s="55"/>
      <c r="S181" s="55"/>
      <c r="T181" s="55"/>
    </row>
    <row r="182" spans="1:20" x14ac:dyDescent="0.35">
      <c r="A182" s="52">
        <v>0</v>
      </c>
      <c r="B182" s="53" t="s">
        <v>384</v>
      </c>
      <c r="C182" s="54"/>
      <c r="D182" s="54"/>
      <c r="E182" s="55"/>
      <c r="F182" s="55"/>
      <c r="G182" s="55"/>
      <c r="H182" s="55"/>
      <c r="I182" s="55"/>
      <c r="J182" s="55"/>
      <c r="K182" s="56"/>
      <c r="L182" s="56"/>
      <c r="M182" s="57"/>
      <c r="N182" s="58"/>
      <c r="P182" s="55"/>
      <c r="Q182" s="55"/>
      <c r="R182" s="55"/>
      <c r="S182" s="55"/>
      <c r="T182" s="55"/>
    </row>
    <row r="183" spans="1:20" x14ac:dyDescent="0.35">
      <c r="A183" s="52">
        <v>0</v>
      </c>
      <c r="B183" s="53" t="s">
        <v>385</v>
      </c>
      <c r="C183" s="54"/>
      <c r="D183" s="54"/>
      <c r="E183" s="55"/>
      <c r="F183" s="55"/>
      <c r="G183" s="55"/>
      <c r="H183" s="55"/>
      <c r="I183" s="55"/>
      <c r="J183" s="55"/>
      <c r="K183" s="56"/>
      <c r="L183" s="56"/>
      <c r="M183" s="57"/>
      <c r="N183" s="58"/>
      <c r="P183" s="55"/>
      <c r="Q183" s="55"/>
      <c r="R183" s="55"/>
      <c r="S183" s="55"/>
      <c r="T183" s="55"/>
    </row>
    <row r="184" spans="1:20" x14ac:dyDescent="0.35">
      <c r="A184" s="52">
        <v>0</v>
      </c>
      <c r="B184" s="53" t="s">
        <v>386</v>
      </c>
      <c r="C184" s="54"/>
      <c r="D184" s="54"/>
      <c r="E184" s="55"/>
      <c r="F184" s="55"/>
      <c r="G184" s="55"/>
      <c r="H184" s="55"/>
      <c r="I184" s="55"/>
      <c r="J184" s="55"/>
      <c r="K184" s="56"/>
      <c r="L184" s="56"/>
      <c r="M184" s="57"/>
      <c r="N184" s="58"/>
      <c r="P184" s="55"/>
      <c r="Q184" s="55"/>
      <c r="R184" s="55"/>
      <c r="S184" s="55"/>
      <c r="T184" s="55"/>
    </row>
    <row r="185" spans="1:20" x14ac:dyDescent="0.35">
      <c r="A185" s="52">
        <v>0</v>
      </c>
      <c r="B185" s="53" t="s">
        <v>387</v>
      </c>
      <c r="C185" s="54"/>
      <c r="D185" s="54"/>
      <c r="E185" s="55"/>
      <c r="F185" s="55"/>
      <c r="G185" s="55"/>
      <c r="H185" s="55"/>
      <c r="I185" s="55"/>
      <c r="J185" s="55"/>
      <c r="K185" s="56"/>
      <c r="L185" s="56"/>
      <c r="M185" s="57"/>
      <c r="N185" s="58"/>
      <c r="P185" s="55"/>
      <c r="Q185" s="55"/>
      <c r="R185" s="55"/>
      <c r="S185" s="55"/>
      <c r="T185" s="55"/>
    </row>
    <row r="186" spans="1:20" x14ac:dyDescent="0.35">
      <c r="A186" s="52">
        <v>0</v>
      </c>
      <c r="B186" s="53" t="s">
        <v>388</v>
      </c>
      <c r="C186" s="54"/>
      <c r="D186" s="54"/>
      <c r="E186" s="55"/>
      <c r="F186" s="55"/>
      <c r="G186" s="55"/>
      <c r="H186" s="55"/>
      <c r="I186" s="55"/>
      <c r="J186" s="55"/>
      <c r="K186" s="56"/>
      <c r="L186" s="56"/>
      <c r="M186" s="57"/>
      <c r="N186" s="58"/>
      <c r="P186" s="55"/>
      <c r="Q186" s="55"/>
      <c r="R186" s="55"/>
      <c r="S186" s="55"/>
      <c r="T186" s="55"/>
    </row>
    <row r="187" spans="1:20" x14ac:dyDescent="0.35">
      <c r="A187" s="52">
        <v>0</v>
      </c>
      <c r="B187" s="53" t="s">
        <v>389</v>
      </c>
      <c r="C187" s="54"/>
      <c r="D187" s="54"/>
      <c r="E187" s="55"/>
      <c r="F187" s="55"/>
      <c r="G187" s="55"/>
      <c r="H187" s="55"/>
      <c r="I187" s="55"/>
      <c r="J187" s="55"/>
      <c r="K187" s="56"/>
      <c r="L187" s="56"/>
      <c r="M187" s="57"/>
      <c r="N187" s="58"/>
      <c r="P187" s="55"/>
      <c r="Q187" s="55"/>
      <c r="R187" s="55"/>
      <c r="S187" s="55"/>
      <c r="T187" s="55"/>
    </row>
    <row r="188" spans="1:20" x14ac:dyDescent="0.35">
      <c r="A188" s="52">
        <v>0</v>
      </c>
      <c r="B188" s="53" t="s">
        <v>390</v>
      </c>
      <c r="C188" s="54"/>
      <c r="D188" s="54"/>
      <c r="E188" s="55"/>
      <c r="F188" s="55"/>
      <c r="G188" s="55"/>
      <c r="H188" s="55"/>
      <c r="I188" s="55"/>
      <c r="J188" s="55"/>
      <c r="K188" s="56"/>
      <c r="L188" s="56"/>
      <c r="M188" s="57"/>
      <c r="N188" s="58"/>
      <c r="P188" s="55"/>
      <c r="Q188" s="55"/>
      <c r="R188" s="55"/>
      <c r="S188" s="55"/>
      <c r="T188" s="55"/>
    </row>
    <row r="189" spans="1:20" x14ac:dyDescent="0.35">
      <c r="A189" s="52">
        <v>0</v>
      </c>
      <c r="B189" s="53" t="s">
        <v>391</v>
      </c>
      <c r="C189" s="54"/>
      <c r="D189" s="54"/>
      <c r="E189" s="55"/>
      <c r="F189" s="55"/>
      <c r="G189" s="55"/>
      <c r="H189" s="55"/>
      <c r="I189" s="55"/>
      <c r="J189" s="55"/>
      <c r="K189" s="56"/>
      <c r="L189" s="56"/>
      <c r="M189" s="57"/>
      <c r="N189" s="58"/>
      <c r="P189" s="55"/>
      <c r="Q189" s="55"/>
      <c r="R189" s="55"/>
      <c r="S189" s="55"/>
      <c r="T189" s="55"/>
    </row>
    <row r="190" spans="1:20" x14ac:dyDescent="0.35">
      <c r="A190" s="52">
        <v>0</v>
      </c>
      <c r="B190" s="53" t="s">
        <v>392</v>
      </c>
      <c r="C190" s="54"/>
      <c r="D190" s="54"/>
      <c r="E190" s="55"/>
      <c r="F190" s="55"/>
      <c r="G190" s="55"/>
      <c r="H190" s="55"/>
      <c r="I190" s="55"/>
      <c r="J190" s="55"/>
      <c r="K190" s="56"/>
      <c r="L190" s="56"/>
      <c r="M190" s="57"/>
      <c r="N190" s="58"/>
      <c r="P190" s="55"/>
      <c r="Q190" s="55"/>
      <c r="R190" s="55"/>
      <c r="S190" s="55"/>
      <c r="T190" s="55"/>
    </row>
    <row r="191" spans="1:20" x14ac:dyDescent="0.35">
      <c r="A191" s="52">
        <v>0</v>
      </c>
      <c r="B191" s="53" t="s">
        <v>393</v>
      </c>
      <c r="C191" s="54"/>
      <c r="D191" s="54"/>
      <c r="E191" s="55"/>
      <c r="F191" s="55"/>
      <c r="G191" s="55"/>
      <c r="H191" s="55"/>
      <c r="I191" s="55"/>
      <c r="J191" s="55"/>
      <c r="K191" s="56"/>
      <c r="L191" s="56"/>
      <c r="M191" s="57"/>
      <c r="N191" s="58"/>
      <c r="P191" s="55"/>
      <c r="Q191" s="55"/>
      <c r="R191" s="55"/>
      <c r="S191" s="55"/>
      <c r="T191" s="55"/>
    </row>
    <row r="192" spans="1:20" x14ac:dyDescent="0.35">
      <c r="A192" s="52">
        <v>0</v>
      </c>
      <c r="B192" s="53" t="s">
        <v>401</v>
      </c>
      <c r="C192" s="54"/>
      <c r="D192" s="54"/>
      <c r="E192" s="55"/>
      <c r="F192" s="55"/>
      <c r="G192" s="55"/>
      <c r="H192" s="55"/>
      <c r="I192" s="55"/>
      <c r="J192" s="55"/>
      <c r="K192" s="56"/>
      <c r="L192" s="56"/>
      <c r="M192" s="57"/>
      <c r="N192" s="58"/>
      <c r="P192" s="55"/>
      <c r="Q192" s="55"/>
      <c r="R192" s="55"/>
      <c r="S192" s="55"/>
      <c r="T192" s="55"/>
    </row>
    <row r="193" spans="1:20" x14ac:dyDescent="0.35">
      <c r="A193" s="52">
        <v>0</v>
      </c>
      <c r="B193" s="53" t="s">
        <v>402</v>
      </c>
      <c r="C193" s="54"/>
      <c r="D193" s="54"/>
      <c r="E193" s="55"/>
      <c r="F193" s="55"/>
      <c r="G193" s="55"/>
      <c r="H193" s="55"/>
      <c r="I193" s="55"/>
      <c r="J193" s="55"/>
      <c r="K193" s="56"/>
      <c r="L193" s="56"/>
      <c r="M193" s="57"/>
      <c r="N193" s="58"/>
      <c r="P193" s="55"/>
      <c r="Q193" s="55"/>
      <c r="R193" s="55"/>
      <c r="S193" s="55"/>
      <c r="T193" s="55"/>
    </row>
    <row r="194" spans="1:20" x14ac:dyDescent="0.35">
      <c r="A194" s="52">
        <v>0</v>
      </c>
      <c r="B194" s="53" t="s">
        <v>403</v>
      </c>
      <c r="C194" s="54"/>
      <c r="D194" s="54"/>
      <c r="E194" s="55"/>
      <c r="F194" s="55"/>
      <c r="G194" s="55"/>
      <c r="H194" s="55"/>
      <c r="I194" s="55"/>
      <c r="J194" s="55"/>
      <c r="K194" s="56"/>
      <c r="L194" s="56"/>
      <c r="M194" s="57"/>
      <c r="N194" s="58"/>
      <c r="P194" s="55"/>
      <c r="Q194" s="55"/>
      <c r="R194" s="55"/>
      <c r="S194" s="55"/>
      <c r="T194" s="55"/>
    </row>
    <row r="195" spans="1:20" x14ac:dyDescent="0.35">
      <c r="A195" s="52">
        <v>0</v>
      </c>
      <c r="B195" s="53" t="s">
        <v>404</v>
      </c>
      <c r="C195" s="54"/>
      <c r="D195" s="54"/>
      <c r="E195" s="55"/>
      <c r="F195" s="55"/>
      <c r="G195" s="55"/>
      <c r="H195" s="55"/>
      <c r="I195" s="55"/>
      <c r="J195" s="55"/>
      <c r="K195" s="56"/>
      <c r="L195" s="56"/>
      <c r="M195" s="57"/>
      <c r="N195" s="58"/>
      <c r="P195" s="55"/>
      <c r="Q195" s="55"/>
      <c r="R195" s="55"/>
      <c r="S195" s="55"/>
      <c r="T195" s="55"/>
    </row>
    <row r="196" spans="1:20" x14ac:dyDescent="0.35">
      <c r="A196" s="52">
        <v>0</v>
      </c>
      <c r="B196" s="53" t="s">
        <v>405</v>
      </c>
      <c r="C196" s="54"/>
      <c r="D196" s="54"/>
      <c r="E196" s="55"/>
      <c r="F196" s="55"/>
      <c r="G196" s="55"/>
      <c r="H196" s="55"/>
      <c r="I196" s="55"/>
      <c r="J196" s="55"/>
      <c r="K196" s="56"/>
      <c r="L196" s="56"/>
      <c r="M196" s="57"/>
      <c r="N196" s="58"/>
      <c r="P196" s="55"/>
      <c r="Q196" s="55"/>
      <c r="R196" s="55"/>
      <c r="S196" s="55"/>
      <c r="T196" s="55"/>
    </row>
    <row r="197" spans="1:20" x14ac:dyDescent="0.35">
      <c r="A197" s="52">
        <v>0</v>
      </c>
      <c r="B197" s="53" t="s">
        <v>406</v>
      </c>
      <c r="C197" s="54"/>
      <c r="D197" s="54"/>
      <c r="E197" s="55"/>
      <c r="F197" s="55"/>
      <c r="G197" s="55"/>
      <c r="H197" s="55"/>
      <c r="I197" s="55"/>
      <c r="J197" s="55"/>
      <c r="K197" s="56"/>
      <c r="L197" s="56"/>
      <c r="M197" s="57"/>
      <c r="N197" s="58"/>
      <c r="P197" s="55"/>
      <c r="Q197" s="55"/>
      <c r="R197" s="55"/>
      <c r="S197" s="55"/>
      <c r="T197" s="55"/>
    </row>
    <row r="198" spans="1:20" x14ac:dyDescent="0.35">
      <c r="A198" s="52">
        <v>0</v>
      </c>
      <c r="B198" s="53" t="s">
        <v>407</v>
      </c>
      <c r="C198" s="54"/>
      <c r="D198" s="54"/>
      <c r="E198" s="55"/>
      <c r="F198" s="55"/>
      <c r="G198" s="55"/>
      <c r="H198" s="55"/>
      <c r="I198" s="55"/>
      <c r="J198" s="55"/>
      <c r="K198" s="56"/>
      <c r="L198" s="56"/>
      <c r="M198" s="57"/>
      <c r="N198" s="58"/>
      <c r="P198" s="55"/>
      <c r="Q198" s="55"/>
      <c r="R198" s="55"/>
      <c r="S198" s="55"/>
      <c r="T198" s="55"/>
    </row>
    <row r="199" spans="1:20" x14ac:dyDescent="0.35">
      <c r="A199" s="52">
        <v>0</v>
      </c>
      <c r="B199" s="53" t="s">
        <v>408</v>
      </c>
      <c r="C199" s="54"/>
      <c r="D199" s="54"/>
      <c r="E199" s="55"/>
      <c r="F199" s="55"/>
      <c r="G199" s="55"/>
      <c r="H199" s="55"/>
      <c r="I199" s="55"/>
      <c r="J199" s="55"/>
      <c r="K199" s="56"/>
      <c r="L199" s="56"/>
      <c r="M199" s="57"/>
      <c r="N199" s="58"/>
      <c r="P199" s="55"/>
      <c r="Q199" s="55"/>
      <c r="R199" s="55"/>
      <c r="S199" s="55"/>
      <c r="T199" s="55"/>
    </row>
    <row r="200" spans="1:20" x14ac:dyDescent="0.35">
      <c r="A200" s="52">
        <v>0</v>
      </c>
      <c r="B200" s="53" t="s">
        <v>409</v>
      </c>
      <c r="C200" s="54"/>
      <c r="D200" s="54"/>
      <c r="E200" s="55"/>
      <c r="F200" s="55"/>
      <c r="G200" s="55"/>
      <c r="H200" s="55"/>
      <c r="I200" s="55"/>
      <c r="J200" s="55"/>
      <c r="K200" s="56"/>
      <c r="L200" s="56"/>
      <c r="M200" s="57"/>
      <c r="N200" s="58"/>
      <c r="P200" s="55"/>
      <c r="Q200" s="55"/>
      <c r="R200" s="55"/>
      <c r="S200" s="55"/>
      <c r="T200" s="55"/>
    </row>
    <row r="201" spans="1:20" x14ac:dyDescent="0.35">
      <c r="A201" s="52">
        <v>0</v>
      </c>
      <c r="B201" s="53" t="s">
        <v>410</v>
      </c>
      <c r="C201" s="54"/>
      <c r="D201" s="54"/>
      <c r="E201" s="55"/>
      <c r="F201" s="55"/>
      <c r="G201" s="55"/>
      <c r="H201" s="55"/>
      <c r="I201" s="55"/>
      <c r="J201" s="55"/>
      <c r="K201" s="56"/>
      <c r="L201" s="56"/>
      <c r="M201" s="57"/>
      <c r="N201" s="58"/>
      <c r="P201" s="55"/>
      <c r="Q201" s="55"/>
      <c r="R201" s="55"/>
      <c r="S201" s="55"/>
      <c r="T201" s="55"/>
    </row>
    <row r="202" spans="1:20" x14ac:dyDescent="0.35">
      <c r="A202" s="52">
        <v>0</v>
      </c>
      <c r="B202" s="53" t="s">
        <v>412</v>
      </c>
      <c r="C202" s="54"/>
      <c r="D202" s="54"/>
      <c r="E202" s="55"/>
      <c r="F202" s="55"/>
      <c r="G202" s="55"/>
      <c r="H202" s="55"/>
      <c r="I202" s="55"/>
      <c r="J202" s="55"/>
      <c r="K202" s="56"/>
      <c r="L202" s="56"/>
      <c r="M202" s="57"/>
      <c r="N202" s="58"/>
      <c r="P202" s="55"/>
      <c r="Q202" s="55"/>
      <c r="R202" s="55"/>
      <c r="S202" s="55"/>
      <c r="T202" s="55"/>
    </row>
    <row r="203" spans="1:20" x14ac:dyDescent="0.35">
      <c r="A203" s="52">
        <v>0</v>
      </c>
      <c r="B203" s="53" t="s">
        <v>413</v>
      </c>
      <c r="C203" s="54"/>
      <c r="D203" s="54"/>
      <c r="E203" s="55"/>
      <c r="F203" s="55"/>
      <c r="G203" s="55"/>
      <c r="H203" s="55"/>
      <c r="I203" s="55"/>
      <c r="J203" s="55"/>
      <c r="K203" s="56"/>
      <c r="L203" s="56"/>
      <c r="M203" s="57"/>
      <c r="N203" s="58"/>
      <c r="P203" s="55"/>
      <c r="Q203" s="55"/>
      <c r="R203" s="55"/>
      <c r="S203" s="55"/>
      <c r="T203" s="55"/>
    </row>
    <row r="204" spans="1:20" x14ac:dyDescent="0.35">
      <c r="A204" s="52">
        <v>0</v>
      </c>
      <c r="B204" s="53" t="s">
        <v>414</v>
      </c>
      <c r="C204" s="54"/>
      <c r="D204" s="54"/>
      <c r="E204" s="55"/>
      <c r="F204" s="55"/>
      <c r="G204" s="55"/>
      <c r="H204" s="55"/>
      <c r="I204" s="55"/>
      <c r="J204" s="55"/>
      <c r="K204" s="56"/>
      <c r="L204" s="56"/>
      <c r="M204" s="57"/>
      <c r="N204" s="58"/>
      <c r="P204" s="55"/>
      <c r="Q204" s="55"/>
      <c r="R204" s="55"/>
      <c r="S204" s="55"/>
      <c r="T204" s="55"/>
    </row>
    <row r="205" spans="1:20" x14ac:dyDescent="0.35">
      <c r="A205" s="52">
        <v>0</v>
      </c>
      <c r="B205" s="53" t="s">
        <v>415</v>
      </c>
      <c r="C205" s="54"/>
      <c r="D205" s="54"/>
      <c r="E205" s="55"/>
      <c r="F205" s="55"/>
      <c r="G205" s="55"/>
      <c r="H205" s="55"/>
      <c r="I205" s="55"/>
      <c r="J205" s="55"/>
      <c r="K205" s="56"/>
      <c r="L205" s="56"/>
      <c r="M205" s="57"/>
      <c r="N205" s="58"/>
      <c r="P205" s="55"/>
      <c r="Q205" s="55"/>
      <c r="R205" s="55"/>
      <c r="S205" s="55"/>
      <c r="T205" s="55"/>
    </row>
    <row r="206" spans="1:20" x14ac:dyDescent="0.35">
      <c r="A206" s="52">
        <v>0</v>
      </c>
      <c r="B206" s="53" t="s">
        <v>416</v>
      </c>
      <c r="C206" s="54"/>
      <c r="D206" s="54"/>
      <c r="E206" s="55"/>
      <c r="F206" s="55"/>
      <c r="G206" s="55"/>
      <c r="H206" s="55"/>
      <c r="I206" s="55"/>
      <c r="J206" s="55"/>
      <c r="K206" s="56"/>
      <c r="L206" s="56"/>
      <c r="M206" s="57"/>
      <c r="N206" s="58"/>
      <c r="P206" s="55"/>
      <c r="Q206" s="55"/>
      <c r="R206" s="55"/>
      <c r="S206" s="55"/>
      <c r="T206" s="55"/>
    </row>
    <row r="207" spans="1:20" x14ac:dyDescent="0.35">
      <c r="A207" s="52">
        <v>0</v>
      </c>
      <c r="B207" s="53" t="s">
        <v>417</v>
      </c>
      <c r="C207" s="54"/>
      <c r="D207" s="54"/>
      <c r="E207" s="55"/>
      <c r="F207" s="55"/>
      <c r="G207" s="55"/>
      <c r="H207" s="55"/>
      <c r="I207" s="55"/>
      <c r="J207" s="55"/>
      <c r="K207" s="56"/>
      <c r="L207" s="56"/>
      <c r="M207" s="57"/>
      <c r="N207" s="58"/>
      <c r="P207" s="55"/>
      <c r="Q207" s="55"/>
      <c r="R207" s="55"/>
      <c r="S207" s="55"/>
      <c r="T207" s="55"/>
    </row>
    <row r="208" spans="1:20" x14ac:dyDescent="0.35">
      <c r="A208" s="52">
        <v>0</v>
      </c>
      <c r="B208" s="53" t="s">
        <v>418</v>
      </c>
      <c r="C208" s="54"/>
      <c r="D208" s="54"/>
      <c r="E208" s="55"/>
      <c r="F208" s="55"/>
      <c r="G208" s="55"/>
      <c r="H208" s="55"/>
      <c r="I208" s="55"/>
      <c r="J208" s="55"/>
      <c r="K208" s="56"/>
      <c r="L208" s="56"/>
      <c r="M208" s="57"/>
      <c r="N208" s="58"/>
      <c r="P208" s="55"/>
      <c r="Q208" s="55"/>
      <c r="R208" s="55"/>
      <c r="S208" s="55"/>
      <c r="T208" s="55"/>
    </row>
    <row r="209" spans="1:20" x14ac:dyDescent="0.35">
      <c r="A209" s="52">
        <v>0</v>
      </c>
      <c r="B209" s="53" t="s">
        <v>419</v>
      </c>
      <c r="C209" s="54"/>
      <c r="D209" s="54"/>
      <c r="E209" s="55"/>
      <c r="F209" s="55"/>
      <c r="G209" s="55"/>
      <c r="H209" s="55"/>
      <c r="I209" s="55"/>
      <c r="J209" s="55"/>
      <c r="K209" s="56"/>
      <c r="L209" s="56"/>
      <c r="M209" s="57"/>
      <c r="N209" s="58"/>
      <c r="P209" s="55"/>
      <c r="Q209" s="55"/>
      <c r="R209" s="55"/>
      <c r="S209" s="55"/>
      <c r="T209" s="55"/>
    </row>
    <row r="210" spans="1:20" x14ac:dyDescent="0.35">
      <c r="A210" s="52">
        <v>0</v>
      </c>
      <c r="B210" s="53" t="s">
        <v>420</v>
      </c>
      <c r="C210" s="54"/>
      <c r="D210" s="54"/>
      <c r="E210" s="55"/>
      <c r="F210" s="55"/>
      <c r="G210" s="55"/>
      <c r="H210" s="55"/>
      <c r="I210" s="55"/>
      <c r="J210" s="55"/>
      <c r="K210" s="56"/>
      <c r="L210" s="56"/>
      <c r="M210" s="57"/>
      <c r="N210" s="58"/>
      <c r="P210" s="55"/>
      <c r="Q210" s="55"/>
      <c r="R210" s="55"/>
      <c r="S210" s="55"/>
      <c r="T210" s="55"/>
    </row>
    <row r="211" spans="1:20" x14ac:dyDescent="0.35">
      <c r="A211" s="52">
        <v>0</v>
      </c>
      <c r="B211" s="53" t="s">
        <v>421</v>
      </c>
      <c r="C211" s="54"/>
      <c r="D211" s="54"/>
      <c r="E211" s="55"/>
      <c r="F211" s="55"/>
      <c r="G211" s="55"/>
      <c r="H211" s="55"/>
      <c r="I211" s="55"/>
      <c r="J211" s="55"/>
      <c r="K211" s="56"/>
      <c r="L211" s="56"/>
      <c r="M211" s="57"/>
      <c r="N211" s="58"/>
      <c r="P211" s="55"/>
      <c r="Q211" s="55"/>
      <c r="R211" s="55"/>
      <c r="S211" s="55"/>
      <c r="T211" s="55"/>
    </row>
    <row r="212" spans="1:20" x14ac:dyDescent="0.35">
      <c r="A212" s="52">
        <v>0</v>
      </c>
      <c r="B212" s="53" t="s">
        <v>422</v>
      </c>
      <c r="C212" s="54"/>
      <c r="D212" s="54"/>
      <c r="E212" s="55"/>
      <c r="F212" s="55"/>
      <c r="G212" s="55"/>
      <c r="H212" s="55"/>
      <c r="I212" s="55"/>
      <c r="J212" s="55"/>
      <c r="K212" s="56"/>
      <c r="L212" s="56"/>
      <c r="M212" s="57"/>
      <c r="N212" s="58"/>
      <c r="P212" s="55"/>
      <c r="Q212" s="55"/>
      <c r="R212" s="55"/>
      <c r="S212" s="55"/>
      <c r="T212" s="55"/>
    </row>
    <row r="213" spans="1:20" x14ac:dyDescent="0.35">
      <c r="A213" s="52">
        <v>0</v>
      </c>
      <c r="B213" s="53" t="s">
        <v>423</v>
      </c>
      <c r="C213" s="54"/>
      <c r="D213" s="54"/>
      <c r="E213" s="55"/>
      <c r="F213" s="55"/>
      <c r="G213" s="55"/>
      <c r="H213" s="55"/>
      <c r="I213" s="55"/>
      <c r="J213" s="55"/>
      <c r="K213" s="56"/>
      <c r="L213" s="56"/>
      <c r="M213" s="57"/>
      <c r="N213" s="58"/>
      <c r="P213" s="55"/>
      <c r="Q213" s="55"/>
      <c r="R213" s="55"/>
      <c r="S213" s="55"/>
      <c r="T213" s="55"/>
    </row>
    <row r="214" spans="1:20" x14ac:dyDescent="0.35">
      <c r="A214" s="52">
        <v>0</v>
      </c>
      <c r="B214" s="53" t="s">
        <v>424</v>
      </c>
      <c r="C214" s="54"/>
      <c r="D214" s="54"/>
      <c r="E214" s="55"/>
      <c r="F214" s="55"/>
      <c r="G214" s="55"/>
      <c r="H214" s="55"/>
      <c r="I214" s="55"/>
      <c r="J214" s="55"/>
      <c r="K214" s="56"/>
      <c r="L214" s="56"/>
      <c r="M214" s="57"/>
      <c r="N214" s="58"/>
      <c r="P214" s="55"/>
      <c r="Q214" s="55"/>
      <c r="R214" s="55"/>
      <c r="S214" s="55"/>
      <c r="T214" s="55"/>
    </row>
    <row r="215" spans="1:20" x14ac:dyDescent="0.35">
      <c r="A215" s="52">
        <v>0</v>
      </c>
      <c r="B215" s="53" t="s">
        <v>461</v>
      </c>
      <c r="C215" s="54"/>
      <c r="D215" s="54"/>
      <c r="E215" s="55"/>
      <c r="F215" s="55"/>
      <c r="G215" s="55"/>
      <c r="H215" s="55"/>
      <c r="I215" s="55"/>
      <c r="J215" s="55"/>
      <c r="K215" s="56"/>
      <c r="L215" s="56"/>
      <c r="M215" s="57"/>
      <c r="N215" s="58"/>
      <c r="P215" s="55"/>
      <c r="Q215" s="55"/>
      <c r="R215" s="55"/>
      <c r="S215" s="55"/>
      <c r="T215" s="55"/>
    </row>
    <row r="216" spans="1:20" x14ac:dyDescent="0.35">
      <c r="A216" s="52">
        <v>0</v>
      </c>
      <c r="B216" s="53" t="s">
        <v>462</v>
      </c>
      <c r="C216" s="54"/>
      <c r="D216" s="54"/>
      <c r="E216" s="55"/>
      <c r="F216" s="55"/>
      <c r="G216" s="55"/>
      <c r="H216" s="55"/>
      <c r="I216" s="55"/>
      <c r="J216" s="55"/>
      <c r="K216" s="56"/>
      <c r="L216" s="56"/>
      <c r="M216" s="57"/>
      <c r="N216" s="58"/>
      <c r="P216" s="55"/>
      <c r="Q216" s="55"/>
      <c r="R216" s="55"/>
      <c r="S216" s="55"/>
      <c r="T216" s="55"/>
    </row>
    <row r="217" spans="1:20" x14ac:dyDescent="0.35">
      <c r="A217" s="52">
        <v>0</v>
      </c>
      <c r="B217" s="53" t="s">
        <v>463</v>
      </c>
      <c r="C217" s="54"/>
      <c r="D217" s="54"/>
      <c r="E217" s="55"/>
      <c r="F217" s="55"/>
      <c r="G217" s="55"/>
      <c r="H217" s="55"/>
      <c r="I217" s="55"/>
      <c r="J217" s="55"/>
      <c r="K217" s="56"/>
      <c r="L217" s="56"/>
      <c r="M217" s="57"/>
      <c r="N217" s="58"/>
      <c r="P217" s="55"/>
      <c r="Q217" s="55"/>
      <c r="R217" s="55"/>
      <c r="S217" s="55"/>
      <c r="T217" s="55"/>
    </row>
    <row r="218" spans="1:20" x14ac:dyDescent="0.35">
      <c r="A218" s="52">
        <v>0</v>
      </c>
      <c r="B218" s="53" t="s">
        <v>465</v>
      </c>
      <c r="C218" s="54"/>
      <c r="D218" s="54"/>
      <c r="E218" s="55"/>
      <c r="F218" s="55"/>
      <c r="G218" s="55"/>
      <c r="H218" s="55"/>
      <c r="I218" s="55"/>
      <c r="J218" s="55"/>
      <c r="K218" s="56"/>
      <c r="L218" s="56"/>
      <c r="M218" s="57"/>
      <c r="N218" s="58"/>
      <c r="P218" s="55"/>
      <c r="Q218" s="55"/>
      <c r="R218" s="55"/>
      <c r="S218" s="55"/>
      <c r="T218" s="55"/>
    </row>
    <row r="219" spans="1:20" x14ac:dyDescent="0.35">
      <c r="A219" s="52">
        <v>0</v>
      </c>
      <c r="B219" s="53" t="s">
        <v>466</v>
      </c>
      <c r="C219" s="54"/>
      <c r="D219" s="54"/>
      <c r="E219" s="55"/>
      <c r="F219" s="55"/>
      <c r="G219" s="55"/>
      <c r="H219" s="55"/>
      <c r="I219" s="55"/>
      <c r="J219" s="55"/>
      <c r="K219" s="56"/>
      <c r="L219" s="56"/>
      <c r="M219" s="57"/>
      <c r="N219" s="58"/>
      <c r="P219" s="55"/>
      <c r="Q219" s="55"/>
      <c r="R219" s="55"/>
      <c r="S219" s="55"/>
      <c r="T219" s="55"/>
    </row>
    <row r="220" spans="1:20" x14ac:dyDescent="0.35">
      <c r="A220" s="52">
        <v>0</v>
      </c>
      <c r="B220" s="53" t="s">
        <v>467</v>
      </c>
      <c r="C220" s="54"/>
      <c r="D220" s="54"/>
      <c r="E220" s="55"/>
      <c r="F220" s="55"/>
      <c r="G220" s="55"/>
      <c r="H220" s="55"/>
      <c r="I220" s="55"/>
      <c r="J220" s="55"/>
      <c r="K220" s="56"/>
      <c r="L220" s="56"/>
      <c r="M220" s="57"/>
      <c r="N220" s="58"/>
      <c r="P220" s="55"/>
      <c r="Q220" s="55"/>
      <c r="R220" s="55"/>
      <c r="S220" s="55"/>
      <c r="T220" s="55"/>
    </row>
    <row r="221" spans="1:20" x14ac:dyDescent="0.35">
      <c r="A221" s="52">
        <v>0</v>
      </c>
      <c r="B221" s="53" t="s">
        <v>469</v>
      </c>
      <c r="C221" s="54"/>
      <c r="D221" s="54"/>
      <c r="E221" s="55"/>
      <c r="F221" s="55"/>
      <c r="G221" s="55"/>
      <c r="H221" s="55"/>
      <c r="I221" s="55"/>
      <c r="J221" s="55"/>
      <c r="K221" s="56"/>
      <c r="L221" s="56"/>
      <c r="M221" s="57"/>
      <c r="N221" s="58"/>
      <c r="P221" s="55"/>
      <c r="Q221" s="55"/>
      <c r="R221" s="55"/>
      <c r="S221" s="55"/>
      <c r="T221" s="55"/>
    </row>
    <row r="222" spans="1:20" x14ac:dyDescent="0.35">
      <c r="A222" s="52">
        <v>0</v>
      </c>
      <c r="B222" s="53" t="s">
        <v>470</v>
      </c>
      <c r="C222" s="54"/>
      <c r="D222" s="54"/>
      <c r="E222" s="55"/>
      <c r="F222" s="55"/>
      <c r="G222" s="55"/>
      <c r="H222" s="55"/>
      <c r="I222" s="55"/>
      <c r="J222" s="55"/>
      <c r="K222" s="56"/>
      <c r="L222" s="56"/>
      <c r="M222" s="57"/>
      <c r="N222" s="58"/>
      <c r="P222" s="55"/>
      <c r="Q222" s="55"/>
      <c r="R222" s="55"/>
      <c r="S222" s="55"/>
      <c r="T222" s="55"/>
    </row>
    <row r="223" spans="1:20" x14ac:dyDescent="0.35">
      <c r="A223" s="52">
        <v>0</v>
      </c>
      <c r="B223" s="53" t="s">
        <v>473</v>
      </c>
      <c r="C223" s="54"/>
      <c r="D223" s="54"/>
      <c r="E223" s="55"/>
      <c r="F223" s="55"/>
      <c r="G223" s="55"/>
      <c r="H223" s="55"/>
      <c r="I223" s="55"/>
      <c r="J223" s="55"/>
      <c r="K223" s="56"/>
      <c r="L223" s="56"/>
      <c r="M223" s="57"/>
      <c r="N223" s="58"/>
      <c r="P223" s="55"/>
      <c r="Q223" s="55"/>
      <c r="R223" s="55"/>
      <c r="S223" s="55"/>
      <c r="T223" s="55"/>
    </row>
    <row r="224" spans="1:20" x14ac:dyDescent="0.35">
      <c r="A224" s="52">
        <v>0</v>
      </c>
      <c r="B224" s="53" t="s">
        <v>474</v>
      </c>
      <c r="C224" s="54"/>
      <c r="D224" s="54"/>
      <c r="E224" s="55"/>
      <c r="F224" s="55"/>
      <c r="G224" s="55"/>
      <c r="H224" s="55"/>
      <c r="I224" s="55"/>
      <c r="J224" s="55"/>
      <c r="K224" s="56"/>
      <c r="L224" s="56"/>
      <c r="M224" s="57"/>
      <c r="N224" s="58"/>
      <c r="P224" s="55"/>
      <c r="Q224" s="55"/>
      <c r="R224" s="55"/>
      <c r="S224" s="55"/>
      <c r="T224" s="55"/>
    </row>
    <row r="225" spans="1:20" x14ac:dyDescent="0.35">
      <c r="A225" s="52">
        <v>0</v>
      </c>
      <c r="B225" s="53" t="s">
        <v>475</v>
      </c>
      <c r="C225" s="54"/>
      <c r="D225" s="54"/>
      <c r="E225" s="55"/>
      <c r="F225" s="55"/>
      <c r="G225" s="55"/>
      <c r="H225" s="55"/>
      <c r="I225" s="55"/>
      <c r="J225" s="55"/>
      <c r="K225" s="56"/>
      <c r="L225" s="56"/>
      <c r="M225" s="57"/>
      <c r="N225" s="58"/>
      <c r="P225" s="55"/>
      <c r="Q225" s="55"/>
      <c r="R225" s="55"/>
      <c r="S225" s="55"/>
      <c r="T225" s="55"/>
    </row>
    <row r="226" spans="1:20" x14ac:dyDescent="0.35">
      <c r="A226" s="52">
        <v>0</v>
      </c>
      <c r="B226" s="53" t="s">
        <v>476</v>
      </c>
      <c r="C226" s="54"/>
      <c r="D226" s="54"/>
      <c r="E226" s="55"/>
      <c r="F226" s="55"/>
      <c r="G226" s="55"/>
      <c r="H226" s="55"/>
      <c r="I226" s="55"/>
      <c r="J226" s="55"/>
      <c r="K226" s="56"/>
      <c r="L226" s="56"/>
      <c r="M226" s="57"/>
      <c r="N226" s="58"/>
      <c r="P226" s="55"/>
      <c r="Q226" s="55"/>
      <c r="R226" s="55"/>
      <c r="S226" s="55"/>
      <c r="T226" s="55"/>
    </row>
    <row r="227" spans="1:20" x14ac:dyDescent="0.35">
      <c r="A227" s="52">
        <v>0</v>
      </c>
      <c r="B227" s="53" t="s">
        <v>477</v>
      </c>
      <c r="C227" s="54"/>
      <c r="D227" s="54"/>
      <c r="E227" s="55"/>
      <c r="F227" s="55"/>
      <c r="G227" s="55"/>
      <c r="H227" s="55"/>
      <c r="I227" s="55"/>
      <c r="J227" s="55"/>
      <c r="K227" s="56"/>
      <c r="L227" s="56"/>
      <c r="M227" s="57"/>
      <c r="N227" s="58"/>
      <c r="P227" s="55"/>
      <c r="Q227" s="55"/>
      <c r="R227" s="55"/>
      <c r="S227" s="55"/>
      <c r="T227" s="55"/>
    </row>
    <row r="228" spans="1:20" x14ac:dyDescent="0.35">
      <c r="A228" s="52">
        <v>0</v>
      </c>
      <c r="B228" s="53" t="s">
        <v>478</v>
      </c>
      <c r="C228" s="54"/>
      <c r="D228" s="54"/>
      <c r="E228" s="55"/>
      <c r="F228" s="55"/>
      <c r="G228" s="55"/>
      <c r="H228" s="55"/>
      <c r="I228" s="55"/>
      <c r="J228" s="55"/>
      <c r="K228" s="56"/>
      <c r="L228" s="56"/>
      <c r="M228" s="57"/>
      <c r="N228" s="58"/>
      <c r="P228" s="55"/>
      <c r="Q228" s="55"/>
      <c r="R228" s="55"/>
      <c r="S228" s="55"/>
      <c r="T228" s="55"/>
    </row>
    <row r="229" spans="1:20" x14ac:dyDescent="0.35">
      <c r="A229" s="52">
        <v>0</v>
      </c>
      <c r="B229" s="53" t="s">
        <v>479</v>
      </c>
      <c r="C229" s="54"/>
      <c r="D229" s="54"/>
      <c r="E229" s="55"/>
      <c r="F229" s="55"/>
      <c r="G229" s="55"/>
      <c r="H229" s="55"/>
      <c r="I229" s="55"/>
      <c r="J229" s="55"/>
      <c r="K229" s="56"/>
      <c r="L229" s="56"/>
      <c r="M229" s="57"/>
      <c r="N229" s="58"/>
      <c r="P229" s="55"/>
      <c r="Q229" s="55"/>
      <c r="R229" s="55"/>
      <c r="S229" s="55"/>
      <c r="T229" s="55"/>
    </row>
    <row r="230" spans="1:20" x14ac:dyDescent="0.35">
      <c r="A230" s="52">
        <v>0</v>
      </c>
      <c r="B230" s="53" t="s">
        <v>480</v>
      </c>
      <c r="C230" s="54"/>
      <c r="D230" s="54"/>
      <c r="E230" s="55"/>
      <c r="F230" s="55"/>
      <c r="G230" s="55"/>
      <c r="H230" s="55"/>
      <c r="I230" s="55"/>
      <c r="J230" s="55"/>
      <c r="K230" s="56"/>
      <c r="L230" s="56"/>
      <c r="M230" s="57"/>
      <c r="N230" s="58"/>
      <c r="P230" s="55"/>
      <c r="Q230" s="55"/>
      <c r="R230" s="55"/>
      <c r="S230" s="55"/>
      <c r="T230" s="55"/>
    </row>
    <row r="231" spans="1:20" ht="15" thickBot="1" x14ac:dyDescent="0.4">
      <c r="A231" s="52">
        <v>1</v>
      </c>
      <c r="B231" s="53" t="s">
        <v>573</v>
      </c>
      <c r="C231" s="54"/>
      <c r="D231" s="54"/>
      <c r="E231" s="55"/>
      <c r="F231" s="55"/>
      <c r="G231" s="55"/>
      <c r="H231" s="55"/>
      <c r="I231" s="55"/>
      <c r="J231" s="55"/>
      <c r="K231" s="56"/>
      <c r="L231" s="56"/>
      <c r="M231" s="57"/>
      <c r="N231" s="58"/>
      <c r="P231" s="55"/>
      <c r="Q231" s="55"/>
      <c r="R231" s="55"/>
      <c r="S231" s="55"/>
      <c r="T231" s="55"/>
    </row>
    <row r="232" spans="1:20" ht="15" thickBot="1" x14ac:dyDescent="0.4">
      <c r="A232" s="17"/>
      <c r="B232" s="18" t="s">
        <v>65</v>
      </c>
      <c r="C232" s="18"/>
      <c r="D232" s="18"/>
      <c r="E232" s="19"/>
      <c r="F232" s="19"/>
      <c r="G232" s="19"/>
      <c r="H232" s="19"/>
      <c r="I232" s="19"/>
      <c r="J232" s="19"/>
      <c r="K232" s="19"/>
      <c r="L232" s="19"/>
      <c r="M232" s="19"/>
      <c r="N232" s="19"/>
      <c r="O232" s="33"/>
      <c r="P232" s="19"/>
      <c r="Q232" s="19"/>
      <c r="R232" s="19"/>
      <c r="S232" s="19"/>
      <c r="T232" s="19">
        <f>SUM(T5:T88)</f>
        <v>0</v>
      </c>
    </row>
  </sheetData>
  <sheetProtection autoFilter="0"/>
  <sortState xmlns:xlrd2="http://schemas.microsoft.com/office/spreadsheetml/2017/richdata2" ref="A3:M230">
    <sortCondition descending="1" ref="A3"/>
  </sortState>
  <pageMargins left="0.7" right="0.7" top="0.78740157499999996" bottom="0.78740157499999996" header="0.3" footer="0.3"/>
  <pageSetup paperSize="9" scale="41"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FBC47B-485D-402A-84A8-935224C2D2FA}">
  <sheetPr codeName="Tabelle14">
    <pageSetUpPr fitToPage="1"/>
  </sheetPr>
  <dimension ref="A1:U233"/>
  <sheetViews>
    <sheetView zoomScale="75" zoomScaleNormal="75" workbookViewId="0">
      <selection activeCell="A3" sqref="A3:A127"/>
    </sheetView>
  </sheetViews>
  <sheetFormatPr baseColWidth="10" defaultRowHeight="14.5" x14ac:dyDescent="0.35"/>
  <cols>
    <col min="2" max="2" width="42" bestFit="1" customWidth="1"/>
    <col min="3" max="3" width="32" bestFit="1" customWidth="1"/>
    <col min="6" max="6" width="20.1796875" bestFit="1" customWidth="1"/>
    <col min="7" max="7" width="13.81640625" customWidth="1"/>
    <col min="8" max="8" width="10.81640625" bestFit="1" customWidth="1"/>
    <col min="9" max="9" width="18.1796875" bestFit="1" customWidth="1"/>
    <col min="10" max="10" width="13.453125" bestFit="1" customWidth="1"/>
    <col min="21" max="21" width="10.90625" style="31"/>
  </cols>
  <sheetData>
    <row r="1" spans="1:21" ht="15" thickBot="1" x14ac:dyDescent="0.4">
      <c r="A1" s="6" t="s">
        <v>594</v>
      </c>
    </row>
    <row r="2" spans="1:21" ht="44" thickBot="1" x14ac:dyDescent="0.4">
      <c r="A2" s="42" t="s">
        <v>52</v>
      </c>
      <c r="B2" s="42" t="s">
        <v>53</v>
      </c>
      <c r="C2" s="42" t="s">
        <v>161</v>
      </c>
      <c r="D2" s="42" t="s">
        <v>162</v>
      </c>
      <c r="E2" s="43" t="s">
        <v>54</v>
      </c>
      <c r="F2" s="43" t="s">
        <v>163</v>
      </c>
      <c r="G2" s="43" t="s">
        <v>164</v>
      </c>
      <c r="H2" s="43" t="s">
        <v>55</v>
      </c>
      <c r="I2" s="43" t="s">
        <v>163</v>
      </c>
      <c r="J2" s="43" t="s">
        <v>164</v>
      </c>
      <c r="K2" s="43" t="s">
        <v>56</v>
      </c>
      <c r="L2" s="43" t="s">
        <v>57</v>
      </c>
      <c r="M2" s="43" t="s">
        <v>58</v>
      </c>
      <c r="N2" s="43" t="s">
        <v>59</v>
      </c>
      <c r="O2" s="44" t="s">
        <v>60</v>
      </c>
      <c r="P2" s="42" t="s">
        <v>61</v>
      </c>
      <c r="Q2" s="42" t="s">
        <v>62</v>
      </c>
      <c r="R2" s="42" t="s">
        <v>159</v>
      </c>
      <c r="S2" s="42" t="s">
        <v>63</v>
      </c>
      <c r="T2" s="42" t="s">
        <v>64</v>
      </c>
      <c r="U2" s="45" t="s">
        <v>160</v>
      </c>
    </row>
    <row r="3" spans="1:21" x14ac:dyDescent="0.35">
      <c r="A3" s="100">
        <v>3</v>
      </c>
      <c r="B3" s="50" t="s">
        <v>603</v>
      </c>
      <c r="C3" s="100"/>
      <c r="D3" s="100"/>
      <c r="E3" s="100"/>
      <c r="F3" s="100"/>
      <c r="G3" s="100"/>
      <c r="H3" s="100"/>
      <c r="I3" s="100"/>
      <c r="J3" s="100"/>
      <c r="K3" s="101"/>
      <c r="L3" s="101"/>
      <c r="M3" s="102"/>
      <c r="N3" s="40"/>
      <c r="O3" s="39"/>
      <c r="P3" s="39"/>
      <c r="Q3" s="39"/>
      <c r="R3" s="39"/>
      <c r="S3" s="39"/>
      <c r="T3" s="39"/>
      <c r="U3" s="41"/>
    </row>
    <row r="4" spans="1:21" x14ac:dyDescent="0.35">
      <c r="A4" s="15">
        <v>3</v>
      </c>
      <c r="B4" s="50" t="s">
        <v>468</v>
      </c>
      <c r="C4" s="15"/>
      <c r="D4" s="15"/>
      <c r="E4" s="15"/>
      <c r="F4" s="15"/>
      <c r="G4" s="15"/>
      <c r="H4" s="15"/>
      <c r="I4" s="15"/>
      <c r="J4" s="15"/>
      <c r="K4" s="25"/>
      <c r="L4" s="25"/>
      <c r="M4" s="26"/>
      <c r="N4" s="27"/>
      <c r="O4" s="38"/>
      <c r="P4" s="38"/>
      <c r="Q4" s="38"/>
      <c r="R4" s="15"/>
      <c r="S4" s="28">
        <f t="shared" ref="S4:S13" si="0">R4+M4</f>
        <v>0</v>
      </c>
      <c r="T4" s="29">
        <f t="shared" ref="T4:T13" si="1">S4*A4</f>
        <v>0</v>
      </c>
      <c r="U4" s="46"/>
    </row>
    <row r="5" spans="1:21" x14ac:dyDescent="0.35">
      <c r="A5" s="15">
        <v>2</v>
      </c>
      <c r="B5" s="50" t="s">
        <v>408</v>
      </c>
      <c r="C5" s="15"/>
      <c r="D5" s="15"/>
      <c r="E5" s="15"/>
      <c r="F5" s="15"/>
      <c r="G5" s="15"/>
      <c r="H5" s="15"/>
      <c r="I5" s="15"/>
      <c r="J5" s="15"/>
      <c r="K5" s="25"/>
      <c r="L5" s="25"/>
      <c r="M5" s="26"/>
      <c r="N5" s="15"/>
      <c r="O5" s="15"/>
      <c r="P5" s="15"/>
      <c r="Q5" s="15"/>
      <c r="R5" s="15"/>
      <c r="S5" s="28">
        <f t="shared" si="0"/>
        <v>0</v>
      </c>
      <c r="T5" s="29">
        <f t="shared" si="1"/>
        <v>0</v>
      </c>
      <c r="U5" s="37"/>
    </row>
    <row r="6" spans="1:21" x14ac:dyDescent="0.35">
      <c r="A6" s="15">
        <v>2</v>
      </c>
      <c r="B6" s="50" t="s">
        <v>407</v>
      </c>
      <c r="C6" s="15"/>
      <c r="D6" s="15"/>
      <c r="E6" s="15"/>
      <c r="F6" s="15"/>
      <c r="G6" s="15"/>
      <c r="H6" s="15"/>
      <c r="I6" s="15"/>
      <c r="J6" s="15"/>
      <c r="K6" s="25"/>
      <c r="L6" s="25"/>
      <c r="M6" s="26"/>
      <c r="N6" s="15"/>
      <c r="O6" s="15"/>
      <c r="P6" s="15"/>
      <c r="Q6" s="15"/>
      <c r="R6" s="15"/>
      <c r="S6" s="28">
        <f t="shared" si="0"/>
        <v>0</v>
      </c>
      <c r="T6" s="29">
        <f t="shared" si="1"/>
        <v>0</v>
      </c>
      <c r="U6" s="37"/>
    </row>
    <row r="7" spans="1:21" x14ac:dyDescent="0.35">
      <c r="A7" s="15">
        <v>1</v>
      </c>
      <c r="B7" s="50" t="s">
        <v>286</v>
      </c>
      <c r="C7" s="15"/>
      <c r="D7" s="15"/>
      <c r="E7" s="15"/>
      <c r="F7" s="15"/>
      <c r="G7" s="15"/>
      <c r="H7" s="15"/>
      <c r="I7" s="15"/>
      <c r="J7" s="15"/>
      <c r="K7" s="25"/>
      <c r="L7" s="25"/>
      <c r="M7" s="26"/>
      <c r="N7" s="15"/>
      <c r="O7" s="15"/>
      <c r="P7" s="15"/>
      <c r="Q7" s="15"/>
      <c r="R7" s="15"/>
      <c r="S7" s="28">
        <f t="shared" si="0"/>
        <v>0</v>
      </c>
      <c r="T7" s="29">
        <f t="shared" si="1"/>
        <v>0</v>
      </c>
      <c r="U7" s="37"/>
    </row>
    <row r="8" spans="1:21" x14ac:dyDescent="0.35">
      <c r="A8" s="15">
        <v>1</v>
      </c>
      <c r="B8" s="50" t="s">
        <v>208</v>
      </c>
      <c r="C8" s="15"/>
      <c r="D8" s="15"/>
      <c r="E8" s="25"/>
      <c r="F8" s="25"/>
      <c r="G8" s="26"/>
      <c r="H8" s="15"/>
      <c r="I8" s="15"/>
      <c r="J8" s="15"/>
      <c r="K8" s="15"/>
      <c r="L8" s="15"/>
      <c r="M8" s="28"/>
      <c r="N8" s="15"/>
      <c r="O8" s="15"/>
      <c r="P8" s="15"/>
      <c r="Q8" s="15"/>
      <c r="R8" s="15"/>
      <c r="S8" s="28">
        <f t="shared" si="0"/>
        <v>0</v>
      </c>
      <c r="T8" s="29">
        <f t="shared" si="1"/>
        <v>0</v>
      </c>
      <c r="U8" s="37"/>
    </row>
    <row r="9" spans="1:21" x14ac:dyDescent="0.35">
      <c r="A9" s="15">
        <v>1</v>
      </c>
      <c r="B9" s="50" t="s">
        <v>207</v>
      </c>
      <c r="C9" s="15"/>
      <c r="D9" s="15"/>
      <c r="E9" s="25"/>
      <c r="F9" s="25"/>
      <c r="G9" s="26"/>
      <c r="H9" s="15"/>
      <c r="I9" s="15"/>
      <c r="J9" s="15"/>
      <c r="K9" s="15"/>
      <c r="L9" s="15"/>
      <c r="M9" s="28"/>
      <c r="N9" s="15"/>
      <c r="O9" s="15"/>
      <c r="P9" s="15"/>
      <c r="Q9" s="15"/>
      <c r="R9" s="15"/>
      <c r="S9" s="28">
        <f t="shared" si="0"/>
        <v>0</v>
      </c>
      <c r="T9" s="29">
        <f t="shared" si="1"/>
        <v>0</v>
      </c>
      <c r="U9" s="37"/>
    </row>
    <row r="10" spans="1:21" x14ac:dyDescent="0.35">
      <c r="A10" s="15">
        <v>1</v>
      </c>
      <c r="B10" s="50" t="s">
        <v>212</v>
      </c>
      <c r="C10" s="15"/>
      <c r="D10" s="15"/>
      <c r="E10" s="25"/>
      <c r="F10" s="25"/>
      <c r="G10" s="26"/>
      <c r="H10" s="15"/>
      <c r="I10" s="15"/>
      <c r="J10" s="15"/>
      <c r="K10" s="15"/>
      <c r="L10" s="15"/>
      <c r="M10" s="28"/>
      <c r="N10" s="15"/>
      <c r="O10" s="15"/>
      <c r="P10" s="15"/>
      <c r="Q10" s="15"/>
      <c r="R10" s="15"/>
      <c r="S10" s="28">
        <f t="shared" si="0"/>
        <v>0</v>
      </c>
      <c r="T10" s="29">
        <f t="shared" si="1"/>
        <v>0</v>
      </c>
      <c r="U10" s="37"/>
    </row>
    <row r="11" spans="1:21" x14ac:dyDescent="0.35">
      <c r="A11" s="15">
        <v>1</v>
      </c>
      <c r="B11" s="50" t="s">
        <v>230</v>
      </c>
      <c r="C11" s="15"/>
      <c r="D11" s="15"/>
      <c r="E11" s="15"/>
      <c r="F11" s="15"/>
      <c r="G11" s="15"/>
      <c r="H11" s="15"/>
      <c r="I11" s="15"/>
      <c r="J11" s="15"/>
      <c r="K11" s="25"/>
      <c r="L11" s="25"/>
      <c r="M11" s="26"/>
      <c r="N11" s="15"/>
      <c r="O11" s="15"/>
      <c r="P11" s="15"/>
      <c r="Q11" s="15"/>
      <c r="R11" s="15"/>
      <c r="S11" s="28">
        <f t="shared" si="0"/>
        <v>0</v>
      </c>
      <c r="T11" s="29">
        <f t="shared" si="1"/>
        <v>0</v>
      </c>
      <c r="U11" s="37"/>
    </row>
    <row r="12" spans="1:21" x14ac:dyDescent="0.35">
      <c r="A12" s="15">
        <v>1</v>
      </c>
      <c r="B12" s="50" t="s">
        <v>320</v>
      </c>
      <c r="C12" s="15"/>
      <c r="D12" s="15"/>
      <c r="E12" s="15"/>
      <c r="F12" s="15"/>
      <c r="G12" s="15"/>
      <c r="H12" s="15"/>
      <c r="I12" s="15"/>
      <c r="J12" s="15"/>
      <c r="K12" s="25"/>
      <c r="L12" s="25"/>
      <c r="M12" s="26"/>
      <c r="N12" s="15"/>
      <c r="O12" s="15"/>
      <c r="P12" s="15"/>
      <c r="Q12" s="15"/>
      <c r="R12" s="15"/>
      <c r="S12" s="28">
        <f t="shared" si="0"/>
        <v>0</v>
      </c>
      <c r="T12" s="29">
        <f t="shared" si="1"/>
        <v>0</v>
      </c>
      <c r="U12" s="37"/>
    </row>
    <row r="13" spans="1:21" x14ac:dyDescent="0.35">
      <c r="A13" s="15">
        <v>0</v>
      </c>
      <c r="B13" s="50" t="s">
        <v>486</v>
      </c>
      <c r="C13" s="15"/>
      <c r="D13" s="15"/>
      <c r="E13" s="15"/>
      <c r="F13" s="15"/>
      <c r="G13" s="15"/>
      <c r="H13" s="15"/>
      <c r="I13" s="15"/>
      <c r="J13" s="15"/>
      <c r="K13" s="25"/>
      <c r="L13" s="25"/>
      <c r="M13" s="26"/>
      <c r="N13" s="15"/>
      <c r="O13" s="15"/>
      <c r="P13" s="15"/>
      <c r="Q13" s="15"/>
      <c r="R13" s="15"/>
      <c r="S13" s="28">
        <f t="shared" si="0"/>
        <v>0</v>
      </c>
      <c r="T13" s="29">
        <f t="shared" si="1"/>
        <v>0</v>
      </c>
      <c r="U13" s="46"/>
    </row>
    <row r="14" spans="1:21" x14ac:dyDescent="0.35">
      <c r="A14" s="15">
        <v>0</v>
      </c>
      <c r="B14" s="50" t="s">
        <v>337</v>
      </c>
      <c r="C14" s="15"/>
      <c r="D14" s="15"/>
      <c r="E14" s="15"/>
      <c r="F14" s="15"/>
      <c r="G14" s="15"/>
      <c r="H14" s="15"/>
      <c r="I14" s="15"/>
      <c r="J14" s="15"/>
      <c r="K14" s="25"/>
      <c r="L14" s="25"/>
      <c r="M14" s="26"/>
      <c r="N14" s="15"/>
      <c r="O14" s="15"/>
      <c r="P14" s="15"/>
      <c r="Q14" s="15"/>
      <c r="R14" s="15"/>
      <c r="S14" s="28"/>
      <c r="T14" s="29"/>
      <c r="U14" s="46"/>
    </row>
    <row r="15" spans="1:21" x14ac:dyDescent="0.35">
      <c r="A15" s="15">
        <v>0</v>
      </c>
      <c r="B15" s="50" t="s">
        <v>211</v>
      </c>
      <c r="C15" s="15"/>
      <c r="D15" s="15"/>
      <c r="E15" s="15"/>
      <c r="F15" s="15"/>
      <c r="G15" s="15"/>
      <c r="H15" s="15"/>
      <c r="I15" s="15"/>
      <c r="J15" s="15"/>
      <c r="K15" s="25"/>
      <c r="L15" s="25"/>
      <c r="M15" s="26"/>
      <c r="N15" s="15"/>
      <c r="O15" s="15"/>
      <c r="P15" s="15"/>
      <c r="Q15" s="15"/>
      <c r="R15" s="15"/>
      <c r="S15" s="28">
        <f>R15+M15</f>
        <v>0</v>
      </c>
      <c r="T15" s="29">
        <f>S15*A15</f>
        <v>0</v>
      </c>
      <c r="U15" s="32">
        <v>43227</v>
      </c>
    </row>
    <row r="16" spans="1:21" x14ac:dyDescent="0.35">
      <c r="A16" s="15">
        <v>0</v>
      </c>
      <c r="B16" s="50" t="s">
        <v>213</v>
      </c>
      <c r="C16" s="15"/>
      <c r="D16" s="15"/>
      <c r="E16" s="25"/>
      <c r="F16" s="25"/>
      <c r="G16" s="26"/>
      <c r="H16" s="15"/>
      <c r="I16" s="15"/>
      <c r="J16" s="15"/>
      <c r="K16" s="15"/>
      <c r="L16" s="15"/>
      <c r="M16" s="28"/>
      <c r="N16" s="15"/>
      <c r="O16" s="15"/>
      <c r="P16" s="15"/>
      <c r="Q16" s="15"/>
      <c r="R16" s="15"/>
      <c r="S16" s="28">
        <f t="shared" ref="S16:S79" si="2">R16+M16</f>
        <v>0</v>
      </c>
      <c r="T16" s="29">
        <f t="shared" ref="T16:T79" si="3">S16*A16</f>
        <v>0</v>
      </c>
      <c r="U16" s="32"/>
    </row>
    <row r="17" spans="1:21" x14ac:dyDescent="0.35">
      <c r="A17" s="15">
        <v>0</v>
      </c>
      <c r="B17" s="50" t="s">
        <v>507</v>
      </c>
      <c r="C17" s="15"/>
      <c r="D17" s="15"/>
      <c r="E17" s="15"/>
      <c r="F17" s="15"/>
      <c r="G17" s="15"/>
      <c r="H17" s="15"/>
      <c r="I17" s="15"/>
      <c r="J17" s="15"/>
      <c r="K17" s="25"/>
      <c r="L17" s="25"/>
      <c r="M17" s="26"/>
      <c r="N17" s="15"/>
      <c r="O17" s="15"/>
      <c r="P17" s="15"/>
      <c r="Q17" s="15"/>
      <c r="R17" s="15"/>
      <c r="S17" s="28">
        <f t="shared" si="2"/>
        <v>0</v>
      </c>
      <c r="T17" s="29">
        <f t="shared" si="3"/>
        <v>0</v>
      </c>
      <c r="U17" s="32"/>
    </row>
    <row r="18" spans="1:21" x14ac:dyDescent="0.35">
      <c r="A18" s="15">
        <v>0</v>
      </c>
      <c r="B18" s="50" t="s">
        <v>411</v>
      </c>
      <c r="C18" s="15"/>
      <c r="D18" s="15"/>
      <c r="E18" s="15"/>
      <c r="F18" s="15"/>
      <c r="G18" s="15"/>
      <c r="H18" s="15"/>
      <c r="I18" s="15"/>
      <c r="J18" s="15"/>
      <c r="K18" s="25"/>
      <c r="L18" s="25"/>
      <c r="M18" s="26"/>
      <c r="N18" s="15"/>
      <c r="O18" s="15"/>
      <c r="P18" s="15"/>
      <c r="Q18" s="15"/>
      <c r="R18" s="15"/>
      <c r="S18" s="28">
        <f t="shared" si="2"/>
        <v>0</v>
      </c>
      <c r="T18" s="29">
        <f t="shared" si="3"/>
        <v>0</v>
      </c>
      <c r="U18" s="32"/>
    </row>
    <row r="19" spans="1:21" x14ac:dyDescent="0.35">
      <c r="A19" s="15">
        <v>0</v>
      </c>
      <c r="B19" s="50" t="s">
        <v>255</v>
      </c>
      <c r="C19" s="15"/>
      <c r="D19" s="15"/>
      <c r="E19" s="15"/>
      <c r="F19" s="15"/>
      <c r="G19" s="15"/>
      <c r="H19" s="15"/>
      <c r="I19" s="15"/>
      <c r="J19" s="15"/>
      <c r="K19" s="25"/>
      <c r="L19" s="25"/>
      <c r="M19" s="26"/>
      <c r="N19" s="15"/>
      <c r="O19" s="15"/>
      <c r="P19" s="15"/>
      <c r="Q19" s="15"/>
      <c r="R19" s="15"/>
      <c r="S19" s="28">
        <f t="shared" si="2"/>
        <v>0</v>
      </c>
      <c r="T19" s="29">
        <f t="shared" si="3"/>
        <v>0</v>
      </c>
      <c r="U19" s="32">
        <v>43227</v>
      </c>
    </row>
    <row r="20" spans="1:21" x14ac:dyDescent="0.35">
      <c r="A20" s="15">
        <v>0</v>
      </c>
      <c r="B20" s="50" t="s">
        <v>343</v>
      </c>
      <c r="C20" s="15"/>
      <c r="D20" s="15"/>
      <c r="E20" s="15"/>
      <c r="F20" s="15"/>
      <c r="G20" s="15"/>
      <c r="H20" s="15"/>
      <c r="I20" s="15"/>
      <c r="J20" s="15"/>
      <c r="K20" s="25"/>
      <c r="L20" s="25"/>
      <c r="M20" s="26"/>
      <c r="N20" s="15"/>
      <c r="O20" s="15"/>
      <c r="P20" s="15"/>
      <c r="Q20" s="15"/>
      <c r="R20" s="15"/>
      <c r="S20" s="28">
        <f t="shared" si="2"/>
        <v>0</v>
      </c>
      <c r="T20" s="29">
        <f t="shared" si="3"/>
        <v>0</v>
      </c>
      <c r="U20" s="32">
        <v>43227</v>
      </c>
    </row>
    <row r="21" spans="1:21" x14ac:dyDescent="0.35">
      <c r="A21" s="15">
        <v>0</v>
      </c>
      <c r="B21" s="50" t="s">
        <v>210</v>
      </c>
      <c r="C21" s="15"/>
      <c r="D21" s="15"/>
      <c r="E21" s="15"/>
      <c r="F21" s="15"/>
      <c r="G21" s="15"/>
      <c r="H21" s="15"/>
      <c r="I21" s="15"/>
      <c r="J21" s="15"/>
      <c r="K21" s="25"/>
      <c r="L21" s="25"/>
      <c r="M21" s="26"/>
      <c r="N21" s="15"/>
      <c r="O21" s="15"/>
      <c r="P21" s="15"/>
      <c r="Q21" s="15"/>
      <c r="R21" s="15"/>
      <c r="S21" s="28">
        <f t="shared" si="2"/>
        <v>0</v>
      </c>
      <c r="T21" s="29">
        <f t="shared" si="3"/>
        <v>0</v>
      </c>
      <c r="U21" s="32">
        <v>43227</v>
      </c>
    </row>
    <row r="22" spans="1:21" x14ac:dyDescent="0.35">
      <c r="A22" s="15">
        <v>0</v>
      </c>
      <c r="B22" s="50" t="s">
        <v>285</v>
      </c>
      <c r="C22" s="15"/>
      <c r="D22" s="15"/>
      <c r="E22" s="15"/>
      <c r="F22" s="15"/>
      <c r="G22" s="15"/>
      <c r="H22" s="15"/>
      <c r="I22" s="15"/>
      <c r="J22" s="15"/>
      <c r="K22" s="25"/>
      <c r="L22" s="25"/>
      <c r="M22" s="26"/>
      <c r="N22" s="15"/>
      <c r="O22" s="15"/>
      <c r="P22" s="15"/>
      <c r="Q22" s="15"/>
      <c r="R22" s="15"/>
      <c r="S22" s="28">
        <f t="shared" si="2"/>
        <v>0</v>
      </c>
      <c r="T22" s="29">
        <f t="shared" si="3"/>
        <v>0</v>
      </c>
      <c r="U22" s="32">
        <v>43227</v>
      </c>
    </row>
    <row r="23" spans="1:21" x14ac:dyDescent="0.35">
      <c r="A23" s="15">
        <v>0</v>
      </c>
      <c r="B23" s="50" t="s">
        <v>502</v>
      </c>
      <c r="C23" s="15"/>
      <c r="D23" s="15"/>
      <c r="E23" s="15"/>
      <c r="F23" s="15"/>
      <c r="G23" s="15"/>
      <c r="H23" s="15"/>
      <c r="I23" s="15"/>
      <c r="J23" s="15"/>
      <c r="K23" s="25"/>
      <c r="L23" s="25"/>
      <c r="M23" s="26"/>
      <c r="N23" s="15"/>
      <c r="O23" s="15"/>
      <c r="P23" s="15"/>
      <c r="Q23" s="15"/>
      <c r="R23" s="15"/>
      <c r="S23" s="28">
        <f t="shared" si="2"/>
        <v>0</v>
      </c>
      <c r="T23" s="29">
        <f t="shared" si="3"/>
        <v>0</v>
      </c>
      <c r="U23" s="32">
        <v>43227</v>
      </c>
    </row>
    <row r="24" spans="1:21" x14ac:dyDescent="0.35">
      <c r="A24" s="15">
        <v>0</v>
      </c>
      <c r="B24" s="50" t="s">
        <v>311</v>
      </c>
      <c r="C24" s="15"/>
      <c r="D24" s="15"/>
      <c r="E24" s="15"/>
      <c r="F24" s="15"/>
      <c r="G24" s="15"/>
      <c r="H24" s="15"/>
      <c r="I24" s="15"/>
      <c r="J24" s="15"/>
      <c r="K24" s="25"/>
      <c r="L24" s="25"/>
      <c r="M24" s="26"/>
      <c r="N24" s="15"/>
      <c r="O24" s="15"/>
      <c r="P24" s="15"/>
      <c r="Q24" s="15"/>
      <c r="R24" s="15"/>
      <c r="S24" s="28">
        <f t="shared" si="2"/>
        <v>0</v>
      </c>
      <c r="T24" s="29">
        <f t="shared" si="3"/>
        <v>0</v>
      </c>
      <c r="U24" s="32">
        <v>43227</v>
      </c>
    </row>
    <row r="25" spans="1:21" x14ac:dyDescent="0.35">
      <c r="A25" s="15">
        <v>0</v>
      </c>
      <c r="B25" s="51" t="s">
        <v>269</v>
      </c>
      <c r="C25" s="15"/>
      <c r="D25" s="15"/>
      <c r="E25" s="27"/>
      <c r="F25" s="15"/>
      <c r="G25" s="15"/>
      <c r="H25" s="15"/>
      <c r="I25" s="15"/>
      <c r="J25" s="15"/>
      <c r="K25" s="25"/>
      <c r="L25" s="25"/>
      <c r="M25" s="26"/>
      <c r="N25" s="15"/>
      <c r="O25" s="15"/>
      <c r="P25" s="15"/>
      <c r="Q25" s="15"/>
      <c r="R25" s="15"/>
      <c r="S25" s="28">
        <f t="shared" si="2"/>
        <v>0</v>
      </c>
      <c r="T25" s="29">
        <f t="shared" si="3"/>
        <v>0</v>
      </c>
      <c r="U25" s="32">
        <v>43227</v>
      </c>
    </row>
    <row r="26" spans="1:21" x14ac:dyDescent="0.35">
      <c r="A26" s="15">
        <v>0</v>
      </c>
      <c r="B26" s="50" t="s">
        <v>316</v>
      </c>
      <c r="C26" s="15"/>
      <c r="D26" s="15"/>
      <c r="E26" s="15"/>
      <c r="F26" s="15"/>
      <c r="G26" s="15"/>
      <c r="H26" s="15"/>
      <c r="I26" s="15"/>
      <c r="J26" s="15"/>
      <c r="K26" s="25"/>
      <c r="L26" s="25"/>
      <c r="M26" s="26"/>
      <c r="N26" s="15"/>
      <c r="O26" s="15"/>
      <c r="P26" s="15"/>
      <c r="Q26" s="15"/>
      <c r="R26" s="15"/>
      <c r="S26" s="28">
        <f t="shared" si="2"/>
        <v>0</v>
      </c>
      <c r="T26" s="29">
        <f t="shared" si="3"/>
        <v>0</v>
      </c>
      <c r="U26" s="32">
        <v>43227</v>
      </c>
    </row>
    <row r="27" spans="1:21" x14ac:dyDescent="0.35">
      <c r="A27" s="15">
        <v>0</v>
      </c>
      <c r="B27" s="50" t="s">
        <v>298</v>
      </c>
      <c r="C27" s="15"/>
      <c r="D27" s="15"/>
      <c r="E27" s="15"/>
      <c r="F27" s="15"/>
      <c r="G27" s="15"/>
      <c r="H27" s="15"/>
      <c r="I27" s="15"/>
      <c r="J27" s="15"/>
      <c r="K27" s="25"/>
      <c r="L27" s="25"/>
      <c r="M27" s="26"/>
      <c r="N27" s="15"/>
      <c r="O27" s="15"/>
      <c r="P27" s="15"/>
      <c r="Q27" s="15"/>
      <c r="R27" s="15"/>
      <c r="S27" s="28">
        <f t="shared" si="2"/>
        <v>0</v>
      </c>
      <c r="T27" s="29">
        <f t="shared" si="3"/>
        <v>0</v>
      </c>
      <c r="U27" s="32">
        <v>43227</v>
      </c>
    </row>
    <row r="28" spans="1:21" x14ac:dyDescent="0.35">
      <c r="A28" s="15">
        <v>0</v>
      </c>
      <c r="B28" s="50" t="s">
        <v>355</v>
      </c>
      <c r="C28" s="15"/>
      <c r="D28" s="15"/>
      <c r="E28" s="15"/>
      <c r="F28" s="15"/>
      <c r="G28" s="15"/>
      <c r="H28" s="15"/>
      <c r="I28" s="15"/>
      <c r="J28" s="15"/>
      <c r="K28" s="25"/>
      <c r="L28" s="25"/>
      <c r="M28" s="26"/>
      <c r="N28" s="15"/>
      <c r="O28" s="15"/>
      <c r="P28" s="15"/>
      <c r="Q28" s="15"/>
      <c r="R28" s="15"/>
      <c r="S28" s="28">
        <f t="shared" si="2"/>
        <v>0</v>
      </c>
      <c r="T28" s="29">
        <f t="shared" si="3"/>
        <v>0</v>
      </c>
      <c r="U28" s="32">
        <v>43227</v>
      </c>
    </row>
    <row r="29" spans="1:21" ht="14.25" customHeight="1" x14ac:dyDescent="0.35">
      <c r="A29" s="15">
        <v>0</v>
      </c>
      <c r="B29" s="50" t="s">
        <v>487</v>
      </c>
      <c r="C29" s="15"/>
      <c r="D29" s="15"/>
      <c r="E29" s="15"/>
      <c r="F29" s="15"/>
      <c r="G29" s="15"/>
      <c r="H29" s="15"/>
      <c r="I29" s="15"/>
      <c r="J29" s="15"/>
      <c r="K29" s="25"/>
      <c r="L29" s="25"/>
      <c r="M29" s="26"/>
      <c r="N29" s="15"/>
      <c r="O29" s="15"/>
      <c r="P29" s="15"/>
      <c r="Q29" s="15"/>
      <c r="R29" s="15"/>
      <c r="S29" s="28">
        <f t="shared" si="2"/>
        <v>0</v>
      </c>
      <c r="T29" s="29">
        <f t="shared" si="3"/>
        <v>0</v>
      </c>
      <c r="U29" s="32"/>
    </row>
    <row r="30" spans="1:21" x14ac:dyDescent="0.35">
      <c r="A30" s="15">
        <v>0</v>
      </c>
      <c r="B30" s="50" t="s">
        <v>260</v>
      </c>
      <c r="C30" s="15"/>
      <c r="D30" s="15"/>
      <c r="E30" s="15"/>
      <c r="F30" s="15"/>
      <c r="G30" s="15"/>
      <c r="H30" s="15"/>
      <c r="I30" s="15"/>
      <c r="J30" s="15"/>
      <c r="K30" s="25"/>
      <c r="L30" s="25"/>
      <c r="M30" s="26"/>
      <c r="N30" s="15"/>
      <c r="O30" s="15"/>
      <c r="P30" s="15"/>
      <c r="Q30" s="15"/>
      <c r="R30" s="15"/>
      <c r="S30" s="28">
        <f t="shared" si="2"/>
        <v>0</v>
      </c>
      <c r="T30" s="29">
        <f t="shared" si="3"/>
        <v>0</v>
      </c>
      <c r="U30" s="32"/>
    </row>
    <row r="31" spans="1:21" x14ac:dyDescent="0.35">
      <c r="A31" s="15">
        <v>0</v>
      </c>
      <c r="B31" s="50" t="s">
        <v>307</v>
      </c>
      <c r="C31" s="15"/>
      <c r="D31" s="15"/>
      <c r="E31" s="15"/>
      <c r="F31" s="15"/>
      <c r="G31" s="15"/>
      <c r="H31" s="15"/>
      <c r="I31" s="15"/>
      <c r="J31" s="15"/>
      <c r="K31" s="25"/>
      <c r="L31" s="25"/>
      <c r="M31" s="26"/>
      <c r="N31" s="15"/>
      <c r="O31" s="15"/>
      <c r="P31" s="15"/>
      <c r="Q31" s="15"/>
      <c r="R31" s="15"/>
      <c r="S31" s="28">
        <f t="shared" si="2"/>
        <v>0</v>
      </c>
      <c r="T31" s="29">
        <f t="shared" si="3"/>
        <v>0</v>
      </c>
      <c r="U31" s="32"/>
    </row>
    <row r="32" spans="1:21" x14ac:dyDescent="0.35">
      <c r="A32" s="15">
        <v>0</v>
      </c>
      <c r="B32" s="50" t="s">
        <v>509</v>
      </c>
      <c r="C32" s="15"/>
      <c r="D32" s="15"/>
      <c r="E32" s="15"/>
      <c r="F32" s="15"/>
      <c r="G32" s="15"/>
      <c r="H32" s="15"/>
      <c r="I32" s="15"/>
      <c r="J32" s="15"/>
      <c r="K32" s="25"/>
      <c r="L32" s="25"/>
      <c r="M32" s="26"/>
      <c r="N32" s="15"/>
      <c r="O32" s="15"/>
      <c r="P32" s="15"/>
      <c r="Q32" s="15"/>
      <c r="R32" s="15"/>
      <c r="S32" s="28">
        <f t="shared" si="2"/>
        <v>0</v>
      </c>
      <c r="T32" s="29">
        <f t="shared" si="3"/>
        <v>0</v>
      </c>
      <c r="U32" s="32"/>
    </row>
    <row r="33" spans="1:21" x14ac:dyDescent="0.35">
      <c r="A33" s="15">
        <v>0</v>
      </c>
      <c r="B33" s="50" t="s">
        <v>289</v>
      </c>
      <c r="C33" s="15"/>
      <c r="D33" s="15"/>
      <c r="E33" s="15"/>
      <c r="F33" s="15"/>
      <c r="G33" s="15"/>
      <c r="H33" s="15"/>
      <c r="I33" s="15"/>
      <c r="J33" s="15"/>
      <c r="K33" s="25"/>
      <c r="L33" s="25"/>
      <c r="M33" s="26"/>
      <c r="N33" s="15"/>
      <c r="O33" s="15"/>
      <c r="P33" s="15"/>
      <c r="Q33" s="15"/>
      <c r="R33" s="15"/>
      <c r="S33" s="28">
        <f t="shared" si="2"/>
        <v>0</v>
      </c>
      <c r="T33" s="29">
        <f t="shared" si="3"/>
        <v>0</v>
      </c>
      <c r="U33" s="32"/>
    </row>
    <row r="34" spans="1:21" x14ac:dyDescent="0.35">
      <c r="A34" s="15">
        <v>0</v>
      </c>
      <c r="B34" s="50" t="s">
        <v>472</v>
      </c>
      <c r="C34" s="15"/>
      <c r="D34" s="15"/>
      <c r="E34" s="15"/>
      <c r="F34" s="15"/>
      <c r="G34" s="15"/>
      <c r="H34" s="15"/>
      <c r="I34" s="15"/>
      <c r="J34" s="15"/>
      <c r="K34" s="25"/>
      <c r="L34" s="25"/>
      <c r="M34" s="26"/>
      <c r="N34" s="15"/>
      <c r="O34" s="15"/>
      <c r="P34" s="15"/>
      <c r="Q34" s="15"/>
      <c r="R34" s="15"/>
      <c r="S34" s="28">
        <f t="shared" si="2"/>
        <v>0</v>
      </c>
      <c r="T34" s="29">
        <f t="shared" si="3"/>
        <v>0</v>
      </c>
      <c r="U34" s="32"/>
    </row>
    <row r="35" spans="1:21" x14ac:dyDescent="0.35">
      <c r="A35" s="15">
        <v>0</v>
      </c>
      <c r="B35" s="50" t="s">
        <v>228</v>
      </c>
      <c r="C35" s="15"/>
      <c r="D35" s="15"/>
      <c r="E35" s="25"/>
      <c r="F35" s="25"/>
      <c r="G35" s="26"/>
      <c r="H35" s="15"/>
      <c r="I35" s="15"/>
      <c r="J35" s="15"/>
      <c r="K35" s="15"/>
      <c r="L35" s="15"/>
      <c r="M35" s="28"/>
      <c r="N35" s="15"/>
      <c r="O35" s="15"/>
      <c r="P35" s="15"/>
      <c r="Q35" s="15"/>
      <c r="R35" s="15"/>
      <c r="S35" s="28">
        <f t="shared" si="2"/>
        <v>0</v>
      </c>
      <c r="T35" s="29">
        <f t="shared" si="3"/>
        <v>0</v>
      </c>
      <c r="U35" s="32"/>
    </row>
    <row r="36" spans="1:21" x14ac:dyDescent="0.35">
      <c r="A36" s="15">
        <v>0</v>
      </c>
      <c r="B36" s="50" t="s">
        <v>471</v>
      </c>
      <c r="C36" s="15"/>
      <c r="D36" s="15"/>
      <c r="E36" s="15"/>
      <c r="F36" s="15"/>
      <c r="G36" s="15"/>
      <c r="H36" s="15"/>
      <c r="I36" s="15"/>
      <c r="J36" s="15"/>
      <c r="K36" s="25"/>
      <c r="L36" s="25"/>
      <c r="M36" s="26"/>
      <c r="N36" s="15"/>
      <c r="O36" s="15"/>
      <c r="P36" s="15"/>
      <c r="Q36" s="15"/>
      <c r="R36" s="15"/>
      <c r="S36" s="28">
        <f t="shared" si="2"/>
        <v>0</v>
      </c>
      <c r="T36" s="29">
        <f t="shared" si="3"/>
        <v>0</v>
      </c>
      <c r="U36" s="32"/>
    </row>
    <row r="37" spans="1:21" x14ac:dyDescent="0.35">
      <c r="A37" s="15">
        <v>0</v>
      </c>
      <c r="B37" s="50" t="s">
        <v>345</v>
      </c>
      <c r="C37" s="15"/>
      <c r="D37" s="15"/>
      <c r="E37" s="15"/>
      <c r="F37" s="15"/>
      <c r="G37" s="15"/>
      <c r="H37" s="15"/>
      <c r="I37" s="15"/>
      <c r="J37" s="15"/>
      <c r="K37" s="25"/>
      <c r="L37" s="25"/>
      <c r="M37" s="26"/>
      <c r="N37" s="15"/>
      <c r="O37" s="15"/>
      <c r="P37" s="15"/>
      <c r="Q37" s="15"/>
      <c r="R37" s="15"/>
      <c r="S37" s="28">
        <f t="shared" si="2"/>
        <v>0</v>
      </c>
      <c r="T37" s="29">
        <f t="shared" si="3"/>
        <v>0</v>
      </c>
      <c r="U37" s="32"/>
    </row>
    <row r="38" spans="1:21" x14ac:dyDescent="0.35">
      <c r="A38" s="15">
        <v>0</v>
      </c>
      <c r="B38" s="50" t="s">
        <v>530</v>
      </c>
      <c r="C38" s="15"/>
      <c r="D38" s="15"/>
      <c r="E38" s="15"/>
      <c r="F38" s="15"/>
      <c r="G38" s="15"/>
      <c r="H38" s="15"/>
      <c r="I38" s="15"/>
      <c r="J38" s="15"/>
      <c r="K38" s="25"/>
      <c r="L38" s="25"/>
      <c r="M38" s="26"/>
      <c r="N38" s="15"/>
      <c r="O38" s="15"/>
      <c r="P38" s="15"/>
      <c r="Q38" s="15"/>
      <c r="R38" s="15"/>
      <c r="S38" s="28">
        <f t="shared" si="2"/>
        <v>0</v>
      </c>
      <c r="T38" s="29">
        <f t="shared" si="3"/>
        <v>0</v>
      </c>
      <c r="U38" s="32"/>
    </row>
    <row r="39" spans="1:21" x14ac:dyDescent="0.35">
      <c r="A39" s="15">
        <v>0</v>
      </c>
      <c r="B39" s="50" t="s">
        <v>464</v>
      </c>
      <c r="C39" s="15"/>
      <c r="D39" s="15"/>
      <c r="E39" s="15"/>
      <c r="F39" s="15"/>
      <c r="G39" s="15"/>
      <c r="H39" s="15"/>
      <c r="I39" s="15"/>
      <c r="J39" s="15"/>
      <c r="K39" s="25"/>
      <c r="L39" s="25"/>
      <c r="M39" s="26"/>
      <c r="N39" s="15"/>
      <c r="O39" s="15"/>
      <c r="P39" s="15"/>
      <c r="Q39" s="15"/>
      <c r="R39" s="15"/>
      <c r="S39" s="28">
        <f t="shared" si="2"/>
        <v>0</v>
      </c>
      <c r="T39" s="29">
        <f t="shared" si="3"/>
        <v>0</v>
      </c>
      <c r="U39" s="32"/>
    </row>
    <row r="40" spans="1:21" x14ac:dyDescent="0.35">
      <c r="A40" s="15">
        <v>0</v>
      </c>
      <c r="B40" s="50" t="s">
        <v>249</v>
      </c>
      <c r="C40" s="15"/>
      <c r="D40" s="15"/>
      <c r="E40" s="15"/>
      <c r="F40" s="15"/>
      <c r="G40" s="15"/>
      <c r="H40" s="15"/>
      <c r="I40" s="15"/>
      <c r="J40" s="15"/>
      <c r="K40" s="25"/>
      <c r="L40" s="25"/>
      <c r="M40" s="26"/>
      <c r="N40" s="15"/>
      <c r="O40" s="15"/>
      <c r="P40" s="15"/>
      <c r="Q40" s="15"/>
      <c r="R40" s="15"/>
      <c r="S40" s="28">
        <f t="shared" si="2"/>
        <v>0</v>
      </c>
      <c r="T40" s="29">
        <f t="shared" si="3"/>
        <v>0</v>
      </c>
      <c r="U40" s="32"/>
    </row>
    <row r="41" spans="1:21" x14ac:dyDescent="0.35">
      <c r="A41" s="15">
        <v>0</v>
      </c>
      <c r="B41" s="50" t="s">
        <v>306</v>
      </c>
      <c r="C41" s="15"/>
      <c r="D41" s="15"/>
      <c r="E41" s="15"/>
      <c r="F41" s="15"/>
      <c r="G41" s="15"/>
      <c r="H41" s="15"/>
      <c r="I41" s="15"/>
      <c r="J41" s="15"/>
      <c r="K41" s="25"/>
      <c r="L41" s="25"/>
      <c r="M41" s="26"/>
      <c r="N41" s="15"/>
      <c r="O41" s="15"/>
      <c r="P41" s="15"/>
      <c r="Q41" s="15"/>
      <c r="R41" s="15"/>
      <c r="S41" s="28">
        <f t="shared" si="2"/>
        <v>0</v>
      </c>
      <c r="T41" s="29">
        <f t="shared" si="3"/>
        <v>0</v>
      </c>
      <c r="U41" s="32"/>
    </row>
    <row r="42" spans="1:21" x14ac:dyDescent="0.35">
      <c r="A42" s="15">
        <v>0</v>
      </c>
      <c r="B42" s="50" t="s">
        <v>321</v>
      </c>
      <c r="C42" s="15"/>
      <c r="D42" s="15"/>
      <c r="E42" s="15"/>
      <c r="F42" s="15"/>
      <c r="G42" s="15"/>
      <c r="H42" s="15"/>
      <c r="I42" s="15"/>
      <c r="J42" s="15"/>
      <c r="K42" s="25"/>
      <c r="L42" s="25"/>
      <c r="M42" s="26"/>
      <c r="N42" s="15"/>
      <c r="O42" s="15"/>
      <c r="P42" s="15"/>
      <c r="Q42" s="15"/>
      <c r="R42" s="15"/>
      <c r="S42" s="28">
        <f t="shared" si="2"/>
        <v>0</v>
      </c>
      <c r="T42" s="29">
        <f t="shared" si="3"/>
        <v>0</v>
      </c>
      <c r="U42" s="32"/>
    </row>
    <row r="43" spans="1:21" x14ac:dyDescent="0.35">
      <c r="A43" s="15">
        <v>0</v>
      </c>
      <c r="B43" s="50" t="s">
        <v>229</v>
      </c>
      <c r="C43" s="15"/>
      <c r="D43" s="15"/>
      <c r="E43" s="25"/>
      <c r="F43" s="25"/>
      <c r="G43" s="26"/>
      <c r="H43" s="15"/>
      <c r="I43" s="15"/>
      <c r="J43" s="15"/>
      <c r="K43" s="15"/>
      <c r="L43" s="15"/>
      <c r="M43" s="28"/>
      <c r="N43" s="15"/>
      <c r="O43" s="15"/>
      <c r="P43" s="15"/>
      <c r="Q43" s="15"/>
      <c r="R43" s="15"/>
      <c r="S43" s="28">
        <f t="shared" si="2"/>
        <v>0</v>
      </c>
      <c r="T43" s="29">
        <f t="shared" si="3"/>
        <v>0</v>
      </c>
      <c r="U43" s="32"/>
    </row>
    <row r="44" spans="1:21" x14ac:dyDescent="0.35">
      <c r="A44" s="38">
        <v>0</v>
      </c>
      <c r="B44" s="50" t="s">
        <v>205</v>
      </c>
      <c r="C44" s="38"/>
      <c r="D44" s="35"/>
      <c r="E44" s="36"/>
      <c r="F44" s="36"/>
      <c r="G44" s="36"/>
      <c r="H44" s="36"/>
      <c r="I44" s="36"/>
      <c r="J44" s="36"/>
      <c r="K44" s="36"/>
      <c r="L44" s="36"/>
      <c r="M44" s="36"/>
      <c r="N44" s="15"/>
      <c r="O44" s="15"/>
      <c r="P44" s="15"/>
      <c r="Q44" s="15"/>
      <c r="R44" s="15"/>
      <c r="S44" s="28">
        <f t="shared" si="2"/>
        <v>0</v>
      </c>
      <c r="T44" s="29">
        <f t="shared" si="3"/>
        <v>0</v>
      </c>
      <c r="U44" s="32"/>
    </row>
    <row r="45" spans="1:21" x14ac:dyDescent="0.35">
      <c r="A45" s="15">
        <v>0</v>
      </c>
      <c r="B45" s="15" t="s">
        <v>204</v>
      </c>
      <c r="C45" s="15"/>
      <c r="D45" s="15"/>
      <c r="E45" s="25"/>
      <c r="F45" s="25"/>
      <c r="G45" s="26"/>
      <c r="H45" s="15"/>
      <c r="I45" s="15"/>
      <c r="J45" s="15"/>
      <c r="K45" s="15"/>
      <c r="L45" s="15"/>
      <c r="M45" s="28"/>
      <c r="N45" s="15"/>
      <c r="O45" s="15"/>
      <c r="P45" s="15"/>
      <c r="Q45" s="15"/>
      <c r="R45" s="15"/>
      <c r="S45" s="28">
        <f t="shared" si="2"/>
        <v>0</v>
      </c>
      <c r="T45" s="29">
        <f t="shared" si="3"/>
        <v>0</v>
      </c>
      <c r="U45" s="32"/>
    </row>
    <row r="46" spans="1:21" x14ac:dyDescent="0.35">
      <c r="A46" s="15">
        <v>0</v>
      </c>
      <c r="B46" s="50" t="s">
        <v>297</v>
      </c>
      <c r="C46" s="15"/>
      <c r="D46" s="15"/>
      <c r="E46" s="15"/>
      <c r="F46" s="15"/>
      <c r="G46" s="15"/>
      <c r="H46" s="15"/>
      <c r="I46" s="15"/>
      <c r="J46" s="15"/>
      <c r="K46" s="25"/>
      <c r="L46" s="25"/>
      <c r="M46" s="26"/>
      <c r="N46" s="15"/>
      <c r="O46" s="15"/>
      <c r="P46" s="15"/>
      <c r="Q46" s="15"/>
      <c r="R46" s="15"/>
      <c r="S46" s="28">
        <f t="shared" si="2"/>
        <v>0</v>
      </c>
      <c r="T46" s="29">
        <f t="shared" si="3"/>
        <v>0</v>
      </c>
      <c r="U46" s="32"/>
    </row>
    <row r="47" spans="1:21" x14ac:dyDescent="0.35">
      <c r="A47" s="15">
        <v>0</v>
      </c>
      <c r="B47" s="50" t="s">
        <v>302</v>
      </c>
      <c r="C47" s="15"/>
      <c r="D47" s="15"/>
      <c r="E47" s="25"/>
      <c r="F47" s="25"/>
      <c r="G47" s="26"/>
      <c r="H47" s="15"/>
      <c r="I47" s="15"/>
      <c r="J47" s="15"/>
      <c r="K47" s="15"/>
      <c r="L47" s="15"/>
      <c r="M47" s="28"/>
      <c r="N47" s="15"/>
      <c r="O47" s="15"/>
      <c r="P47" s="15"/>
      <c r="Q47" s="15"/>
      <c r="R47" s="15"/>
      <c r="S47" s="28">
        <f t="shared" si="2"/>
        <v>0</v>
      </c>
      <c r="T47" s="29">
        <f t="shared" si="3"/>
        <v>0</v>
      </c>
      <c r="U47" s="32"/>
    </row>
    <row r="48" spans="1:21" x14ac:dyDescent="0.35">
      <c r="A48" s="15">
        <v>0</v>
      </c>
      <c r="B48" s="15" t="s">
        <v>203</v>
      </c>
      <c r="C48" s="15"/>
      <c r="D48" s="15"/>
      <c r="E48" s="25"/>
      <c r="F48" s="25"/>
      <c r="G48" s="26"/>
      <c r="H48" s="15"/>
      <c r="I48" s="15"/>
      <c r="J48" s="15"/>
      <c r="K48" s="15"/>
      <c r="L48" s="15"/>
      <c r="M48" s="28"/>
      <c r="N48" s="15"/>
      <c r="O48" s="15"/>
      <c r="P48" s="15"/>
      <c r="Q48" s="15"/>
      <c r="R48" s="15"/>
      <c r="S48" s="28">
        <f t="shared" si="2"/>
        <v>0</v>
      </c>
      <c r="T48" s="29">
        <f t="shared" si="3"/>
        <v>0</v>
      </c>
      <c r="U48" s="32"/>
    </row>
    <row r="49" spans="1:21" x14ac:dyDescent="0.35">
      <c r="A49" s="15">
        <v>0</v>
      </c>
      <c r="B49" s="50" t="s">
        <v>206</v>
      </c>
      <c r="C49" s="15"/>
      <c r="D49" s="15"/>
      <c r="E49" s="25"/>
      <c r="F49" s="25"/>
      <c r="G49" s="26"/>
      <c r="H49" s="15"/>
      <c r="I49" s="15"/>
      <c r="J49" s="15"/>
      <c r="K49" s="15"/>
      <c r="L49" s="15"/>
      <c r="M49" s="28"/>
      <c r="N49" s="15"/>
      <c r="O49" s="15"/>
      <c r="P49" s="15"/>
      <c r="Q49" s="15"/>
      <c r="R49" s="15"/>
      <c r="S49" s="28">
        <f t="shared" si="2"/>
        <v>0</v>
      </c>
      <c r="T49" s="29">
        <f t="shared" si="3"/>
        <v>0</v>
      </c>
      <c r="U49" s="32"/>
    </row>
    <row r="50" spans="1:21" x14ac:dyDescent="0.35">
      <c r="A50" s="15">
        <v>0</v>
      </c>
      <c r="B50" s="50" t="s">
        <v>209</v>
      </c>
      <c r="C50" s="15"/>
      <c r="D50" s="15"/>
      <c r="E50" s="15"/>
      <c r="F50" s="15"/>
      <c r="G50" s="15"/>
      <c r="H50" s="15"/>
      <c r="I50" s="15"/>
      <c r="J50" s="15"/>
      <c r="K50" s="25"/>
      <c r="L50" s="25"/>
      <c r="M50" s="26"/>
      <c r="N50" s="15"/>
      <c r="O50" s="15"/>
      <c r="P50" s="15"/>
      <c r="Q50" s="15"/>
      <c r="R50" s="15"/>
      <c r="S50" s="28">
        <f t="shared" si="2"/>
        <v>0</v>
      </c>
      <c r="T50" s="29">
        <f t="shared" si="3"/>
        <v>0</v>
      </c>
      <c r="U50" s="32"/>
    </row>
    <row r="51" spans="1:21" x14ac:dyDescent="0.35">
      <c r="A51" s="15">
        <v>0</v>
      </c>
      <c r="B51" s="50" t="s">
        <v>214</v>
      </c>
      <c r="C51" s="15"/>
      <c r="D51" s="15"/>
      <c r="E51" s="25"/>
      <c r="F51" s="25"/>
      <c r="G51" s="26"/>
      <c r="H51" s="15"/>
      <c r="I51" s="15"/>
      <c r="J51" s="15"/>
      <c r="K51" s="15"/>
      <c r="L51" s="15"/>
      <c r="M51" s="28"/>
      <c r="N51" s="15"/>
      <c r="O51" s="15"/>
      <c r="P51" s="15"/>
      <c r="Q51" s="15"/>
      <c r="R51" s="15"/>
      <c r="S51" s="28">
        <f t="shared" si="2"/>
        <v>0</v>
      </c>
      <c r="T51" s="29">
        <f t="shared" si="3"/>
        <v>0</v>
      </c>
      <c r="U51" s="32"/>
    </row>
    <row r="52" spans="1:21" x14ac:dyDescent="0.35">
      <c r="A52" s="15">
        <v>0</v>
      </c>
      <c r="B52" s="50" t="s">
        <v>215</v>
      </c>
      <c r="C52" s="15"/>
      <c r="D52" s="15"/>
      <c r="E52" s="25"/>
      <c r="F52" s="25"/>
      <c r="G52" s="26"/>
      <c r="H52" s="15"/>
      <c r="I52" s="15"/>
      <c r="J52" s="15"/>
      <c r="K52" s="15"/>
      <c r="L52" s="15"/>
      <c r="M52" s="28"/>
      <c r="N52" s="15"/>
      <c r="O52" s="15"/>
      <c r="P52" s="15"/>
      <c r="Q52" s="15"/>
      <c r="R52" s="15"/>
      <c r="S52" s="28">
        <f t="shared" si="2"/>
        <v>0</v>
      </c>
      <c r="T52" s="29">
        <f t="shared" si="3"/>
        <v>0</v>
      </c>
      <c r="U52" s="32"/>
    </row>
    <row r="53" spans="1:21" x14ac:dyDescent="0.35">
      <c r="A53" s="15">
        <v>0</v>
      </c>
      <c r="B53" s="50" t="s">
        <v>216</v>
      </c>
      <c r="C53" s="15"/>
      <c r="D53" s="15"/>
      <c r="E53" s="15"/>
      <c r="F53" s="15"/>
      <c r="G53" s="15"/>
      <c r="H53" s="15"/>
      <c r="I53" s="15"/>
      <c r="J53" s="15"/>
      <c r="K53" s="25"/>
      <c r="L53" s="25"/>
      <c r="M53" s="26"/>
      <c r="N53" s="15"/>
      <c r="O53" s="15"/>
      <c r="P53" s="15"/>
      <c r="Q53" s="15"/>
      <c r="R53" s="15"/>
      <c r="S53" s="28">
        <f t="shared" si="2"/>
        <v>0</v>
      </c>
      <c r="T53" s="29">
        <f t="shared" si="3"/>
        <v>0</v>
      </c>
      <c r="U53" s="32"/>
    </row>
    <row r="54" spans="1:21" x14ac:dyDescent="0.35">
      <c r="A54" s="38">
        <v>0</v>
      </c>
      <c r="B54" s="50" t="s">
        <v>217</v>
      </c>
      <c r="C54" s="38"/>
      <c r="D54" s="38"/>
      <c r="E54" s="27"/>
      <c r="F54" s="27"/>
      <c r="G54" s="27"/>
      <c r="H54" s="27"/>
      <c r="I54" s="27"/>
      <c r="J54" s="27"/>
      <c r="K54" s="25"/>
      <c r="L54" s="25"/>
      <c r="M54" s="26"/>
      <c r="N54" s="15"/>
      <c r="O54" s="15"/>
      <c r="P54" s="15"/>
      <c r="Q54" s="15"/>
      <c r="R54" s="15"/>
      <c r="S54" s="28">
        <f t="shared" si="2"/>
        <v>0</v>
      </c>
      <c r="T54" s="29">
        <f t="shared" si="3"/>
        <v>0</v>
      </c>
      <c r="U54" s="32"/>
    </row>
    <row r="55" spans="1:21" x14ac:dyDescent="0.35">
      <c r="A55" s="15">
        <v>0</v>
      </c>
      <c r="B55" s="50" t="s">
        <v>218</v>
      </c>
      <c r="C55" s="15"/>
      <c r="D55" s="15"/>
      <c r="E55" s="15"/>
      <c r="F55" s="15"/>
      <c r="G55" s="15"/>
      <c r="H55" s="15"/>
      <c r="I55" s="15"/>
      <c r="J55" s="15"/>
      <c r="K55" s="25"/>
      <c r="L55" s="25"/>
      <c r="M55" s="26"/>
      <c r="N55" s="15"/>
      <c r="O55" s="15"/>
      <c r="P55" s="15"/>
      <c r="Q55" s="15"/>
      <c r="R55" s="15"/>
      <c r="S55" s="28">
        <f t="shared" si="2"/>
        <v>0</v>
      </c>
      <c r="T55" s="29">
        <f t="shared" si="3"/>
        <v>0</v>
      </c>
      <c r="U55" s="32"/>
    </row>
    <row r="56" spans="1:21" x14ac:dyDescent="0.35">
      <c r="A56" s="15">
        <v>0</v>
      </c>
      <c r="B56" s="50" t="s">
        <v>219</v>
      </c>
      <c r="C56" s="15"/>
      <c r="D56" s="15"/>
      <c r="E56" s="25"/>
      <c r="F56" s="25"/>
      <c r="G56" s="26"/>
      <c r="H56" s="15"/>
      <c r="I56" s="15"/>
      <c r="J56" s="15"/>
      <c r="K56" s="15"/>
      <c r="L56" s="15"/>
      <c r="M56" s="28"/>
      <c r="N56" s="15"/>
      <c r="O56" s="15"/>
      <c r="P56" s="15"/>
      <c r="Q56" s="15"/>
      <c r="R56" s="15"/>
      <c r="S56" s="28">
        <f t="shared" si="2"/>
        <v>0</v>
      </c>
      <c r="T56" s="29">
        <f t="shared" si="3"/>
        <v>0</v>
      </c>
      <c r="U56" s="32"/>
    </row>
    <row r="57" spans="1:21" x14ac:dyDescent="0.35">
      <c r="A57" s="15">
        <v>0</v>
      </c>
      <c r="B57" s="50" t="s">
        <v>220</v>
      </c>
      <c r="C57" s="15"/>
      <c r="D57" s="15"/>
      <c r="E57" s="25"/>
      <c r="F57" s="25"/>
      <c r="G57" s="26"/>
      <c r="H57" s="15"/>
      <c r="I57" s="15"/>
      <c r="J57" s="15"/>
      <c r="K57" s="15"/>
      <c r="L57" s="15"/>
      <c r="M57" s="28"/>
      <c r="N57" s="15"/>
      <c r="O57" s="15"/>
      <c r="P57" s="15"/>
      <c r="Q57" s="15"/>
      <c r="R57" s="15"/>
      <c r="S57" s="28">
        <f t="shared" si="2"/>
        <v>0</v>
      </c>
      <c r="T57" s="29">
        <f t="shared" si="3"/>
        <v>0</v>
      </c>
      <c r="U57" s="32"/>
    </row>
    <row r="58" spans="1:21" x14ac:dyDescent="0.35">
      <c r="A58" s="15">
        <v>0</v>
      </c>
      <c r="B58" s="50" t="s">
        <v>221</v>
      </c>
      <c r="C58" s="15"/>
      <c r="D58" s="15"/>
      <c r="E58" s="15"/>
      <c r="F58" s="15"/>
      <c r="G58" s="15"/>
      <c r="H58" s="15"/>
      <c r="I58" s="15"/>
      <c r="J58" s="15"/>
      <c r="K58" s="25"/>
      <c r="L58" s="25"/>
      <c r="M58" s="26"/>
      <c r="N58" s="15"/>
      <c r="O58" s="15"/>
      <c r="P58" s="15"/>
      <c r="Q58" s="15"/>
      <c r="R58" s="15"/>
      <c r="S58" s="28">
        <f t="shared" si="2"/>
        <v>0</v>
      </c>
      <c r="T58" s="29">
        <f t="shared" si="3"/>
        <v>0</v>
      </c>
      <c r="U58" s="32"/>
    </row>
    <row r="59" spans="1:21" x14ac:dyDescent="0.35">
      <c r="A59" s="15">
        <v>0</v>
      </c>
      <c r="B59" s="50" t="s">
        <v>222</v>
      </c>
      <c r="C59" s="15"/>
      <c r="D59" s="15"/>
      <c r="E59" s="15"/>
      <c r="F59" s="15"/>
      <c r="G59" s="15"/>
      <c r="H59" s="15"/>
      <c r="I59" s="15"/>
      <c r="J59" s="15"/>
      <c r="K59" s="25"/>
      <c r="L59" s="25"/>
      <c r="M59" s="26"/>
      <c r="N59" s="15"/>
      <c r="O59" s="15"/>
      <c r="P59" s="15"/>
      <c r="Q59" s="15"/>
      <c r="R59" s="15"/>
      <c r="S59" s="28">
        <f t="shared" si="2"/>
        <v>0</v>
      </c>
      <c r="T59" s="29">
        <f t="shared" si="3"/>
        <v>0</v>
      </c>
      <c r="U59" s="32"/>
    </row>
    <row r="60" spans="1:21" x14ac:dyDescent="0.35">
      <c r="A60" s="38">
        <v>0</v>
      </c>
      <c r="B60" s="50" t="s">
        <v>223</v>
      </c>
      <c r="C60" s="38"/>
      <c r="D60" s="35"/>
      <c r="E60" s="36"/>
      <c r="F60" s="36"/>
      <c r="G60" s="36"/>
      <c r="H60" s="36"/>
      <c r="I60" s="36"/>
      <c r="J60" s="36"/>
      <c r="K60" s="36"/>
      <c r="L60" s="36"/>
      <c r="M60" s="36"/>
      <c r="N60" s="15"/>
      <c r="O60" s="15"/>
      <c r="P60" s="15"/>
      <c r="Q60" s="15"/>
      <c r="R60" s="15"/>
      <c r="S60" s="28">
        <f t="shared" si="2"/>
        <v>0</v>
      </c>
      <c r="T60" s="29">
        <f t="shared" si="3"/>
        <v>0</v>
      </c>
      <c r="U60" s="32"/>
    </row>
    <row r="61" spans="1:21" x14ac:dyDescent="0.35">
      <c r="A61" s="38">
        <v>0</v>
      </c>
      <c r="B61" s="50" t="s">
        <v>224</v>
      </c>
      <c r="C61" s="38"/>
      <c r="D61" s="38"/>
      <c r="E61" s="27"/>
      <c r="F61" s="27"/>
      <c r="G61" s="27"/>
      <c r="H61" s="27"/>
      <c r="I61" s="27"/>
      <c r="J61" s="27"/>
      <c r="K61" s="25"/>
      <c r="L61" s="25"/>
      <c r="M61" s="26"/>
      <c r="N61" s="15"/>
      <c r="O61" s="15"/>
      <c r="P61" s="15"/>
      <c r="Q61" s="15"/>
      <c r="R61" s="15"/>
      <c r="S61" s="28">
        <f t="shared" si="2"/>
        <v>0</v>
      </c>
      <c r="T61" s="29">
        <f t="shared" si="3"/>
        <v>0</v>
      </c>
      <c r="U61" s="32"/>
    </row>
    <row r="62" spans="1:21" x14ac:dyDescent="0.35">
      <c r="A62" s="15">
        <v>0</v>
      </c>
      <c r="B62" s="50" t="s">
        <v>225</v>
      </c>
      <c r="C62" s="15"/>
      <c r="D62" s="15"/>
      <c r="E62" s="25"/>
      <c r="F62" s="25"/>
      <c r="G62" s="26"/>
      <c r="H62" s="15"/>
      <c r="I62" s="15"/>
      <c r="J62" s="15"/>
      <c r="K62" s="15"/>
      <c r="L62" s="15"/>
      <c r="M62" s="28"/>
      <c r="N62" s="15"/>
      <c r="O62" s="15"/>
      <c r="P62" s="15"/>
      <c r="Q62" s="15"/>
      <c r="R62" s="15"/>
      <c r="S62" s="28">
        <f t="shared" si="2"/>
        <v>0</v>
      </c>
      <c r="T62" s="29">
        <f t="shared" si="3"/>
        <v>0</v>
      </c>
      <c r="U62" s="32"/>
    </row>
    <row r="63" spans="1:21" x14ac:dyDescent="0.35">
      <c r="A63" s="15">
        <v>0</v>
      </c>
      <c r="B63" s="50" t="s">
        <v>226</v>
      </c>
      <c r="C63" s="15"/>
      <c r="D63" s="15"/>
      <c r="E63" s="15"/>
      <c r="F63" s="15"/>
      <c r="G63" s="15"/>
      <c r="H63" s="15"/>
      <c r="I63" s="15"/>
      <c r="J63" s="15"/>
      <c r="K63" s="25"/>
      <c r="L63" s="25"/>
      <c r="M63" s="26"/>
      <c r="N63" s="15"/>
      <c r="O63" s="15"/>
      <c r="P63" s="15"/>
      <c r="Q63" s="15"/>
      <c r="R63" s="15"/>
      <c r="S63" s="28">
        <f t="shared" si="2"/>
        <v>0</v>
      </c>
      <c r="T63" s="29">
        <f t="shared" si="3"/>
        <v>0</v>
      </c>
      <c r="U63" s="32"/>
    </row>
    <row r="64" spans="1:21" x14ac:dyDescent="0.35">
      <c r="A64" s="38">
        <v>0</v>
      </c>
      <c r="B64" s="50" t="s">
        <v>227</v>
      </c>
      <c r="C64" s="38"/>
      <c r="D64" s="38"/>
      <c r="E64" s="27"/>
      <c r="F64" s="27"/>
      <c r="G64" s="27"/>
      <c r="H64" s="27"/>
      <c r="I64" s="27"/>
      <c r="J64" s="27"/>
      <c r="K64" s="25"/>
      <c r="L64" s="25"/>
      <c r="M64" s="26"/>
      <c r="N64" s="15"/>
      <c r="O64" s="15"/>
      <c r="P64" s="15"/>
      <c r="Q64" s="15"/>
      <c r="R64" s="15"/>
      <c r="S64" s="28">
        <f t="shared" si="2"/>
        <v>0</v>
      </c>
      <c r="T64" s="29">
        <f t="shared" si="3"/>
        <v>0</v>
      </c>
      <c r="U64" s="32"/>
    </row>
    <row r="65" spans="1:21" x14ac:dyDescent="0.35">
      <c r="A65" s="15">
        <v>0</v>
      </c>
      <c r="B65" s="50" t="s">
        <v>231</v>
      </c>
      <c r="C65" s="15"/>
      <c r="D65" s="15"/>
      <c r="E65" s="15"/>
      <c r="F65" s="15"/>
      <c r="G65" s="15"/>
      <c r="H65" s="15"/>
      <c r="I65" s="15"/>
      <c r="J65" s="15"/>
      <c r="K65" s="25"/>
      <c r="L65" s="25"/>
      <c r="M65" s="26"/>
      <c r="N65" s="15"/>
      <c r="O65" s="15"/>
      <c r="P65" s="15"/>
      <c r="Q65" s="15"/>
      <c r="R65" s="15"/>
      <c r="S65" s="28">
        <f t="shared" si="2"/>
        <v>0</v>
      </c>
      <c r="T65" s="29">
        <f t="shared" si="3"/>
        <v>0</v>
      </c>
      <c r="U65" s="32"/>
    </row>
    <row r="66" spans="1:21" x14ac:dyDescent="0.35">
      <c r="A66" s="15">
        <v>0</v>
      </c>
      <c r="B66" s="50" t="s">
        <v>232</v>
      </c>
      <c r="C66" s="15"/>
      <c r="D66" s="15"/>
      <c r="E66" s="15"/>
      <c r="F66" s="15"/>
      <c r="G66" s="15"/>
      <c r="H66" s="15"/>
      <c r="I66" s="15"/>
      <c r="J66" s="15"/>
      <c r="K66" s="25"/>
      <c r="L66" s="25"/>
      <c r="M66" s="26"/>
      <c r="N66" s="15"/>
      <c r="O66" s="15"/>
      <c r="P66" s="15"/>
      <c r="Q66" s="15"/>
      <c r="R66" s="15"/>
      <c r="S66" s="28">
        <f t="shared" si="2"/>
        <v>0</v>
      </c>
      <c r="T66" s="29">
        <f t="shared" si="3"/>
        <v>0</v>
      </c>
      <c r="U66" s="32"/>
    </row>
    <row r="67" spans="1:21" x14ac:dyDescent="0.35">
      <c r="A67" s="38">
        <v>0</v>
      </c>
      <c r="B67" s="50" t="s">
        <v>233</v>
      </c>
      <c r="C67" s="38"/>
      <c r="D67" s="38"/>
      <c r="E67" s="27"/>
      <c r="F67" s="27"/>
      <c r="G67" s="27"/>
      <c r="H67" s="27"/>
      <c r="I67" s="27"/>
      <c r="J67" s="27"/>
      <c r="K67" s="25"/>
      <c r="L67" s="25"/>
      <c r="M67" s="26"/>
      <c r="N67" s="15"/>
      <c r="O67" s="15"/>
      <c r="P67" s="15"/>
      <c r="Q67" s="15"/>
      <c r="R67" s="15"/>
      <c r="S67" s="28">
        <f t="shared" si="2"/>
        <v>0</v>
      </c>
      <c r="T67" s="29">
        <f t="shared" si="3"/>
        <v>0</v>
      </c>
      <c r="U67" s="32"/>
    </row>
    <row r="68" spans="1:21" x14ac:dyDescent="0.35">
      <c r="A68" s="38">
        <v>0</v>
      </c>
      <c r="B68" s="50" t="s">
        <v>234</v>
      </c>
      <c r="C68" s="38"/>
      <c r="D68" s="38"/>
      <c r="E68" s="27"/>
      <c r="F68" s="27"/>
      <c r="G68" s="27"/>
      <c r="H68" s="27"/>
      <c r="I68" s="27"/>
      <c r="J68" s="27"/>
      <c r="K68" s="25"/>
      <c r="L68" s="25"/>
      <c r="M68" s="26"/>
      <c r="N68" s="15"/>
      <c r="O68" s="15"/>
      <c r="P68" s="15"/>
      <c r="Q68" s="15"/>
      <c r="R68" s="15"/>
      <c r="S68" s="28">
        <f t="shared" si="2"/>
        <v>0</v>
      </c>
      <c r="T68" s="29">
        <f t="shared" si="3"/>
        <v>0</v>
      </c>
      <c r="U68" s="32"/>
    </row>
    <row r="69" spans="1:21" x14ac:dyDescent="0.35">
      <c r="A69" s="38">
        <v>0</v>
      </c>
      <c r="B69" s="50" t="s">
        <v>235</v>
      </c>
      <c r="C69" s="38"/>
      <c r="D69" s="38"/>
      <c r="E69" s="27"/>
      <c r="F69" s="27"/>
      <c r="G69" s="27"/>
      <c r="H69" s="27"/>
      <c r="I69" s="27"/>
      <c r="J69" s="27"/>
      <c r="K69" s="25"/>
      <c r="L69" s="25"/>
      <c r="M69" s="26"/>
      <c r="N69" s="15"/>
      <c r="O69" s="15"/>
      <c r="P69" s="15"/>
      <c r="Q69" s="15"/>
      <c r="R69" s="15"/>
      <c r="S69" s="28">
        <f t="shared" si="2"/>
        <v>0</v>
      </c>
      <c r="T69" s="29">
        <f t="shared" si="3"/>
        <v>0</v>
      </c>
      <c r="U69" s="32"/>
    </row>
    <row r="70" spans="1:21" x14ac:dyDescent="0.35">
      <c r="A70" s="15">
        <v>0</v>
      </c>
      <c r="B70" s="50" t="s">
        <v>236</v>
      </c>
      <c r="C70" s="15"/>
      <c r="D70" s="15"/>
      <c r="E70" s="15"/>
      <c r="F70" s="15"/>
      <c r="G70" s="15"/>
      <c r="H70" s="15"/>
      <c r="I70" s="15"/>
      <c r="J70" s="15"/>
      <c r="K70" s="25"/>
      <c r="L70" s="25"/>
      <c r="M70" s="26"/>
      <c r="N70" s="15"/>
      <c r="O70" s="15"/>
      <c r="P70" s="15"/>
      <c r="Q70" s="15"/>
      <c r="R70" s="15"/>
      <c r="S70" s="28">
        <f t="shared" si="2"/>
        <v>0</v>
      </c>
      <c r="T70" s="29">
        <f t="shared" si="3"/>
        <v>0</v>
      </c>
      <c r="U70" s="32"/>
    </row>
    <row r="71" spans="1:21" x14ac:dyDescent="0.35">
      <c r="A71" s="15">
        <v>0</v>
      </c>
      <c r="B71" s="50" t="s">
        <v>237</v>
      </c>
      <c r="C71" s="15"/>
      <c r="D71" s="15"/>
      <c r="E71" s="15"/>
      <c r="F71" s="15"/>
      <c r="G71" s="15"/>
      <c r="H71" s="15"/>
      <c r="I71" s="15"/>
      <c r="J71" s="15"/>
      <c r="K71" s="25"/>
      <c r="L71" s="25"/>
      <c r="M71" s="26"/>
      <c r="N71" s="15"/>
      <c r="O71" s="15"/>
      <c r="P71" s="15"/>
      <c r="Q71" s="15"/>
      <c r="R71" s="15"/>
      <c r="S71" s="28">
        <f t="shared" si="2"/>
        <v>0</v>
      </c>
      <c r="T71" s="29">
        <f t="shared" si="3"/>
        <v>0</v>
      </c>
      <c r="U71" s="32"/>
    </row>
    <row r="72" spans="1:21" x14ac:dyDescent="0.35">
      <c r="A72" s="38">
        <v>0</v>
      </c>
      <c r="B72" s="50" t="s">
        <v>238</v>
      </c>
      <c r="C72" s="38"/>
      <c r="D72" s="38"/>
      <c r="E72" s="27"/>
      <c r="F72" s="27"/>
      <c r="G72" s="27"/>
      <c r="H72" s="27"/>
      <c r="I72" s="27"/>
      <c r="J72" s="27"/>
      <c r="K72" s="25"/>
      <c r="L72" s="25"/>
      <c r="M72" s="26"/>
      <c r="N72" s="15"/>
      <c r="O72" s="15"/>
      <c r="P72" s="15"/>
      <c r="Q72" s="15"/>
      <c r="R72" s="15"/>
      <c r="S72" s="28">
        <f t="shared" si="2"/>
        <v>0</v>
      </c>
      <c r="T72" s="29">
        <f t="shared" si="3"/>
        <v>0</v>
      </c>
      <c r="U72" s="32"/>
    </row>
    <row r="73" spans="1:21" x14ac:dyDescent="0.35">
      <c r="A73" s="38">
        <v>0</v>
      </c>
      <c r="B73" s="50" t="s">
        <v>239</v>
      </c>
      <c r="C73" s="38"/>
      <c r="D73" s="38"/>
      <c r="E73" s="27"/>
      <c r="F73" s="27"/>
      <c r="G73" s="27"/>
      <c r="H73" s="27"/>
      <c r="I73" s="27"/>
      <c r="J73" s="27"/>
      <c r="K73" s="25"/>
      <c r="L73" s="25"/>
      <c r="M73" s="26"/>
      <c r="N73" s="15"/>
      <c r="O73" s="15"/>
      <c r="P73" s="15"/>
      <c r="Q73" s="15"/>
      <c r="R73" s="15"/>
      <c r="S73" s="28">
        <f t="shared" si="2"/>
        <v>0</v>
      </c>
      <c r="T73" s="29">
        <f t="shared" si="3"/>
        <v>0</v>
      </c>
      <c r="U73" s="32"/>
    </row>
    <row r="74" spans="1:21" x14ac:dyDescent="0.35">
      <c r="A74" s="38">
        <v>0</v>
      </c>
      <c r="B74" s="50" t="s">
        <v>240</v>
      </c>
      <c r="C74" s="38"/>
      <c r="D74" s="38"/>
      <c r="E74" s="27"/>
      <c r="F74" s="27"/>
      <c r="G74" s="27"/>
      <c r="H74" s="27"/>
      <c r="I74" s="27"/>
      <c r="J74" s="27"/>
      <c r="K74" s="25"/>
      <c r="L74" s="25"/>
      <c r="M74" s="26"/>
      <c r="N74" s="15"/>
      <c r="O74" s="15"/>
      <c r="P74" s="15"/>
      <c r="Q74" s="15"/>
      <c r="R74" s="15"/>
      <c r="S74" s="28">
        <f t="shared" si="2"/>
        <v>0</v>
      </c>
      <c r="T74" s="29">
        <f t="shared" si="3"/>
        <v>0</v>
      </c>
      <c r="U74" s="32"/>
    </row>
    <row r="75" spans="1:21" x14ac:dyDescent="0.35">
      <c r="A75" s="38">
        <v>0</v>
      </c>
      <c r="B75" s="50" t="s">
        <v>241</v>
      </c>
      <c r="C75" s="38"/>
      <c r="D75" s="38"/>
      <c r="E75" s="27"/>
      <c r="F75" s="27"/>
      <c r="G75" s="27"/>
      <c r="H75" s="27"/>
      <c r="I75" s="27"/>
      <c r="J75" s="27"/>
      <c r="K75" s="25"/>
      <c r="L75" s="25"/>
      <c r="M75" s="26"/>
      <c r="N75" s="15"/>
      <c r="O75" s="15"/>
      <c r="P75" s="15"/>
      <c r="Q75" s="15"/>
      <c r="R75" s="15"/>
      <c r="S75" s="28">
        <f t="shared" si="2"/>
        <v>0</v>
      </c>
      <c r="T75" s="29">
        <f t="shared" si="3"/>
        <v>0</v>
      </c>
      <c r="U75" s="32"/>
    </row>
    <row r="76" spans="1:21" x14ac:dyDescent="0.35">
      <c r="A76" s="15">
        <v>0</v>
      </c>
      <c r="B76" s="50" t="s">
        <v>242</v>
      </c>
      <c r="C76" s="15"/>
      <c r="D76" s="15"/>
      <c r="E76" s="15"/>
      <c r="F76" s="15"/>
      <c r="G76" s="15"/>
      <c r="H76" s="15"/>
      <c r="I76" s="15"/>
      <c r="J76" s="15"/>
      <c r="K76" s="25"/>
      <c r="L76" s="25"/>
      <c r="M76" s="26"/>
      <c r="N76" s="15"/>
      <c r="O76" s="15"/>
      <c r="P76" s="15"/>
      <c r="Q76" s="15"/>
      <c r="R76" s="15"/>
      <c r="S76" s="28">
        <f t="shared" si="2"/>
        <v>0</v>
      </c>
      <c r="T76" s="29">
        <f t="shared" si="3"/>
        <v>0</v>
      </c>
      <c r="U76" s="32"/>
    </row>
    <row r="77" spans="1:21" x14ac:dyDescent="0.35">
      <c r="A77" s="15">
        <v>0</v>
      </c>
      <c r="B77" s="50" t="s">
        <v>243</v>
      </c>
      <c r="C77" s="15"/>
      <c r="D77" s="15"/>
      <c r="E77" s="15"/>
      <c r="F77" s="15"/>
      <c r="G77" s="15"/>
      <c r="H77" s="15"/>
      <c r="I77" s="15"/>
      <c r="J77" s="15"/>
      <c r="K77" s="25"/>
      <c r="L77" s="25"/>
      <c r="M77" s="26"/>
      <c r="N77" s="15"/>
      <c r="O77" s="15"/>
      <c r="P77" s="15"/>
      <c r="Q77" s="15"/>
      <c r="R77" s="15"/>
      <c r="S77" s="28">
        <f t="shared" si="2"/>
        <v>0</v>
      </c>
      <c r="T77" s="29">
        <f t="shared" si="3"/>
        <v>0</v>
      </c>
      <c r="U77" s="32"/>
    </row>
    <row r="78" spans="1:21" x14ac:dyDescent="0.35">
      <c r="A78" s="15">
        <v>0</v>
      </c>
      <c r="B78" s="50" t="s">
        <v>244</v>
      </c>
      <c r="C78" s="15"/>
      <c r="D78" s="15"/>
      <c r="E78" s="15"/>
      <c r="F78" s="15"/>
      <c r="G78" s="30"/>
      <c r="H78" s="15"/>
      <c r="I78" s="15"/>
      <c r="J78" s="15"/>
      <c r="K78" s="25"/>
      <c r="L78" s="25"/>
      <c r="M78" s="26"/>
      <c r="N78" s="15"/>
      <c r="O78" s="15"/>
      <c r="P78" s="15"/>
      <c r="Q78" s="15"/>
      <c r="R78" s="15"/>
      <c r="S78" s="28">
        <f t="shared" si="2"/>
        <v>0</v>
      </c>
      <c r="T78" s="29">
        <f t="shared" si="3"/>
        <v>0</v>
      </c>
      <c r="U78" s="32"/>
    </row>
    <row r="79" spans="1:21" x14ac:dyDescent="0.35">
      <c r="A79" s="15">
        <v>0</v>
      </c>
      <c r="B79" s="50" t="s">
        <v>245</v>
      </c>
      <c r="C79" s="15"/>
      <c r="D79" s="15"/>
      <c r="E79" s="15"/>
      <c r="F79" s="15"/>
      <c r="G79" s="15"/>
      <c r="H79" s="15"/>
      <c r="I79" s="15"/>
      <c r="J79" s="15"/>
      <c r="K79" s="25"/>
      <c r="L79" s="25"/>
      <c r="M79" s="26"/>
      <c r="N79" s="15"/>
      <c r="O79" s="15"/>
      <c r="P79" s="15"/>
      <c r="Q79" s="15"/>
      <c r="R79" s="15"/>
      <c r="S79" s="28">
        <f t="shared" si="2"/>
        <v>0</v>
      </c>
      <c r="T79" s="29">
        <f t="shared" si="3"/>
        <v>0</v>
      </c>
      <c r="U79" s="32"/>
    </row>
    <row r="80" spans="1:21" x14ac:dyDescent="0.35">
      <c r="A80" s="15">
        <v>0</v>
      </c>
      <c r="B80" s="50" t="s">
        <v>246</v>
      </c>
      <c r="C80" s="15"/>
      <c r="D80" s="15"/>
      <c r="E80" s="15"/>
      <c r="F80" s="15"/>
      <c r="G80" s="15"/>
      <c r="H80" s="15"/>
      <c r="I80" s="15"/>
      <c r="J80" s="15"/>
      <c r="K80" s="25"/>
      <c r="L80" s="25"/>
      <c r="M80" s="26"/>
      <c r="N80" s="15"/>
      <c r="O80" s="15"/>
      <c r="P80" s="15"/>
      <c r="Q80" s="15"/>
      <c r="R80" s="15"/>
      <c r="S80" s="28">
        <f t="shared" ref="S80:S86" si="4">R80+M80</f>
        <v>0</v>
      </c>
      <c r="T80" s="29">
        <f t="shared" ref="T80:T86" si="5">S80*A80</f>
        <v>0</v>
      </c>
      <c r="U80" s="32"/>
    </row>
    <row r="81" spans="1:21" x14ac:dyDescent="0.35">
      <c r="A81" s="15">
        <v>0</v>
      </c>
      <c r="B81" s="50" t="s">
        <v>247</v>
      </c>
      <c r="C81" s="15"/>
      <c r="D81" s="15"/>
      <c r="E81" s="15"/>
      <c r="F81" s="15"/>
      <c r="G81" s="15"/>
      <c r="H81" s="15"/>
      <c r="I81" s="15"/>
      <c r="J81" s="15"/>
      <c r="K81" s="25"/>
      <c r="L81" s="25"/>
      <c r="M81" s="26"/>
      <c r="N81" s="15"/>
      <c r="O81" s="15"/>
      <c r="P81" s="15"/>
      <c r="Q81" s="15"/>
      <c r="R81" s="15"/>
      <c r="S81" s="28">
        <f t="shared" si="4"/>
        <v>0</v>
      </c>
      <c r="T81" s="29">
        <f t="shared" si="5"/>
        <v>0</v>
      </c>
      <c r="U81" s="32"/>
    </row>
    <row r="82" spans="1:21" x14ac:dyDescent="0.35">
      <c r="A82" s="15">
        <v>0</v>
      </c>
      <c r="B82" s="50" t="s">
        <v>248</v>
      </c>
      <c r="C82" s="15"/>
      <c r="D82" s="15"/>
      <c r="E82" s="15"/>
      <c r="F82" s="15"/>
      <c r="G82" s="15"/>
      <c r="H82" s="15"/>
      <c r="I82" s="15"/>
      <c r="J82" s="15"/>
      <c r="K82" s="25"/>
      <c r="L82" s="25"/>
      <c r="M82" s="26"/>
      <c r="N82" s="15"/>
      <c r="O82" s="15"/>
      <c r="P82" s="15"/>
      <c r="Q82" s="15"/>
      <c r="R82" s="15"/>
      <c r="S82" s="28">
        <f t="shared" si="4"/>
        <v>0</v>
      </c>
      <c r="T82" s="29">
        <f t="shared" si="5"/>
        <v>0</v>
      </c>
      <c r="U82" s="32"/>
    </row>
    <row r="83" spans="1:21" x14ac:dyDescent="0.35">
      <c r="A83" s="15">
        <v>0</v>
      </c>
      <c r="B83" s="50" t="s">
        <v>250</v>
      </c>
      <c r="C83" s="15"/>
      <c r="D83" s="15"/>
      <c r="E83" s="15"/>
      <c r="F83" s="15"/>
      <c r="G83" s="15"/>
      <c r="H83" s="15"/>
      <c r="I83" s="15"/>
      <c r="J83" s="15"/>
      <c r="K83" s="25"/>
      <c r="L83" s="25"/>
      <c r="M83" s="26"/>
      <c r="N83" s="15"/>
      <c r="O83" s="15"/>
      <c r="P83" s="15"/>
      <c r="Q83" s="15"/>
      <c r="R83" s="15"/>
      <c r="S83" s="28">
        <f t="shared" si="4"/>
        <v>0</v>
      </c>
      <c r="T83" s="29">
        <f t="shared" si="5"/>
        <v>0</v>
      </c>
      <c r="U83" s="32"/>
    </row>
    <row r="84" spans="1:21" x14ac:dyDescent="0.35">
      <c r="A84" s="15">
        <v>0</v>
      </c>
      <c r="B84" s="50" t="s">
        <v>251</v>
      </c>
      <c r="C84" s="15"/>
      <c r="D84" s="15"/>
      <c r="E84" s="15"/>
      <c r="F84" s="15"/>
      <c r="G84" s="15"/>
      <c r="H84" s="15"/>
      <c r="I84" s="15"/>
      <c r="J84" s="15"/>
      <c r="K84" s="25"/>
      <c r="L84" s="25"/>
      <c r="M84" s="26"/>
      <c r="N84" s="15"/>
      <c r="O84" s="15"/>
      <c r="P84" s="15"/>
      <c r="Q84" s="15"/>
      <c r="R84" s="15"/>
      <c r="S84" s="28">
        <f t="shared" si="4"/>
        <v>0</v>
      </c>
      <c r="T84" s="29">
        <f t="shared" si="5"/>
        <v>0</v>
      </c>
      <c r="U84" s="32"/>
    </row>
    <row r="85" spans="1:21" x14ac:dyDescent="0.35">
      <c r="A85" s="15">
        <v>0</v>
      </c>
      <c r="B85" s="50" t="s">
        <v>252</v>
      </c>
      <c r="C85" s="15"/>
      <c r="D85" s="15"/>
      <c r="E85" s="15"/>
      <c r="F85" s="15"/>
      <c r="G85" s="15"/>
      <c r="H85" s="15"/>
      <c r="I85" s="15"/>
      <c r="J85" s="15"/>
      <c r="K85" s="25"/>
      <c r="L85" s="25"/>
      <c r="M85" s="26"/>
      <c r="N85" s="15"/>
      <c r="O85" s="15"/>
      <c r="P85" s="15"/>
      <c r="Q85" s="15"/>
      <c r="R85" s="15"/>
      <c r="S85" s="28">
        <f t="shared" si="4"/>
        <v>0</v>
      </c>
      <c r="T85" s="29">
        <f t="shared" si="5"/>
        <v>0</v>
      </c>
      <c r="U85" s="32"/>
    </row>
    <row r="86" spans="1:21" x14ac:dyDescent="0.35">
      <c r="A86" s="15">
        <v>0</v>
      </c>
      <c r="B86" s="50" t="s">
        <v>253</v>
      </c>
      <c r="C86" s="15"/>
      <c r="D86" s="15"/>
      <c r="E86" s="15"/>
      <c r="F86" s="15"/>
      <c r="G86" s="15"/>
      <c r="H86" s="15"/>
      <c r="I86" s="15"/>
      <c r="J86" s="15"/>
      <c r="K86" s="25"/>
      <c r="L86" s="25"/>
      <c r="M86" s="26"/>
      <c r="N86" s="15"/>
      <c r="O86" s="15"/>
      <c r="P86" s="15"/>
      <c r="Q86" s="15"/>
      <c r="R86" s="15"/>
      <c r="S86" s="28">
        <f t="shared" si="4"/>
        <v>0</v>
      </c>
      <c r="T86" s="29">
        <f t="shared" si="5"/>
        <v>0</v>
      </c>
      <c r="U86" s="32"/>
    </row>
    <row r="87" spans="1:21" x14ac:dyDescent="0.35">
      <c r="A87" s="15">
        <v>0</v>
      </c>
      <c r="B87" s="50" t="s">
        <v>254</v>
      </c>
      <c r="C87" s="15"/>
      <c r="D87" s="15"/>
      <c r="E87" s="15"/>
      <c r="F87" s="15"/>
      <c r="G87" s="15"/>
      <c r="H87" s="15"/>
      <c r="I87" s="15"/>
      <c r="J87" s="15"/>
      <c r="K87" s="25"/>
      <c r="L87" s="25"/>
      <c r="M87" s="26"/>
      <c r="N87" s="29"/>
      <c r="O87" s="15"/>
      <c r="P87" s="15"/>
      <c r="Q87" s="15"/>
      <c r="R87" s="15"/>
      <c r="S87" s="15"/>
      <c r="T87" s="15"/>
      <c r="U87" s="32"/>
    </row>
    <row r="88" spans="1:21" x14ac:dyDescent="0.35">
      <c r="A88" s="15">
        <v>0</v>
      </c>
      <c r="B88" s="50" t="s">
        <v>256</v>
      </c>
      <c r="C88" s="15"/>
      <c r="D88" s="15"/>
      <c r="E88" s="15"/>
      <c r="F88" s="15"/>
      <c r="G88" s="15"/>
      <c r="H88" s="15"/>
      <c r="I88" s="15"/>
      <c r="J88" s="15"/>
      <c r="K88" s="25"/>
      <c r="L88" s="25"/>
      <c r="M88" s="26"/>
      <c r="N88" s="29"/>
      <c r="O88" s="15"/>
      <c r="P88" s="15"/>
      <c r="Q88" s="15"/>
      <c r="R88" s="15"/>
      <c r="S88" s="15"/>
      <c r="T88" s="15"/>
      <c r="U88" s="32"/>
    </row>
    <row r="89" spans="1:21" x14ac:dyDescent="0.35">
      <c r="A89" s="15">
        <v>0</v>
      </c>
      <c r="B89" s="50" t="s">
        <v>257</v>
      </c>
      <c r="C89" s="15"/>
      <c r="D89" s="15"/>
      <c r="E89" s="15"/>
      <c r="F89" s="15"/>
      <c r="G89" s="30"/>
      <c r="H89" s="15"/>
      <c r="I89" s="15"/>
      <c r="J89" s="15"/>
      <c r="K89" s="25"/>
      <c r="L89" s="25"/>
      <c r="M89" s="26"/>
      <c r="N89" s="29"/>
      <c r="O89" s="15"/>
      <c r="P89" s="15"/>
      <c r="Q89" s="15"/>
      <c r="R89" s="15"/>
      <c r="S89" s="15"/>
      <c r="T89" s="15"/>
    </row>
    <row r="90" spans="1:21" x14ac:dyDescent="0.35">
      <c r="A90" s="15">
        <v>0</v>
      </c>
      <c r="B90" s="50" t="s">
        <v>258</v>
      </c>
      <c r="C90" s="15"/>
      <c r="D90" s="15"/>
      <c r="E90" s="15"/>
      <c r="F90" s="15"/>
      <c r="G90" s="30"/>
      <c r="H90" s="15"/>
      <c r="I90" s="15"/>
      <c r="J90" s="15"/>
      <c r="K90" s="25"/>
      <c r="L90" s="25"/>
      <c r="M90" s="26"/>
      <c r="N90" s="29"/>
      <c r="O90" s="15"/>
      <c r="P90" s="15"/>
      <c r="Q90" s="15"/>
      <c r="R90" s="15"/>
      <c r="S90" s="15"/>
      <c r="T90" s="15"/>
    </row>
    <row r="91" spans="1:21" x14ac:dyDescent="0.35">
      <c r="A91" s="15">
        <v>0</v>
      </c>
      <c r="B91" s="50" t="s">
        <v>259</v>
      </c>
      <c r="C91" s="15"/>
      <c r="D91" s="15"/>
      <c r="E91" s="15"/>
      <c r="F91" s="15"/>
      <c r="G91" s="15"/>
      <c r="H91" s="15"/>
      <c r="I91" s="15"/>
      <c r="J91" s="15"/>
      <c r="K91" s="25"/>
      <c r="L91" s="25"/>
      <c r="M91" s="26"/>
      <c r="N91" s="29"/>
      <c r="O91" s="15"/>
      <c r="P91" s="15"/>
      <c r="Q91" s="15"/>
      <c r="R91" s="15"/>
      <c r="S91" s="15"/>
      <c r="T91" s="15"/>
    </row>
    <row r="92" spans="1:21" x14ac:dyDescent="0.35">
      <c r="A92" s="15">
        <v>0</v>
      </c>
      <c r="B92" s="50" t="s">
        <v>261</v>
      </c>
      <c r="C92" s="15"/>
      <c r="D92" s="15"/>
      <c r="E92" s="15"/>
      <c r="F92" s="15"/>
      <c r="G92" s="15"/>
      <c r="H92" s="15"/>
      <c r="I92" s="15"/>
      <c r="J92" s="15"/>
      <c r="K92" s="25"/>
      <c r="L92" s="25"/>
      <c r="M92" s="26"/>
      <c r="N92" s="29"/>
      <c r="O92" s="15"/>
      <c r="P92" s="15"/>
      <c r="Q92" s="15"/>
      <c r="R92" s="15"/>
      <c r="S92" s="15"/>
      <c r="T92" s="15"/>
    </row>
    <row r="93" spans="1:21" x14ac:dyDescent="0.35">
      <c r="A93" s="15">
        <v>0</v>
      </c>
      <c r="B93" s="50" t="s">
        <v>262</v>
      </c>
      <c r="C93" s="15"/>
      <c r="D93" s="15"/>
      <c r="E93" s="15"/>
      <c r="F93" s="15"/>
      <c r="G93" s="15"/>
      <c r="H93" s="15"/>
      <c r="I93" s="15"/>
      <c r="J93" s="15"/>
      <c r="K93" s="25"/>
      <c r="L93" s="25"/>
      <c r="M93" s="26"/>
      <c r="N93" s="29"/>
      <c r="O93" s="15"/>
      <c r="P93" s="15"/>
      <c r="Q93" s="15"/>
      <c r="R93" s="15"/>
      <c r="S93" s="15"/>
      <c r="T93" s="15"/>
    </row>
    <row r="94" spans="1:21" x14ac:dyDescent="0.35">
      <c r="A94" s="15">
        <v>0</v>
      </c>
      <c r="B94" s="50" t="s">
        <v>263</v>
      </c>
      <c r="C94" s="15"/>
      <c r="D94" s="15"/>
      <c r="E94" s="15"/>
      <c r="F94" s="15"/>
      <c r="G94" s="15"/>
      <c r="H94" s="15"/>
      <c r="I94" s="15"/>
      <c r="J94" s="15"/>
      <c r="K94" s="25"/>
      <c r="L94" s="25"/>
      <c r="M94" s="26"/>
      <c r="N94" s="29"/>
      <c r="O94" s="15"/>
      <c r="P94" s="15"/>
      <c r="Q94" s="15"/>
      <c r="R94" s="15"/>
      <c r="S94" s="15"/>
      <c r="T94" s="15"/>
    </row>
    <row r="95" spans="1:21" x14ac:dyDescent="0.35">
      <c r="A95" s="15">
        <v>0</v>
      </c>
      <c r="B95" s="50" t="s">
        <v>264</v>
      </c>
      <c r="C95" s="15"/>
      <c r="D95" s="15"/>
      <c r="E95" s="15"/>
      <c r="F95" s="15"/>
      <c r="G95" s="15"/>
      <c r="H95" s="15"/>
      <c r="I95" s="15"/>
      <c r="J95" s="15"/>
      <c r="K95" s="25"/>
      <c r="L95" s="25"/>
      <c r="M95" s="26"/>
      <c r="N95" s="29"/>
      <c r="O95" s="15"/>
      <c r="P95" s="15"/>
      <c r="Q95" s="15"/>
      <c r="R95" s="15"/>
      <c r="S95" s="15"/>
      <c r="T95" s="15"/>
    </row>
    <row r="96" spans="1:21" x14ac:dyDescent="0.35">
      <c r="A96" s="15">
        <v>0</v>
      </c>
      <c r="B96" s="50" t="s">
        <v>265</v>
      </c>
      <c r="C96" s="15"/>
      <c r="D96" s="15"/>
      <c r="E96" s="15"/>
      <c r="F96" s="15"/>
      <c r="G96" s="15"/>
      <c r="H96" s="15"/>
      <c r="I96" s="15"/>
      <c r="J96" s="15"/>
      <c r="K96" s="25"/>
      <c r="L96" s="25"/>
      <c r="M96" s="26"/>
      <c r="N96" s="29"/>
      <c r="O96" s="15"/>
      <c r="P96" s="15"/>
      <c r="Q96" s="15"/>
      <c r="R96" s="15"/>
      <c r="S96" s="15"/>
      <c r="T96" s="15"/>
    </row>
    <row r="97" spans="1:20" x14ac:dyDescent="0.35">
      <c r="A97" s="15">
        <v>0</v>
      </c>
      <c r="B97" s="50" t="s">
        <v>266</v>
      </c>
      <c r="C97" s="15"/>
      <c r="D97" s="15"/>
      <c r="E97" s="27"/>
      <c r="F97" s="27"/>
      <c r="G97" s="27"/>
      <c r="H97" s="27"/>
      <c r="I97" s="27"/>
      <c r="J97" s="27"/>
      <c r="K97" s="25"/>
      <c r="L97" s="25"/>
      <c r="M97" s="26"/>
      <c r="N97" s="29"/>
      <c r="O97" s="15"/>
      <c r="P97" s="15"/>
      <c r="Q97" s="15"/>
      <c r="R97" s="15"/>
      <c r="S97" s="15"/>
      <c r="T97" s="15"/>
    </row>
    <row r="98" spans="1:20" x14ac:dyDescent="0.35">
      <c r="A98" s="15">
        <v>0</v>
      </c>
      <c r="B98" s="50" t="s">
        <v>267</v>
      </c>
      <c r="C98" s="15"/>
      <c r="D98" s="15"/>
      <c r="E98" s="15"/>
      <c r="F98" s="15"/>
      <c r="G98" s="15"/>
      <c r="H98" s="15"/>
      <c r="I98" s="15"/>
      <c r="J98" s="15"/>
      <c r="K98" s="25"/>
      <c r="L98" s="25"/>
      <c r="M98" s="26"/>
      <c r="N98" s="29"/>
      <c r="O98" s="15"/>
      <c r="P98" s="15"/>
      <c r="Q98" s="15"/>
      <c r="R98" s="15"/>
      <c r="S98" s="15"/>
      <c r="T98" s="15"/>
    </row>
    <row r="99" spans="1:20" x14ac:dyDescent="0.35">
      <c r="A99" s="15">
        <v>0</v>
      </c>
      <c r="B99" s="50" t="s">
        <v>268</v>
      </c>
      <c r="C99" s="15"/>
      <c r="D99" s="15"/>
      <c r="E99" s="15"/>
      <c r="F99" s="15"/>
      <c r="G99" s="15"/>
      <c r="H99" s="15"/>
      <c r="I99" s="15"/>
      <c r="J99" s="15"/>
      <c r="K99" s="25"/>
      <c r="L99" s="25"/>
      <c r="M99" s="26"/>
      <c r="N99" s="29"/>
      <c r="O99" s="15"/>
      <c r="P99" s="15"/>
      <c r="Q99" s="15"/>
      <c r="R99" s="15"/>
      <c r="S99" s="15"/>
      <c r="T99" s="15"/>
    </row>
    <row r="100" spans="1:20" x14ac:dyDescent="0.35">
      <c r="A100" s="15">
        <v>0</v>
      </c>
      <c r="B100" s="50" t="s">
        <v>270</v>
      </c>
      <c r="C100" s="15"/>
      <c r="D100" s="15"/>
      <c r="E100" s="15"/>
      <c r="F100" s="15"/>
      <c r="G100" s="15"/>
      <c r="H100" s="15"/>
      <c r="I100" s="15"/>
      <c r="J100" s="15"/>
      <c r="K100" s="25"/>
      <c r="L100" s="25"/>
      <c r="M100" s="26"/>
      <c r="N100" s="29"/>
      <c r="O100" s="15"/>
      <c r="P100" s="15"/>
      <c r="Q100" s="15"/>
      <c r="R100" s="15"/>
      <c r="S100" s="15"/>
      <c r="T100" s="15"/>
    </row>
    <row r="101" spans="1:20" x14ac:dyDescent="0.35">
      <c r="A101" s="15">
        <v>0</v>
      </c>
      <c r="B101" s="50" t="s">
        <v>271</v>
      </c>
      <c r="C101" s="15"/>
      <c r="D101" s="15"/>
      <c r="E101" s="15"/>
      <c r="F101" s="15"/>
      <c r="G101" s="15"/>
      <c r="H101" s="15"/>
      <c r="I101" s="15"/>
      <c r="J101" s="15"/>
      <c r="K101" s="25"/>
      <c r="L101" s="25"/>
      <c r="M101" s="26"/>
      <c r="N101" s="29"/>
      <c r="O101" s="15"/>
      <c r="P101" s="15"/>
      <c r="Q101" s="15"/>
      <c r="R101" s="15"/>
      <c r="S101" s="15"/>
      <c r="T101" s="15"/>
    </row>
    <row r="102" spans="1:20" x14ac:dyDescent="0.35">
      <c r="A102" s="15">
        <v>0</v>
      </c>
      <c r="B102" s="50" t="s">
        <v>272</v>
      </c>
      <c r="C102" s="15"/>
      <c r="D102" s="15"/>
      <c r="E102" s="15"/>
      <c r="F102" s="15"/>
      <c r="G102" s="15"/>
      <c r="H102" s="15"/>
      <c r="I102" s="15"/>
      <c r="J102" s="15"/>
      <c r="K102" s="25"/>
      <c r="L102" s="25"/>
      <c r="M102" s="26"/>
      <c r="N102" s="29"/>
      <c r="O102" s="15"/>
      <c r="P102" s="15"/>
      <c r="Q102" s="15"/>
      <c r="R102" s="15"/>
      <c r="S102" s="15"/>
      <c r="T102" s="15"/>
    </row>
    <row r="103" spans="1:20" x14ac:dyDescent="0.35">
      <c r="A103" s="15">
        <v>0</v>
      </c>
      <c r="B103" s="50" t="s">
        <v>273</v>
      </c>
      <c r="C103" s="15"/>
      <c r="D103" s="15"/>
      <c r="E103" s="15"/>
      <c r="F103" s="15"/>
      <c r="G103" s="15"/>
      <c r="H103" s="15"/>
      <c r="I103" s="15"/>
      <c r="J103" s="15"/>
      <c r="K103" s="25"/>
      <c r="L103" s="25"/>
      <c r="M103" s="26"/>
      <c r="N103" s="29"/>
      <c r="O103" s="15"/>
      <c r="P103" s="15"/>
      <c r="Q103" s="15"/>
      <c r="R103" s="15"/>
      <c r="S103" s="15"/>
      <c r="T103" s="15"/>
    </row>
    <row r="104" spans="1:20" x14ac:dyDescent="0.35">
      <c r="A104" s="15">
        <v>0</v>
      </c>
      <c r="B104" s="50" t="s">
        <v>274</v>
      </c>
      <c r="C104" s="15"/>
      <c r="D104" s="15"/>
      <c r="E104" s="15"/>
      <c r="F104" s="15"/>
      <c r="G104" s="15"/>
      <c r="H104" s="15"/>
      <c r="I104" s="15"/>
      <c r="J104" s="15"/>
      <c r="K104" s="25"/>
      <c r="L104" s="25"/>
      <c r="M104" s="26"/>
      <c r="N104" s="29"/>
      <c r="O104" s="15"/>
      <c r="P104" s="15"/>
      <c r="Q104" s="15"/>
      <c r="R104" s="15"/>
      <c r="S104" s="15"/>
      <c r="T104" s="15"/>
    </row>
    <row r="105" spans="1:20" x14ac:dyDescent="0.35">
      <c r="A105" s="15">
        <v>0</v>
      </c>
      <c r="B105" s="50" t="s">
        <v>275</v>
      </c>
      <c r="C105" s="15"/>
      <c r="D105" s="15"/>
      <c r="E105" s="15"/>
      <c r="F105" s="15"/>
      <c r="G105" s="15"/>
      <c r="H105" s="15"/>
      <c r="I105" s="15"/>
      <c r="J105" s="15"/>
      <c r="K105" s="25"/>
      <c r="L105" s="25"/>
      <c r="M105" s="26"/>
      <c r="N105" s="29"/>
      <c r="O105" s="15"/>
      <c r="P105" s="15"/>
      <c r="Q105" s="15"/>
      <c r="R105" s="15"/>
      <c r="S105" s="15"/>
      <c r="T105" s="15"/>
    </row>
    <row r="106" spans="1:20" x14ac:dyDescent="0.35">
      <c r="A106" s="15">
        <v>0</v>
      </c>
      <c r="B106" s="50" t="s">
        <v>276</v>
      </c>
      <c r="C106" s="15"/>
      <c r="D106" s="15"/>
      <c r="E106" s="15"/>
      <c r="F106" s="15"/>
      <c r="G106" s="15"/>
      <c r="H106" s="15"/>
      <c r="I106" s="15"/>
      <c r="J106" s="15"/>
      <c r="K106" s="25"/>
      <c r="L106" s="25"/>
      <c r="M106" s="26"/>
      <c r="N106" s="29"/>
      <c r="O106" s="15"/>
      <c r="P106" s="15"/>
      <c r="Q106" s="15"/>
      <c r="R106" s="15"/>
      <c r="S106" s="15"/>
      <c r="T106" s="15"/>
    </row>
    <row r="107" spans="1:20" x14ac:dyDescent="0.35">
      <c r="A107" s="15">
        <v>0</v>
      </c>
      <c r="B107" s="50" t="s">
        <v>277</v>
      </c>
      <c r="C107" s="15"/>
      <c r="D107" s="15"/>
      <c r="E107" s="15"/>
      <c r="F107" s="15"/>
      <c r="G107" s="15"/>
      <c r="H107" s="15"/>
      <c r="I107" s="15"/>
      <c r="J107" s="15"/>
      <c r="K107" s="25"/>
      <c r="L107" s="25"/>
      <c r="M107" s="26"/>
      <c r="N107" s="29"/>
      <c r="O107" s="15"/>
      <c r="P107" s="15"/>
      <c r="Q107" s="15"/>
      <c r="R107" s="15"/>
      <c r="S107" s="15"/>
      <c r="T107" s="15"/>
    </row>
    <row r="108" spans="1:20" x14ac:dyDescent="0.35">
      <c r="A108" s="15">
        <v>0</v>
      </c>
      <c r="B108" s="50" t="s">
        <v>278</v>
      </c>
      <c r="C108" s="15"/>
      <c r="D108" s="15"/>
      <c r="E108" s="15"/>
      <c r="F108" s="15"/>
      <c r="G108" s="15"/>
      <c r="H108" s="15"/>
      <c r="I108" s="15"/>
      <c r="J108" s="15"/>
      <c r="K108" s="25"/>
      <c r="L108" s="25"/>
      <c r="M108" s="26"/>
      <c r="N108" s="29"/>
      <c r="O108" s="15"/>
      <c r="P108" s="15"/>
      <c r="Q108" s="15"/>
      <c r="R108" s="15"/>
      <c r="S108" s="15"/>
      <c r="T108" s="15"/>
    </row>
    <row r="109" spans="1:20" x14ac:dyDescent="0.35">
      <c r="A109" s="15">
        <v>0</v>
      </c>
      <c r="B109" s="50" t="s">
        <v>279</v>
      </c>
      <c r="C109" s="15"/>
      <c r="D109" s="15"/>
      <c r="E109" s="15"/>
      <c r="F109" s="15"/>
      <c r="G109" s="15"/>
      <c r="H109" s="15"/>
      <c r="I109" s="15"/>
      <c r="J109" s="15"/>
      <c r="K109" s="25"/>
      <c r="L109" s="25"/>
      <c r="M109" s="26"/>
      <c r="N109" s="29"/>
      <c r="O109" s="15"/>
      <c r="P109" s="15"/>
      <c r="Q109" s="15"/>
      <c r="R109" s="15"/>
      <c r="S109" s="15"/>
      <c r="T109" s="15"/>
    </row>
    <row r="110" spans="1:20" x14ac:dyDescent="0.35">
      <c r="A110" s="15">
        <v>0</v>
      </c>
      <c r="B110" s="50" t="s">
        <v>280</v>
      </c>
      <c r="C110" s="15"/>
      <c r="D110" s="15"/>
      <c r="E110" s="15"/>
      <c r="F110" s="15"/>
      <c r="G110" s="15"/>
      <c r="H110" s="15"/>
      <c r="I110" s="15"/>
      <c r="J110" s="15"/>
      <c r="K110" s="25"/>
      <c r="L110" s="25"/>
      <c r="M110" s="26"/>
      <c r="N110" s="29"/>
      <c r="O110" s="15"/>
      <c r="P110" s="15"/>
      <c r="Q110" s="15"/>
      <c r="R110" s="15"/>
      <c r="S110" s="15"/>
      <c r="T110" s="15"/>
    </row>
    <row r="111" spans="1:20" x14ac:dyDescent="0.35">
      <c r="A111" s="15">
        <v>0</v>
      </c>
      <c r="B111" s="50" t="s">
        <v>281</v>
      </c>
      <c r="C111" s="15"/>
      <c r="D111" s="15"/>
      <c r="E111" s="15"/>
      <c r="F111" s="15"/>
      <c r="G111" s="15"/>
      <c r="H111" s="15"/>
      <c r="I111" s="15"/>
      <c r="J111" s="15"/>
      <c r="K111" s="25"/>
      <c r="L111" s="25"/>
      <c r="M111" s="26"/>
      <c r="N111" s="29"/>
      <c r="O111" s="15"/>
      <c r="P111" s="15"/>
      <c r="Q111" s="15"/>
      <c r="R111" s="15"/>
      <c r="S111" s="15"/>
      <c r="T111" s="15"/>
    </row>
    <row r="112" spans="1:20" x14ac:dyDescent="0.35">
      <c r="A112" s="15">
        <v>0</v>
      </c>
      <c r="B112" s="50" t="s">
        <v>282</v>
      </c>
      <c r="C112" s="15"/>
      <c r="D112" s="15"/>
      <c r="E112" s="15"/>
      <c r="F112" s="15"/>
      <c r="G112" s="15"/>
      <c r="H112" s="15"/>
      <c r="I112" s="15"/>
      <c r="J112" s="15"/>
      <c r="K112" s="25"/>
      <c r="L112" s="25"/>
      <c r="M112" s="26"/>
      <c r="N112" s="29"/>
      <c r="O112" s="15"/>
      <c r="P112" s="15"/>
      <c r="Q112" s="15"/>
      <c r="R112" s="15"/>
      <c r="S112" s="15"/>
      <c r="T112" s="15"/>
    </row>
    <row r="113" spans="1:20" x14ac:dyDescent="0.35">
      <c r="A113" s="15">
        <v>0</v>
      </c>
      <c r="B113" s="50" t="s">
        <v>283</v>
      </c>
      <c r="C113" s="15"/>
      <c r="D113" s="15"/>
      <c r="E113" s="15"/>
      <c r="F113" s="15"/>
      <c r="G113" s="15"/>
      <c r="H113" s="15"/>
      <c r="I113" s="15"/>
      <c r="J113" s="15"/>
      <c r="K113" s="25"/>
      <c r="L113" s="25"/>
      <c r="M113" s="26"/>
      <c r="N113" s="29"/>
      <c r="O113" s="15"/>
      <c r="P113" s="15"/>
      <c r="Q113" s="15"/>
      <c r="R113" s="15"/>
      <c r="S113" s="15"/>
      <c r="T113" s="15"/>
    </row>
    <row r="114" spans="1:20" x14ac:dyDescent="0.35">
      <c r="A114" s="15">
        <v>0</v>
      </c>
      <c r="B114" s="50" t="s">
        <v>284</v>
      </c>
      <c r="C114" s="15"/>
      <c r="D114" s="15"/>
      <c r="E114" s="15"/>
      <c r="F114" s="15"/>
      <c r="G114" s="15"/>
      <c r="H114" s="15"/>
      <c r="I114" s="15"/>
      <c r="J114" s="15"/>
      <c r="K114" s="25"/>
      <c r="L114" s="25"/>
      <c r="M114" s="26"/>
      <c r="N114" s="29"/>
      <c r="O114" s="15"/>
      <c r="P114" s="15"/>
      <c r="Q114" s="15"/>
      <c r="R114" s="15"/>
      <c r="S114" s="15"/>
      <c r="T114" s="15"/>
    </row>
    <row r="115" spans="1:20" x14ac:dyDescent="0.35">
      <c r="A115" s="15">
        <v>0</v>
      </c>
      <c r="B115" s="50" t="s">
        <v>287</v>
      </c>
      <c r="C115" s="15"/>
      <c r="D115" s="15"/>
      <c r="E115" s="15"/>
      <c r="F115" s="15"/>
      <c r="G115" s="15"/>
      <c r="H115" s="15"/>
      <c r="I115" s="15"/>
      <c r="J115" s="15"/>
      <c r="K115" s="25"/>
      <c r="L115" s="25"/>
      <c r="M115" s="26"/>
      <c r="N115" s="29"/>
      <c r="O115" s="15"/>
      <c r="P115" s="15"/>
      <c r="Q115" s="15"/>
      <c r="R115" s="15"/>
      <c r="S115" s="15"/>
      <c r="T115" s="15"/>
    </row>
    <row r="116" spans="1:20" x14ac:dyDescent="0.35">
      <c r="A116" s="15">
        <v>0</v>
      </c>
      <c r="B116" s="50" t="s">
        <v>288</v>
      </c>
      <c r="C116" s="15"/>
      <c r="D116" s="15"/>
      <c r="E116" s="15"/>
      <c r="F116" s="15"/>
      <c r="G116" s="15"/>
      <c r="H116" s="15"/>
      <c r="I116" s="15"/>
      <c r="J116" s="15"/>
      <c r="K116" s="25"/>
      <c r="L116" s="25"/>
      <c r="M116" s="26"/>
      <c r="N116" s="29"/>
      <c r="O116" s="15"/>
      <c r="P116" s="15"/>
      <c r="Q116" s="15"/>
      <c r="R116" s="15"/>
      <c r="S116" s="15"/>
      <c r="T116" s="15"/>
    </row>
    <row r="117" spans="1:20" x14ac:dyDescent="0.35">
      <c r="A117" s="15">
        <v>0</v>
      </c>
      <c r="B117" s="50" t="s">
        <v>290</v>
      </c>
      <c r="C117" s="15"/>
      <c r="D117" s="15"/>
      <c r="E117" s="15"/>
      <c r="F117" s="15"/>
      <c r="G117" s="15"/>
      <c r="H117" s="15"/>
      <c r="I117" s="15"/>
      <c r="J117" s="15"/>
      <c r="K117" s="25"/>
      <c r="L117" s="25"/>
      <c r="M117" s="26"/>
      <c r="N117" s="29"/>
      <c r="O117" s="15"/>
      <c r="P117" s="15"/>
      <c r="Q117" s="15"/>
      <c r="R117" s="15"/>
      <c r="S117" s="15"/>
      <c r="T117" s="15"/>
    </row>
    <row r="118" spans="1:20" x14ac:dyDescent="0.35">
      <c r="A118" s="15">
        <v>0</v>
      </c>
      <c r="B118" s="50" t="s">
        <v>291</v>
      </c>
      <c r="C118" s="15"/>
      <c r="D118" s="15"/>
      <c r="E118" s="15"/>
      <c r="F118" s="15"/>
      <c r="G118" s="15"/>
      <c r="H118" s="15"/>
      <c r="I118" s="15"/>
      <c r="J118" s="15"/>
      <c r="K118" s="25"/>
      <c r="L118" s="25"/>
      <c r="M118" s="26"/>
      <c r="N118" s="29"/>
      <c r="O118" s="15"/>
      <c r="P118" s="15"/>
      <c r="Q118" s="15"/>
      <c r="R118" s="15"/>
      <c r="S118" s="15"/>
      <c r="T118" s="15"/>
    </row>
    <row r="119" spans="1:20" x14ac:dyDescent="0.35">
      <c r="A119" s="15">
        <v>0</v>
      </c>
      <c r="B119" s="50" t="s">
        <v>292</v>
      </c>
      <c r="C119" s="15"/>
      <c r="D119" s="15"/>
      <c r="E119" s="15"/>
      <c r="F119" s="15"/>
      <c r="G119" s="15"/>
      <c r="H119" s="15"/>
      <c r="I119" s="15"/>
      <c r="J119" s="15"/>
      <c r="K119" s="25"/>
      <c r="L119" s="25"/>
      <c r="M119" s="26"/>
      <c r="N119" s="29"/>
      <c r="O119" s="15"/>
      <c r="P119" s="15"/>
      <c r="Q119" s="15"/>
      <c r="R119" s="15"/>
      <c r="S119" s="15"/>
      <c r="T119" s="15"/>
    </row>
    <row r="120" spans="1:20" x14ac:dyDescent="0.35">
      <c r="A120" s="15">
        <v>0</v>
      </c>
      <c r="B120" s="50" t="s">
        <v>293</v>
      </c>
      <c r="C120" s="15"/>
      <c r="D120" s="15"/>
      <c r="E120" s="15"/>
      <c r="F120" s="15"/>
      <c r="G120" s="15"/>
      <c r="H120" s="15"/>
      <c r="I120" s="15"/>
      <c r="J120" s="15"/>
      <c r="K120" s="25"/>
      <c r="L120" s="25"/>
      <c r="M120" s="26"/>
      <c r="N120" s="29"/>
      <c r="O120" s="15"/>
      <c r="P120" s="15"/>
      <c r="Q120" s="15"/>
      <c r="R120" s="15"/>
      <c r="S120" s="15"/>
      <c r="T120" s="15"/>
    </row>
    <row r="121" spans="1:20" x14ac:dyDescent="0.35">
      <c r="A121" s="15">
        <v>0</v>
      </c>
      <c r="B121" s="50" t="s">
        <v>294</v>
      </c>
      <c r="C121" s="15"/>
      <c r="D121" s="15"/>
      <c r="E121" s="15"/>
      <c r="F121" s="15"/>
      <c r="G121" s="15"/>
      <c r="H121" s="15"/>
      <c r="I121" s="15"/>
      <c r="J121" s="15"/>
      <c r="K121" s="25"/>
      <c r="L121" s="25"/>
      <c r="M121" s="26"/>
      <c r="N121" s="29"/>
      <c r="O121" s="15"/>
      <c r="P121" s="15"/>
      <c r="Q121" s="15"/>
      <c r="R121" s="15"/>
      <c r="S121" s="15"/>
      <c r="T121" s="15"/>
    </row>
    <row r="122" spans="1:20" x14ac:dyDescent="0.35">
      <c r="A122" s="15">
        <v>0</v>
      </c>
      <c r="B122" s="50" t="s">
        <v>295</v>
      </c>
      <c r="C122" s="15"/>
      <c r="D122" s="15"/>
      <c r="E122" s="15"/>
      <c r="F122" s="15"/>
      <c r="G122" s="15"/>
      <c r="H122" s="15"/>
      <c r="I122" s="15"/>
      <c r="J122" s="15"/>
      <c r="K122" s="25"/>
      <c r="L122" s="25"/>
      <c r="M122" s="26"/>
      <c r="N122" s="29"/>
      <c r="O122" s="15"/>
      <c r="P122" s="15"/>
      <c r="Q122" s="15"/>
      <c r="R122" s="15"/>
      <c r="S122" s="15"/>
      <c r="T122" s="15"/>
    </row>
    <row r="123" spans="1:20" x14ac:dyDescent="0.35">
      <c r="A123" s="15">
        <v>0</v>
      </c>
      <c r="B123" s="50" t="s">
        <v>296</v>
      </c>
      <c r="C123" s="15"/>
      <c r="D123" s="15"/>
      <c r="E123" s="15"/>
      <c r="F123" s="15"/>
      <c r="G123" s="15"/>
      <c r="H123" s="15"/>
      <c r="I123" s="15"/>
      <c r="J123" s="15"/>
      <c r="K123" s="25"/>
      <c r="L123" s="25"/>
      <c r="M123" s="26"/>
      <c r="N123" s="29"/>
      <c r="O123" s="15"/>
      <c r="P123" s="15"/>
      <c r="Q123" s="15"/>
      <c r="R123" s="15"/>
      <c r="S123" s="15"/>
      <c r="T123" s="15"/>
    </row>
    <row r="124" spans="1:20" x14ac:dyDescent="0.35">
      <c r="A124" s="15">
        <v>0</v>
      </c>
      <c r="B124" s="50" t="s">
        <v>299</v>
      </c>
      <c r="C124" s="15"/>
      <c r="D124" s="15"/>
      <c r="E124" s="15"/>
      <c r="F124" s="15"/>
      <c r="G124" s="15"/>
      <c r="H124" s="15"/>
      <c r="I124" s="15"/>
      <c r="J124" s="15"/>
      <c r="K124" s="25"/>
      <c r="L124" s="25"/>
      <c r="M124" s="26"/>
      <c r="N124" s="29"/>
      <c r="O124" s="15"/>
      <c r="P124" s="15"/>
      <c r="Q124" s="15"/>
      <c r="R124" s="15"/>
      <c r="S124" s="15"/>
      <c r="T124" s="15"/>
    </row>
    <row r="125" spans="1:20" x14ac:dyDescent="0.35">
      <c r="A125" s="15">
        <v>0</v>
      </c>
      <c r="B125" s="50" t="s">
        <v>300</v>
      </c>
      <c r="C125" s="15"/>
      <c r="D125" s="15"/>
      <c r="E125" s="15"/>
      <c r="F125" s="15"/>
      <c r="G125" s="15"/>
      <c r="H125" s="15"/>
      <c r="I125" s="15"/>
      <c r="J125" s="15"/>
      <c r="K125" s="25"/>
      <c r="L125" s="25"/>
      <c r="M125" s="26"/>
      <c r="N125" s="29"/>
      <c r="O125" s="15"/>
      <c r="P125" s="15"/>
      <c r="Q125" s="15"/>
      <c r="R125" s="15"/>
      <c r="S125" s="15"/>
      <c r="T125" s="15"/>
    </row>
    <row r="126" spans="1:20" x14ac:dyDescent="0.35">
      <c r="A126" s="15">
        <v>0</v>
      </c>
      <c r="B126" s="50" t="s">
        <v>301</v>
      </c>
      <c r="C126" s="15"/>
      <c r="D126" s="15"/>
      <c r="E126" s="15"/>
      <c r="F126" s="15"/>
      <c r="G126" s="15"/>
      <c r="H126" s="15"/>
      <c r="I126" s="15"/>
      <c r="J126" s="15"/>
      <c r="K126" s="25"/>
      <c r="L126" s="25"/>
      <c r="M126" s="26"/>
      <c r="N126" s="29"/>
      <c r="O126" s="15"/>
      <c r="P126" s="15"/>
      <c r="Q126" s="15"/>
      <c r="R126" s="15"/>
      <c r="S126" s="15"/>
      <c r="T126" s="15"/>
    </row>
    <row r="127" spans="1:20" x14ac:dyDescent="0.35">
      <c r="A127" s="15">
        <v>0</v>
      </c>
      <c r="B127" s="50" t="s">
        <v>196</v>
      </c>
      <c r="C127" s="15"/>
      <c r="D127" s="15"/>
      <c r="E127" s="15"/>
      <c r="F127" s="15"/>
      <c r="G127" s="15"/>
      <c r="H127" s="15"/>
      <c r="I127" s="15"/>
      <c r="J127" s="15"/>
      <c r="K127" s="25"/>
      <c r="L127" s="25"/>
      <c r="M127" s="26"/>
      <c r="N127" s="29"/>
      <c r="O127" s="15"/>
      <c r="P127" s="15"/>
      <c r="Q127" s="15"/>
      <c r="R127" s="15"/>
      <c r="S127" s="15"/>
      <c r="T127" s="15"/>
    </row>
    <row r="128" spans="1:20" x14ac:dyDescent="0.35">
      <c r="A128" s="52">
        <v>0</v>
      </c>
      <c r="B128" s="53" t="s">
        <v>303</v>
      </c>
      <c r="C128" s="54"/>
      <c r="D128" s="54"/>
      <c r="E128" s="55"/>
      <c r="F128" s="55"/>
      <c r="G128" s="55"/>
      <c r="H128" s="55"/>
      <c r="I128" s="55"/>
      <c r="J128" s="55"/>
      <c r="K128" s="56"/>
      <c r="L128" s="56"/>
      <c r="M128" s="57"/>
      <c r="N128" s="58"/>
      <c r="P128" s="55"/>
      <c r="Q128" s="55"/>
      <c r="R128" s="55"/>
      <c r="S128" s="55"/>
      <c r="T128" s="55"/>
    </row>
    <row r="129" spans="1:20" x14ac:dyDescent="0.35">
      <c r="A129" s="52">
        <v>0</v>
      </c>
      <c r="B129" s="53" t="s">
        <v>304</v>
      </c>
      <c r="C129" s="54"/>
      <c r="D129" s="54"/>
      <c r="E129" s="55"/>
      <c r="F129" s="55"/>
      <c r="G129" s="55"/>
      <c r="H129" s="55"/>
      <c r="I129" s="55"/>
      <c r="J129" s="55"/>
      <c r="K129" s="56"/>
      <c r="L129" s="56"/>
      <c r="M129" s="57"/>
      <c r="N129" s="58"/>
      <c r="P129" s="55"/>
      <c r="Q129" s="55"/>
      <c r="R129" s="55"/>
      <c r="S129" s="55"/>
      <c r="T129" s="55"/>
    </row>
    <row r="130" spans="1:20" x14ac:dyDescent="0.35">
      <c r="A130" s="52">
        <v>0</v>
      </c>
      <c r="B130" s="53" t="s">
        <v>305</v>
      </c>
      <c r="C130" s="54"/>
      <c r="D130" s="54"/>
      <c r="E130" s="55"/>
      <c r="F130" s="55"/>
      <c r="G130" s="55"/>
      <c r="H130" s="55"/>
      <c r="I130" s="55"/>
      <c r="J130" s="55"/>
      <c r="K130" s="56"/>
      <c r="L130" s="56"/>
      <c r="M130" s="57"/>
      <c r="N130" s="58"/>
      <c r="P130" s="55"/>
      <c r="Q130" s="55"/>
      <c r="R130" s="55"/>
      <c r="S130" s="55"/>
      <c r="T130" s="55"/>
    </row>
    <row r="131" spans="1:20" x14ac:dyDescent="0.35">
      <c r="A131" s="52">
        <v>0</v>
      </c>
      <c r="B131" s="53" t="s">
        <v>308</v>
      </c>
      <c r="C131" s="54"/>
      <c r="D131" s="54"/>
      <c r="E131" s="55"/>
      <c r="F131" s="55"/>
      <c r="G131" s="55"/>
      <c r="H131" s="55"/>
      <c r="I131" s="55"/>
      <c r="J131" s="55"/>
      <c r="K131" s="56"/>
      <c r="L131" s="56"/>
      <c r="M131" s="57"/>
      <c r="N131" s="58"/>
      <c r="P131" s="55"/>
      <c r="Q131" s="55"/>
      <c r="R131" s="55"/>
      <c r="S131" s="55"/>
      <c r="T131" s="55"/>
    </row>
    <row r="132" spans="1:20" x14ac:dyDescent="0.35">
      <c r="A132" s="52">
        <v>0</v>
      </c>
      <c r="B132" s="53" t="s">
        <v>309</v>
      </c>
      <c r="C132" s="54"/>
      <c r="D132" s="54"/>
      <c r="E132" s="55"/>
      <c r="F132" s="55"/>
      <c r="G132" s="55"/>
      <c r="H132" s="55"/>
      <c r="I132" s="55"/>
      <c r="J132" s="55"/>
      <c r="K132" s="56"/>
      <c r="L132" s="56"/>
      <c r="M132" s="57"/>
      <c r="N132" s="58"/>
      <c r="P132" s="55"/>
      <c r="Q132" s="55"/>
      <c r="R132" s="55"/>
      <c r="S132" s="55"/>
      <c r="T132" s="55"/>
    </row>
    <row r="133" spans="1:20" x14ac:dyDescent="0.35">
      <c r="A133" s="52">
        <v>0</v>
      </c>
      <c r="B133" s="53" t="s">
        <v>310</v>
      </c>
      <c r="C133" s="54"/>
      <c r="D133" s="54"/>
      <c r="E133" s="55"/>
      <c r="F133" s="55"/>
      <c r="G133" s="55"/>
      <c r="H133" s="55"/>
      <c r="I133" s="55"/>
      <c r="J133" s="55"/>
      <c r="K133" s="56"/>
      <c r="L133" s="56"/>
      <c r="M133" s="57"/>
      <c r="N133" s="58"/>
      <c r="P133" s="55"/>
      <c r="Q133" s="55"/>
      <c r="R133" s="55"/>
      <c r="S133" s="55"/>
      <c r="T133" s="55"/>
    </row>
    <row r="134" spans="1:20" x14ac:dyDescent="0.35">
      <c r="A134" s="52">
        <v>0</v>
      </c>
      <c r="B134" s="53" t="s">
        <v>312</v>
      </c>
      <c r="C134" s="54"/>
      <c r="D134" s="54"/>
      <c r="E134" s="55"/>
      <c r="F134" s="55"/>
      <c r="G134" s="55"/>
      <c r="H134" s="55"/>
      <c r="I134" s="55"/>
      <c r="J134" s="55"/>
      <c r="K134" s="56"/>
      <c r="L134" s="56"/>
      <c r="M134" s="57"/>
      <c r="N134" s="58"/>
      <c r="P134" s="55"/>
      <c r="Q134" s="55"/>
      <c r="R134" s="55"/>
      <c r="S134" s="55"/>
      <c r="T134" s="55"/>
    </row>
    <row r="135" spans="1:20" x14ac:dyDescent="0.35">
      <c r="A135" s="52">
        <v>0</v>
      </c>
      <c r="B135" s="53" t="s">
        <v>313</v>
      </c>
      <c r="C135" s="54"/>
      <c r="D135" s="54"/>
      <c r="E135" s="55"/>
      <c r="F135" s="55"/>
      <c r="G135" s="55"/>
      <c r="H135" s="55"/>
      <c r="I135" s="55"/>
      <c r="J135" s="55"/>
      <c r="K135" s="56"/>
      <c r="L135" s="56"/>
      <c r="M135" s="57"/>
      <c r="N135" s="58"/>
      <c r="P135" s="55"/>
      <c r="Q135" s="55"/>
      <c r="R135" s="55"/>
      <c r="S135" s="55"/>
      <c r="T135" s="55"/>
    </row>
    <row r="136" spans="1:20" x14ac:dyDescent="0.35">
      <c r="A136" s="52">
        <v>0</v>
      </c>
      <c r="B136" s="53" t="s">
        <v>314</v>
      </c>
      <c r="C136" s="54"/>
      <c r="D136" s="54"/>
      <c r="E136" s="55"/>
      <c r="F136" s="55"/>
      <c r="G136" s="55"/>
      <c r="H136" s="55"/>
      <c r="I136" s="55"/>
      <c r="J136" s="55"/>
      <c r="K136" s="56"/>
      <c r="L136" s="56"/>
      <c r="M136" s="57"/>
      <c r="N136" s="58"/>
      <c r="P136" s="55"/>
      <c r="Q136" s="55"/>
      <c r="R136" s="55"/>
      <c r="S136" s="55"/>
      <c r="T136" s="55"/>
    </row>
    <row r="137" spans="1:20" x14ac:dyDescent="0.35">
      <c r="A137" s="52">
        <v>0</v>
      </c>
      <c r="B137" s="53" t="s">
        <v>315</v>
      </c>
      <c r="C137" s="54"/>
      <c r="D137" s="54"/>
      <c r="E137" s="55"/>
      <c r="F137" s="55"/>
      <c r="G137" s="55"/>
      <c r="H137" s="55"/>
      <c r="I137" s="55"/>
      <c r="J137" s="55"/>
      <c r="K137" s="56"/>
      <c r="L137" s="56"/>
      <c r="M137" s="57"/>
      <c r="N137" s="58"/>
      <c r="P137" s="55"/>
      <c r="Q137" s="55"/>
      <c r="R137" s="55"/>
      <c r="S137" s="55"/>
      <c r="T137" s="55"/>
    </row>
    <row r="138" spans="1:20" x14ac:dyDescent="0.35">
      <c r="A138" s="52">
        <v>0</v>
      </c>
      <c r="B138" s="53" t="s">
        <v>317</v>
      </c>
      <c r="C138" s="54"/>
      <c r="D138" s="54"/>
      <c r="E138" s="55"/>
      <c r="F138" s="55"/>
      <c r="G138" s="55"/>
      <c r="H138" s="55"/>
      <c r="I138" s="55"/>
      <c r="J138" s="55"/>
      <c r="K138" s="56"/>
      <c r="L138" s="56"/>
      <c r="M138" s="57"/>
      <c r="N138" s="58"/>
      <c r="P138" s="55"/>
      <c r="Q138" s="55"/>
      <c r="R138" s="55"/>
      <c r="S138" s="55"/>
      <c r="T138" s="55"/>
    </row>
    <row r="139" spans="1:20" x14ac:dyDescent="0.35">
      <c r="A139" s="52">
        <v>0</v>
      </c>
      <c r="B139" s="53" t="s">
        <v>318</v>
      </c>
      <c r="C139" s="54"/>
      <c r="D139" s="54"/>
      <c r="E139" s="55"/>
      <c r="F139" s="55"/>
      <c r="G139" s="55"/>
      <c r="H139" s="55"/>
      <c r="I139" s="55"/>
      <c r="J139" s="55"/>
      <c r="K139" s="56"/>
      <c r="L139" s="56"/>
      <c r="M139" s="57"/>
      <c r="N139" s="58"/>
      <c r="P139" s="55"/>
      <c r="Q139" s="55"/>
      <c r="R139" s="55"/>
      <c r="S139" s="55"/>
      <c r="T139" s="55"/>
    </row>
    <row r="140" spans="1:20" x14ac:dyDescent="0.35">
      <c r="A140" s="52">
        <v>0</v>
      </c>
      <c r="B140" s="53" t="s">
        <v>319</v>
      </c>
      <c r="C140" s="54"/>
      <c r="D140" s="54"/>
      <c r="E140" s="55"/>
      <c r="F140" s="55"/>
      <c r="G140" s="55"/>
      <c r="H140" s="55"/>
      <c r="I140" s="55"/>
      <c r="J140" s="55"/>
      <c r="K140" s="56"/>
      <c r="L140" s="56"/>
      <c r="M140" s="57"/>
      <c r="N140" s="58"/>
      <c r="P140" s="55"/>
      <c r="Q140" s="55"/>
      <c r="R140" s="55"/>
      <c r="S140" s="55"/>
      <c r="T140" s="55"/>
    </row>
    <row r="141" spans="1:20" x14ac:dyDescent="0.35">
      <c r="A141" s="52">
        <v>0</v>
      </c>
      <c r="B141" s="53" t="s">
        <v>322</v>
      </c>
      <c r="C141" s="54"/>
      <c r="D141" s="54"/>
      <c r="E141" s="55"/>
      <c r="F141" s="55"/>
      <c r="G141" s="55"/>
      <c r="H141" s="55"/>
      <c r="I141" s="55"/>
      <c r="J141" s="55"/>
      <c r="K141" s="56"/>
      <c r="L141" s="56"/>
      <c r="M141" s="57"/>
      <c r="N141" s="58"/>
      <c r="P141" s="55"/>
      <c r="Q141" s="55"/>
      <c r="R141" s="55"/>
      <c r="S141" s="55"/>
      <c r="T141" s="55"/>
    </row>
    <row r="142" spans="1:20" x14ac:dyDescent="0.35">
      <c r="A142" s="52">
        <v>0</v>
      </c>
      <c r="B142" s="53" t="s">
        <v>323</v>
      </c>
      <c r="C142" s="54"/>
      <c r="D142" s="54"/>
      <c r="E142" s="55"/>
      <c r="F142" s="55"/>
      <c r="G142" s="55"/>
      <c r="H142" s="55"/>
      <c r="I142" s="55"/>
      <c r="J142" s="55"/>
      <c r="K142" s="56"/>
      <c r="L142" s="56"/>
      <c r="M142" s="57"/>
      <c r="N142" s="58"/>
      <c r="P142" s="55"/>
      <c r="Q142" s="55"/>
      <c r="R142" s="55"/>
      <c r="S142" s="55"/>
      <c r="T142" s="55"/>
    </row>
    <row r="143" spans="1:20" x14ac:dyDescent="0.35">
      <c r="A143" s="52">
        <v>0</v>
      </c>
      <c r="B143" s="53" t="s">
        <v>324</v>
      </c>
      <c r="C143" s="54"/>
      <c r="D143" s="54"/>
      <c r="E143" s="55"/>
      <c r="F143" s="55"/>
      <c r="G143" s="55"/>
      <c r="H143" s="55"/>
      <c r="I143" s="55"/>
      <c r="J143" s="55"/>
      <c r="K143" s="56"/>
      <c r="L143" s="56"/>
      <c r="M143" s="57"/>
      <c r="N143" s="58"/>
      <c r="P143" s="55"/>
      <c r="Q143" s="55"/>
      <c r="R143" s="55"/>
      <c r="S143" s="55"/>
      <c r="T143" s="55"/>
    </row>
    <row r="144" spans="1:20" x14ac:dyDescent="0.35">
      <c r="A144" s="52">
        <v>0</v>
      </c>
      <c r="B144" s="53" t="s">
        <v>325</v>
      </c>
      <c r="C144" s="54"/>
      <c r="D144" s="54"/>
      <c r="E144" s="55"/>
      <c r="F144" s="55"/>
      <c r="G144" s="55"/>
      <c r="H144" s="55"/>
      <c r="I144" s="55"/>
      <c r="J144" s="55"/>
      <c r="K144" s="56"/>
      <c r="L144" s="56"/>
      <c r="M144" s="57"/>
      <c r="N144" s="58"/>
      <c r="P144" s="55"/>
      <c r="Q144" s="55"/>
      <c r="R144" s="55"/>
      <c r="S144" s="55"/>
      <c r="T144" s="55"/>
    </row>
    <row r="145" spans="1:20" x14ac:dyDescent="0.35">
      <c r="A145" s="52">
        <v>0</v>
      </c>
      <c r="B145" s="53" t="s">
        <v>326</v>
      </c>
      <c r="C145" s="54"/>
      <c r="D145" s="54"/>
      <c r="E145" s="55"/>
      <c r="F145" s="55"/>
      <c r="G145" s="55"/>
      <c r="H145" s="55"/>
      <c r="I145" s="55"/>
      <c r="J145" s="55"/>
      <c r="K145" s="56"/>
      <c r="L145" s="56"/>
      <c r="M145" s="57"/>
      <c r="N145" s="58"/>
      <c r="P145" s="55"/>
      <c r="Q145" s="55"/>
      <c r="R145" s="55"/>
      <c r="S145" s="55"/>
      <c r="T145" s="55"/>
    </row>
    <row r="146" spans="1:20" x14ac:dyDescent="0.35">
      <c r="A146" s="52">
        <v>0</v>
      </c>
      <c r="B146" s="53" t="s">
        <v>331</v>
      </c>
      <c r="C146" s="54"/>
      <c r="D146" s="54"/>
      <c r="E146" s="55"/>
      <c r="F146" s="55"/>
      <c r="G146" s="55"/>
      <c r="H146" s="55"/>
      <c r="I146" s="55"/>
      <c r="J146" s="55"/>
      <c r="K146" s="56"/>
      <c r="L146" s="56"/>
      <c r="M146" s="57"/>
      <c r="N146" s="58"/>
      <c r="P146" s="55"/>
      <c r="Q146" s="55"/>
      <c r="R146" s="55"/>
      <c r="S146" s="55"/>
      <c r="T146" s="55"/>
    </row>
    <row r="147" spans="1:20" x14ac:dyDescent="0.35">
      <c r="A147" s="52">
        <v>0</v>
      </c>
      <c r="B147" s="53" t="s">
        <v>332</v>
      </c>
      <c r="C147" s="54"/>
      <c r="D147" s="54"/>
      <c r="E147" s="55"/>
      <c r="F147" s="55"/>
      <c r="G147" s="55"/>
      <c r="H147" s="55"/>
      <c r="I147" s="55"/>
      <c r="J147" s="55"/>
      <c r="K147" s="56"/>
      <c r="L147" s="56"/>
      <c r="M147" s="57"/>
      <c r="N147" s="58"/>
      <c r="P147" s="55"/>
      <c r="Q147" s="55"/>
      <c r="R147" s="55"/>
      <c r="S147" s="55"/>
      <c r="T147" s="55"/>
    </row>
    <row r="148" spans="1:20" x14ac:dyDescent="0.35">
      <c r="A148" s="52">
        <v>0</v>
      </c>
      <c r="B148" s="53" t="s">
        <v>333</v>
      </c>
      <c r="C148" s="54"/>
      <c r="D148" s="54"/>
      <c r="E148" s="55"/>
      <c r="F148" s="55"/>
      <c r="G148" s="55"/>
      <c r="H148" s="55"/>
      <c r="I148" s="55"/>
      <c r="J148" s="55"/>
      <c r="K148" s="56"/>
      <c r="L148" s="56"/>
      <c r="M148" s="57"/>
      <c r="N148" s="58"/>
      <c r="P148" s="55"/>
      <c r="Q148" s="55"/>
      <c r="R148" s="55"/>
      <c r="S148" s="55"/>
      <c r="T148" s="55"/>
    </row>
    <row r="149" spans="1:20" x14ac:dyDescent="0.35">
      <c r="A149" s="52">
        <v>0</v>
      </c>
      <c r="B149" s="53" t="s">
        <v>334</v>
      </c>
      <c r="C149" s="54"/>
      <c r="D149" s="54"/>
      <c r="E149" s="55"/>
      <c r="F149" s="55"/>
      <c r="G149" s="55"/>
      <c r="H149" s="55"/>
      <c r="I149" s="55"/>
      <c r="J149" s="55"/>
      <c r="K149" s="56"/>
      <c r="L149" s="56"/>
      <c r="M149" s="57"/>
      <c r="N149" s="58"/>
      <c r="P149" s="55"/>
      <c r="Q149" s="55"/>
      <c r="R149" s="55"/>
      <c r="S149" s="55"/>
      <c r="T149" s="55"/>
    </row>
    <row r="150" spans="1:20" x14ac:dyDescent="0.35">
      <c r="A150" s="52">
        <v>0</v>
      </c>
      <c r="B150" s="53" t="s">
        <v>335</v>
      </c>
      <c r="C150" s="54"/>
      <c r="D150" s="54"/>
      <c r="E150" s="55"/>
      <c r="F150" s="55"/>
      <c r="G150" s="55"/>
      <c r="H150" s="55"/>
      <c r="I150" s="55"/>
      <c r="J150" s="55"/>
      <c r="K150" s="56"/>
      <c r="L150" s="56"/>
      <c r="M150" s="57"/>
      <c r="N150" s="58"/>
      <c r="P150" s="55"/>
      <c r="Q150" s="55"/>
      <c r="R150" s="55"/>
      <c r="S150" s="55"/>
      <c r="T150" s="55"/>
    </row>
    <row r="151" spans="1:20" x14ac:dyDescent="0.35">
      <c r="A151" s="52">
        <v>0</v>
      </c>
      <c r="B151" s="53" t="s">
        <v>336</v>
      </c>
      <c r="C151" s="54"/>
      <c r="D151" s="54"/>
      <c r="E151" s="55"/>
      <c r="F151" s="55"/>
      <c r="G151" s="55"/>
      <c r="H151" s="55"/>
      <c r="I151" s="55"/>
      <c r="J151" s="55"/>
      <c r="K151" s="56"/>
      <c r="L151" s="56"/>
      <c r="M151" s="57"/>
      <c r="N151" s="58"/>
      <c r="P151" s="55"/>
      <c r="Q151" s="55"/>
      <c r="R151" s="55"/>
      <c r="S151" s="55"/>
      <c r="T151" s="55"/>
    </row>
    <row r="152" spans="1:20" x14ac:dyDescent="0.35">
      <c r="A152" s="52">
        <v>0</v>
      </c>
      <c r="B152" s="53" t="s">
        <v>338</v>
      </c>
      <c r="C152" s="54"/>
      <c r="D152" s="54"/>
      <c r="E152" s="55"/>
      <c r="F152" s="55"/>
      <c r="G152" s="55"/>
      <c r="H152" s="55"/>
      <c r="I152" s="55"/>
      <c r="J152" s="55"/>
      <c r="K152" s="56"/>
      <c r="L152" s="56"/>
      <c r="M152" s="57"/>
      <c r="N152" s="58"/>
      <c r="P152" s="55"/>
      <c r="Q152" s="55"/>
      <c r="R152" s="55"/>
      <c r="S152" s="55"/>
      <c r="T152" s="55"/>
    </row>
    <row r="153" spans="1:20" x14ac:dyDescent="0.35">
      <c r="A153" s="52">
        <v>0</v>
      </c>
      <c r="B153" s="53" t="s">
        <v>339</v>
      </c>
      <c r="C153" s="54"/>
      <c r="D153" s="54"/>
      <c r="E153" s="55"/>
      <c r="F153" s="55"/>
      <c r="G153" s="55"/>
      <c r="H153" s="55"/>
      <c r="I153" s="55"/>
      <c r="J153" s="55"/>
      <c r="K153" s="56"/>
      <c r="L153" s="56"/>
      <c r="M153" s="57"/>
      <c r="N153" s="58"/>
      <c r="P153" s="55"/>
      <c r="Q153" s="55"/>
      <c r="R153" s="55"/>
      <c r="S153" s="55"/>
      <c r="T153" s="55"/>
    </row>
    <row r="154" spans="1:20" x14ac:dyDescent="0.35">
      <c r="A154" s="52">
        <v>0</v>
      </c>
      <c r="B154" s="53" t="s">
        <v>340</v>
      </c>
      <c r="C154" s="54"/>
      <c r="D154" s="54"/>
      <c r="E154" s="55"/>
      <c r="F154" s="55"/>
      <c r="G154" s="55"/>
      <c r="H154" s="55"/>
      <c r="I154" s="55"/>
      <c r="J154" s="55"/>
      <c r="K154" s="56"/>
      <c r="L154" s="56"/>
      <c r="M154" s="57"/>
      <c r="N154" s="58"/>
      <c r="P154" s="55"/>
      <c r="Q154" s="55"/>
      <c r="R154" s="55"/>
      <c r="S154" s="55"/>
      <c r="T154" s="55"/>
    </row>
    <row r="155" spans="1:20" x14ac:dyDescent="0.35">
      <c r="A155" s="52">
        <v>0</v>
      </c>
      <c r="B155" s="53" t="s">
        <v>341</v>
      </c>
      <c r="C155" s="54"/>
      <c r="D155" s="54"/>
      <c r="E155" s="55"/>
      <c r="F155" s="55"/>
      <c r="G155" s="55"/>
      <c r="H155" s="55"/>
      <c r="I155" s="55"/>
      <c r="J155" s="55"/>
      <c r="K155" s="56"/>
      <c r="L155" s="56"/>
      <c r="M155" s="57"/>
      <c r="N155" s="58"/>
      <c r="P155" s="55"/>
      <c r="Q155" s="55"/>
      <c r="R155" s="55"/>
      <c r="S155" s="55"/>
      <c r="T155" s="55"/>
    </row>
    <row r="156" spans="1:20" x14ac:dyDescent="0.35">
      <c r="A156" s="52">
        <v>0</v>
      </c>
      <c r="B156" s="53" t="s">
        <v>342</v>
      </c>
      <c r="C156" s="54"/>
      <c r="D156" s="54"/>
      <c r="E156" s="55"/>
      <c r="F156" s="55"/>
      <c r="G156" s="55"/>
      <c r="H156" s="55"/>
      <c r="I156" s="55"/>
      <c r="J156" s="55"/>
      <c r="K156" s="56"/>
      <c r="L156" s="56"/>
      <c r="M156" s="57"/>
      <c r="N156" s="58"/>
      <c r="P156" s="55"/>
      <c r="Q156" s="55"/>
      <c r="R156" s="55"/>
      <c r="S156" s="55"/>
      <c r="T156" s="55"/>
    </row>
    <row r="157" spans="1:20" x14ac:dyDescent="0.35">
      <c r="A157" s="52">
        <v>0</v>
      </c>
      <c r="B157" s="53" t="s">
        <v>344</v>
      </c>
      <c r="C157" s="54"/>
      <c r="D157" s="54"/>
      <c r="E157" s="55"/>
      <c r="F157" s="55"/>
      <c r="G157" s="55"/>
      <c r="H157" s="55"/>
      <c r="I157" s="55"/>
      <c r="J157" s="55"/>
      <c r="K157" s="56"/>
      <c r="L157" s="56"/>
      <c r="M157" s="57"/>
      <c r="N157" s="58"/>
      <c r="P157" s="55"/>
      <c r="Q157" s="55"/>
      <c r="R157" s="55"/>
      <c r="S157" s="55"/>
      <c r="T157" s="55"/>
    </row>
    <row r="158" spans="1:20" x14ac:dyDescent="0.35">
      <c r="A158" s="52">
        <v>0</v>
      </c>
      <c r="B158" s="53" t="s">
        <v>346</v>
      </c>
      <c r="C158" s="54"/>
      <c r="D158" s="54"/>
      <c r="E158" s="55"/>
      <c r="F158" s="55"/>
      <c r="G158" s="55"/>
      <c r="H158" s="55"/>
      <c r="I158" s="55"/>
      <c r="J158" s="55"/>
      <c r="K158" s="56"/>
      <c r="L158" s="56"/>
      <c r="M158" s="57"/>
      <c r="N158" s="58"/>
      <c r="P158" s="55"/>
      <c r="Q158" s="55"/>
      <c r="R158" s="55"/>
      <c r="S158" s="55"/>
      <c r="T158" s="55"/>
    </row>
    <row r="159" spans="1:20" x14ac:dyDescent="0.35">
      <c r="A159" s="52">
        <v>0</v>
      </c>
      <c r="B159" s="53" t="s">
        <v>347</v>
      </c>
      <c r="C159" s="54"/>
      <c r="D159" s="54"/>
      <c r="E159" s="55"/>
      <c r="F159" s="55"/>
      <c r="G159" s="55"/>
      <c r="H159" s="55"/>
      <c r="I159" s="55"/>
      <c r="J159" s="55"/>
      <c r="K159" s="56"/>
      <c r="L159" s="56"/>
      <c r="M159" s="57"/>
      <c r="N159" s="58"/>
      <c r="P159" s="55"/>
      <c r="Q159" s="55"/>
      <c r="R159" s="55"/>
      <c r="S159" s="55"/>
      <c r="T159" s="55"/>
    </row>
    <row r="160" spans="1:20" x14ac:dyDescent="0.35">
      <c r="A160" s="52">
        <v>0</v>
      </c>
      <c r="B160" s="53" t="s">
        <v>348</v>
      </c>
      <c r="C160" s="54"/>
      <c r="D160" s="54"/>
      <c r="E160" s="55"/>
      <c r="F160" s="55"/>
      <c r="G160" s="55"/>
      <c r="H160" s="55"/>
      <c r="I160" s="55"/>
      <c r="J160" s="55"/>
      <c r="K160" s="56"/>
      <c r="L160" s="56"/>
      <c r="M160" s="57"/>
      <c r="N160" s="58"/>
      <c r="P160" s="55"/>
      <c r="Q160" s="55"/>
      <c r="R160" s="55"/>
      <c r="S160" s="55"/>
      <c r="T160" s="55"/>
    </row>
    <row r="161" spans="1:20" x14ac:dyDescent="0.35">
      <c r="A161" s="52">
        <v>0</v>
      </c>
      <c r="B161" s="53" t="s">
        <v>349</v>
      </c>
      <c r="C161" s="54"/>
      <c r="D161" s="54"/>
      <c r="E161" s="55"/>
      <c r="F161" s="55"/>
      <c r="G161" s="55"/>
      <c r="H161" s="55"/>
      <c r="I161" s="55"/>
      <c r="J161" s="55"/>
      <c r="K161" s="56"/>
      <c r="L161" s="56"/>
      <c r="M161" s="57"/>
      <c r="N161" s="58"/>
      <c r="P161" s="55"/>
      <c r="Q161" s="55"/>
      <c r="R161" s="55"/>
      <c r="S161" s="55"/>
      <c r="T161" s="55"/>
    </row>
    <row r="162" spans="1:20" x14ac:dyDescent="0.35">
      <c r="A162" s="52">
        <v>0</v>
      </c>
      <c r="B162" s="53" t="s">
        <v>350</v>
      </c>
      <c r="C162" s="54"/>
      <c r="D162" s="54"/>
      <c r="E162" s="55"/>
      <c r="F162" s="55"/>
      <c r="G162" s="55"/>
      <c r="H162" s="55"/>
      <c r="I162" s="55"/>
      <c r="J162" s="55"/>
      <c r="K162" s="56"/>
      <c r="L162" s="56"/>
      <c r="M162" s="57"/>
      <c r="N162" s="58"/>
      <c r="P162" s="55"/>
      <c r="Q162" s="55"/>
      <c r="R162" s="55"/>
      <c r="S162" s="55"/>
      <c r="T162" s="55"/>
    </row>
    <row r="163" spans="1:20" x14ac:dyDescent="0.35">
      <c r="A163" s="52">
        <v>0</v>
      </c>
      <c r="B163" s="53" t="s">
        <v>351</v>
      </c>
      <c r="C163" s="54"/>
      <c r="D163" s="54"/>
      <c r="E163" s="55"/>
      <c r="F163" s="55"/>
      <c r="G163" s="55"/>
      <c r="H163" s="55"/>
      <c r="I163" s="55"/>
      <c r="J163" s="55"/>
      <c r="K163" s="56"/>
      <c r="L163" s="56"/>
      <c r="M163" s="57"/>
      <c r="N163" s="58"/>
      <c r="P163" s="55"/>
      <c r="Q163" s="55"/>
      <c r="R163" s="55"/>
      <c r="S163" s="55"/>
      <c r="T163" s="55"/>
    </row>
    <row r="164" spans="1:20" x14ac:dyDescent="0.35">
      <c r="A164" s="52">
        <v>0</v>
      </c>
      <c r="B164" s="53" t="s">
        <v>352</v>
      </c>
      <c r="C164" s="54"/>
      <c r="D164" s="54"/>
      <c r="E164" s="55"/>
      <c r="F164" s="55"/>
      <c r="G164" s="55"/>
      <c r="H164" s="55"/>
      <c r="I164" s="55"/>
      <c r="J164" s="55"/>
      <c r="K164" s="56"/>
      <c r="L164" s="56"/>
      <c r="M164" s="57"/>
      <c r="N164" s="58"/>
      <c r="P164" s="55"/>
      <c r="Q164" s="55"/>
      <c r="R164" s="55"/>
      <c r="S164" s="55"/>
      <c r="T164" s="55"/>
    </row>
    <row r="165" spans="1:20" x14ac:dyDescent="0.35">
      <c r="A165" s="52">
        <v>0</v>
      </c>
      <c r="B165" s="53" t="s">
        <v>353</v>
      </c>
      <c r="C165" s="54"/>
      <c r="D165" s="54"/>
      <c r="E165" s="55"/>
      <c r="F165" s="55"/>
      <c r="G165" s="55"/>
      <c r="H165" s="55"/>
      <c r="I165" s="55"/>
      <c r="J165" s="55"/>
      <c r="K165" s="56"/>
      <c r="L165" s="56"/>
      <c r="M165" s="57"/>
      <c r="N165" s="58"/>
      <c r="P165" s="55"/>
      <c r="Q165" s="55"/>
      <c r="R165" s="55"/>
      <c r="S165" s="55"/>
      <c r="T165" s="55"/>
    </row>
    <row r="166" spans="1:20" x14ac:dyDescent="0.35">
      <c r="A166" s="52">
        <v>0</v>
      </c>
      <c r="B166" s="53" t="s">
        <v>354</v>
      </c>
      <c r="C166" s="54"/>
      <c r="D166" s="54"/>
      <c r="E166" s="55"/>
      <c r="F166" s="55"/>
      <c r="G166" s="55"/>
      <c r="H166" s="55"/>
      <c r="I166" s="55"/>
      <c r="J166" s="55"/>
      <c r="K166" s="56"/>
      <c r="L166" s="56"/>
      <c r="M166" s="57"/>
      <c r="N166" s="58"/>
      <c r="P166" s="55"/>
      <c r="Q166" s="55"/>
      <c r="R166" s="55"/>
      <c r="S166" s="55"/>
      <c r="T166" s="55"/>
    </row>
    <row r="167" spans="1:20" x14ac:dyDescent="0.35">
      <c r="A167" s="52">
        <v>0</v>
      </c>
      <c r="B167" s="53" t="s">
        <v>356</v>
      </c>
      <c r="C167" s="54"/>
      <c r="D167" s="54"/>
      <c r="E167" s="55"/>
      <c r="F167" s="55"/>
      <c r="G167" s="55"/>
      <c r="H167" s="55"/>
      <c r="I167" s="55"/>
      <c r="J167" s="55"/>
      <c r="K167" s="56"/>
      <c r="L167" s="56"/>
      <c r="M167" s="57"/>
      <c r="N167" s="58"/>
      <c r="P167" s="55"/>
      <c r="Q167" s="55"/>
      <c r="R167" s="55"/>
      <c r="S167" s="55"/>
      <c r="T167" s="55"/>
    </row>
    <row r="168" spans="1:20" x14ac:dyDescent="0.35">
      <c r="A168" s="52">
        <v>0</v>
      </c>
      <c r="B168" s="53" t="s">
        <v>357</v>
      </c>
      <c r="C168" s="54"/>
      <c r="D168" s="54"/>
      <c r="E168" s="55"/>
      <c r="F168" s="55"/>
      <c r="G168" s="55"/>
      <c r="H168" s="55"/>
      <c r="I168" s="55"/>
      <c r="J168" s="55"/>
      <c r="K168" s="56"/>
      <c r="L168" s="56"/>
      <c r="M168" s="57"/>
      <c r="N168" s="58"/>
      <c r="P168" s="55"/>
      <c r="Q168" s="55"/>
      <c r="R168" s="55"/>
      <c r="S168" s="55"/>
      <c r="T168" s="55"/>
    </row>
    <row r="169" spans="1:20" x14ac:dyDescent="0.35">
      <c r="A169" s="52">
        <v>0</v>
      </c>
      <c r="B169" s="53" t="s">
        <v>358</v>
      </c>
      <c r="C169" s="54"/>
      <c r="D169" s="54"/>
      <c r="E169" s="55"/>
      <c r="F169" s="55"/>
      <c r="G169" s="55"/>
      <c r="H169" s="55"/>
      <c r="I169" s="55"/>
      <c r="J169" s="55"/>
      <c r="K169" s="56"/>
      <c r="L169" s="56"/>
      <c r="M169" s="57"/>
      <c r="N169" s="58"/>
      <c r="P169" s="55"/>
      <c r="Q169" s="55"/>
      <c r="R169" s="55"/>
      <c r="S169" s="55"/>
      <c r="T169" s="55"/>
    </row>
    <row r="170" spans="1:20" x14ac:dyDescent="0.35">
      <c r="A170" s="52">
        <v>0</v>
      </c>
      <c r="B170" s="53" t="s">
        <v>359</v>
      </c>
      <c r="C170" s="54"/>
      <c r="D170" s="54"/>
      <c r="E170" s="55"/>
      <c r="F170" s="55"/>
      <c r="G170" s="55"/>
      <c r="H170" s="55"/>
      <c r="I170" s="55"/>
      <c r="J170" s="55"/>
      <c r="K170" s="56"/>
      <c r="L170" s="56"/>
      <c r="M170" s="57"/>
      <c r="N170" s="58"/>
      <c r="P170" s="55"/>
      <c r="Q170" s="55"/>
      <c r="R170" s="55"/>
      <c r="S170" s="55"/>
      <c r="T170" s="55"/>
    </row>
    <row r="171" spans="1:20" x14ac:dyDescent="0.35">
      <c r="A171" s="52">
        <v>0</v>
      </c>
      <c r="B171" s="53" t="s">
        <v>360</v>
      </c>
      <c r="C171" s="54"/>
      <c r="D171" s="54"/>
      <c r="E171" s="55"/>
      <c r="F171" s="55"/>
      <c r="G171" s="55"/>
      <c r="H171" s="55"/>
      <c r="I171" s="55"/>
      <c r="J171" s="55"/>
      <c r="K171" s="56"/>
      <c r="L171" s="56"/>
      <c r="M171" s="57"/>
      <c r="N171" s="58"/>
      <c r="P171" s="55"/>
      <c r="Q171" s="55"/>
      <c r="R171" s="55"/>
      <c r="S171" s="55"/>
      <c r="T171" s="55"/>
    </row>
    <row r="172" spans="1:20" x14ac:dyDescent="0.35">
      <c r="A172" s="52">
        <v>0</v>
      </c>
      <c r="B172" s="53" t="s">
        <v>371</v>
      </c>
      <c r="C172" s="54"/>
      <c r="D172" s="54"/>
      <c r="E172" s="55"/>
      <c r="F172" s="55"/>
      <c r="G172" s="55"/>
      <c r="H172" s="55"/>
      <c r="I172" s="55"/>
      <c r="J172" s="55"/>
      <c r="K172" s="56"/>
      <c r="L172" s="56"/>
      <c r="M172" s="57"/>
      <c r="N172" s="58"/>
      <c r="P172" s="55"/>
      <c r="Q172" s="55"/>
      <c r="R172" s="55"/>
      <c r="S172" s="55"/>
      <c r="T172" s="55"/>
    </row>
    <row r="173" spans="1:20" x14ac:dyDescent="0.35">
      <c r="A173" s="52">
        <v>0</v>
      </c>
      <c r="B173" s="53" t="s">
        <v>372</v>
      </c>
      <c r="C173" s="54"/>
      <c r="D173" s="54"/>
      <c r="E173" s="55"/>
      <c r="F173" s="55"/>
      <c r="G173" s="55"/>
      <c r="H173" s="55"/>
      <c r="I173" s="55"/>
      <c r="J173" s="55"/>
      <c r="K173" s="56"/>
      <c r="L173" s="56"/>
      <c r="M173" s="57"/>
      <c r="N173" s="58"/>
      <c r="P173" s="55"/>
      <c r="Q173" s="55"/>
      <c r="R173" s="55"/>
      <c r="S173" s="55"/>
      <c r="T173" s="55"/>
    </row>
    <row r="174" spans="1:20" x14ac:dyDescent="0.35">
      <c r="A174" s="52">
        <v>0</v>
      </c>
      <c r="B174" s="53" t="s">
        <v>373</v>
      </c>
      <c r="C174" s="54"/>
      <c r="D174" s="54"/>
      <c r="E174" s="55"/>
      <c r="F174" s="55"/>
      <c r="G174" s="55"/>
      <c r="H174" s="55"/>
      <c r="I174" s="55"/>
      <c r="J174" s="55"/>
      <c r="K174" s="56"/>
      <c r="L174" s="56"/>
      <c r="M174" s="57"/>
      <c r="N174" s="58"/>
      <c r="P174" s="55"/>
      <c r="Q174" s="55"/>
      <c r="R174" s="55"/>
      <c r="S174" s="55"/>
      <c r="T174" s="55"/>
    </row>
    <row r="175" spans="1:20" x14ac:dyDescent="0.35">
      <c r="A175" s="52">
        <v>0</v>
      </c>
      <c r="B175" s="53" t="s">
        <v>374</v>
      </c>
      <c r="C175" s="54"/>
      <c r="D175" s="54"/>
      <c r="E175" s="55"/>
      <c r="F175" s="55"/>
      <c r="G175" s="55"/>
      <c r="H175" s="55"/>
      <c r="I175" s="55"/>
      <c r="J175" s="55"/>
      <c r="K175" s="56"/>
      <c r="L175" s="56"/>
      <c r="M175" s="57"/>
      <c r="N175" s="58"/>
      <c r="P175" s="55"/>
      <c r="Q175" s="55"/>
      <c r="R175" s="55"/>
      <c r="S175" s="55"/>
      <c r="T175" s="55"/>
    </row>
    <row r="176" spans="1:20" x14ac:dyDescent="0.35">
      <c r="A176" s="52">
        <v>0</v>
      </c>
      <c r="B176" s="53" t="s">
        <v>375</v>
      </c>
      <c r="C176" s="54"/>
      <c r="D176" s="54"/>
      <c r="E176" s="55"/>
      <c r="F176" s="55"/>
      <c r="G176" s="55"/>
      <c r="H176" s="55"/>
      <c r="I176" s="55"/>
      <c r="J176" s="55"/>
      <c r="K176" s="56"/>
      <c r="L176" s="56"/>
      <c r="M176" s="57"/>
      <c r="N176" s="58"/>
      <c r="P176" s="55"/>
      <c r="Q176" s="55"/>
      <c r="R176" s="55"/>
      <c r="S176" s="55"/>
      <c r="T176" s="55"/>
    </row>
    <row r="177" spans="1:20" x14ac:dyDescent="0.35">
      <c r="A177" s="52">
        <v>0</v>
      </c>
      <c r="B177" s="53" t="s">
        <v>376</v>
      </c>
      <c r="C177" s="54"/>
      <c r="D177" s="54"/>
      <c r="E177" s="55"/>
      <c r="F177" s="55"/>
      <c r="G177" s="55"/>
      <c r="H177" s="55"/>
      <c r="I177" s="55"/>
      <c r="J177" s="55"/>
      <c r="K177" s="56"/>
      <c r="L177" s="56"/>
      <c r="M177" s="57"/>
      <c r="N177" s="58"/>
      <c r="P177" s="55"/>
      <c r="Q177" s="55"/>
      <c r="R177" s="55"/>
      <c r="S177" s="55"/>
      <c r="T177" s="55"/>
    </row>
    <row r="178" spans="1:20" x14ac:dyDescent="0.35">
      <c r="A178" s="52">
        <v>0</v>
      </c>
      <c r="B178" s="53" t="s">
        <v>377</v>
      </c>
      <c r="C178" s="54"/>
      <c r="D178" s="54"/>
      <c r="E178" s="55"/>
      <c r="F178" s="55"/>
      <c r="G178" s="55"/>
      <c r="H178" s="55"/>
      <c r="I178" s="55"/>
      <c r="J178" s="55"/>
      <c r="K178" s="56"/>
      <c r="L178" s="56"/>
      <c r="M178" s="57"/>
      <c r="N178" s="58"/>
      <c r="P178" s="55"/>
      <c r="Q178" s="55"/>
      <c r="R178" s="55"/>
      <c r="S178" s="55"/>
      <c r="T178" s="55"/>
    </row>
    <row r="179" spans="1:20" x14ac:dyDescent="0.35">
      <c r="A179" s="52">
        <v>0</v>
      </c>
      <c r="B179" s="53" t="s">
        <v>378</v>
      </c>
      <c r="C179" s="54"/>
      <c r="D179" s="54"/>
      <c r="E179" s="55"/>
      <c r="F179" s="55"/>
      <c r="G179" s="55"/>
      <c r="H179" s="55"/>
      <c r="I179" s="55"/>
      <c r="J179" s="55"/>
      <c r="K179" s="56"/>
      <c r="L179" s="56"/>
      <c r="M179" s="57"/>
      <c r="N179" s="58"/>
      <c r="P179" s="55"/>
      <c r="Q179" s="55"/>
      <c r="R179" s="55"/>
      <c r="S179" s="55"/>
      <c r="T179" s="55"/>
    </row>
    <row r="180" spans="1:20" x14ac:dyDescent="0.35">
      <c r="A180" s="52">
        <v>0</v>
      </c>
      <c r="B180" s="53" t="s">
        <v>379</v>
      </c>
      <c r="C180" s="54"/>
      <c r="D180" s="54"/>
      <c r="E180" s="55"/>
      <c r="F180" s="55"/>
      <c r="G180" s="55"/>
      <c r="H180" s="55"/>
      <c r="I180" s="55"/>
      <c r="J180" s="55"/>
      <c r="K180" s="56"/>
      <c r="L180" s="56"/>
      <c r="M180" s="57"/>
      <c r="N180" s="58"/>
      <c r="P180" s="55"/>
      <c r="Q180" s="55"/>
      <c r="R180" s="55"/>
      <c r="S180" s="55"/>
      <c r="T180" s="55"/>
    </row>
    <row r="181" spans="1:20" x14ac:dyDescent="0.35">
      <c r="A181" s="52">
        <v>0</v>
      </c>
      <c r="B181" s="53" t="s">
        <v>380</v>
      </c>
      <c r="C181" s="54"/>
      <c r="D181" s="54"/>
      <c r="E181" s="55"/>
      <c r="F181" s="55"/>
      <c r="G181" s="55"/>
      <c r="H181" s="55"/>
      <c r="I181" s="55"/>
      <c r="J181" s="55"/>
      <c r="K181" s="56"/>
      <c r="L181" s="56"/>
      <c r="M181" s="57"/>
      <c r="N181" s="58"/>
      <c r="P181" s="55"/>
      <c r="Q181" s="55"/>
      <c r="R181" s="55"/>
      <c r="S181" s="55"/>
      <c r="T181" s="55"/>
    </row>
    <row r="182" spans="1:20" x14ac:dyDescent="0.35">
      <c r="A182" s="52">
        <v>0</v>
      </c>
      <c r="B182" s="53" t="s">
        <v>381</v>
      </c>
      <c r="C182" s="54"/>
      <c r="D182" s="54"/>
      <c r="E182" s="55"/>
      <c r="F182" s="55"/>
      <c r="G182" s="55"/>
      <c r="H182" s="55"/>
      <c r="I182" s="55"/>
      <c r="J182" s="55"/>
      <c r="K182" s="56"/>
      <c r="L182" s="56"/>
      <c r="M182" s="57"/>
      <c r="N182" s="58"/>
      <c r="P182" s="55"/>
      <c r="Q182" s="55"/>
      <c r="R182" s="55"/>
      <c r="S182" s="55"/>
      <c r="T182" s="55"/>
    </row>
    <row r="183" spans="1:20" x14ac:dyDescent="0.35">
      <c r="A183" s="52">
        <v>0</v>
      </c>
      <c r="B183" s="53" t="s">
        <v>382</v>
      </c>
      <c r="C183" s="54"/>
      <c r="D183" s="54"/>
      <c r="E183" s="55"/>
      <c r="F183" s="55"/>
      <c r="G183" s="55"/>
      <c r="H183" s="55"/>
      <c r="I183" s="55"/>
      <c r="J183" s="55"/>
      <c r="K183" s="56"/>
      <c r="L183" s="56"/>
      <c r="M183" s="57"/>
      <c r="N183" s="58"/>
      <c r="P183" s="55"/>
      <c r="Q183" s="55"/>
      <c r="R183" s="55"/>
      <c r="S183" s="55"/>
      <c r="T183" s="55"/>
    </row>
    <row r="184" spans="1:20" x14ac:dyDescent="0.35">
      <c r="A184" s="52">
        <v>0</v>
      </c>
      <c r="B184" s="53" t="s">
        <v>383</v>
      </c>
      <c r="C184" s="54"/>
      <c r="D184" s="54"/>
      <c r="E184" s="55"/>
      <c r="F184" s="55"/>
      <c r="G184" s="55"/>
      <c r="H184" s="55"/>
      <c r="I184" s="55"/>
      <c r="J184" s="55"/>
      <c r="K184" s="56"/>
      <c r="L184" s="56"/>
      <c r="M184" s="57"/>
      <c r="N184" s="58"/>
      <c r="P184" s="55"/>
      <c r="Q184" s="55"/>
      <c r="R184" s="55"/>
      <c r="S184" s="55"/>
      <c r="T184" s="55"/>
    </row>
    <row r="185" spans="1:20" x14ac:dyDescent="0.35">
      <c r="A185" s="52">
        <v>0</v>
      </c>
      <c r="B185" s="53" t="s">
        <v>384</v>
      </c>
      <c r="C185" s="54"/>
      <c r="D185" s="54"/>
      <c r="E185" s="55"/>
      <c r="F185" s="55"/>
      <c r="G185" s="55"/>
      <c r="H185" s="55"/>
      <c r="I185" s="55"/>
      <c r="J185" s="55"/>
      <c r="K185" s="56"/>
      <c r="L185" s="56"/>
      <c r="M185" s="57"/>
      <c r="N185" s="58"/>
      <c r="P185" s="55"/>
      <c r="Q185" s="55"/>
      <c r="R185" s="55"/>
      <c r="S185" s="55"/>
      <c r="T185" s="55"/>
    </row>
    <row r="186" spans="1:20" x14ac:dyDescent="0.35">
      <c r="A186" s="52">
        <v>0</v>
      </c>
      <c r="B186" s="53" t="s">
        <v>385</v>
      </c>
      <c r="C186" s="54"/>
      <c r="D186" s="54"/>
      <c r="E186" s="55"/>
      <c r="F186" s="55"/>
      <c r="G186" s="55"/>
      <c r="H186" s="55"/>
      <c r="I186" s="55"/>
      <c r="J186" s="55"/>
      <c r="K186" s="56"/>
      <c r="L186" s="56"/>
      <c r="M186" s="57"/>
      <c r="N186" s="58"/>
      <c r="P186" s="55"/>
      <c r="Q186" s="55"/>
      <c r="R186" s="55"/>
      <c r="S186" s="55"/>
      <c r="T186" s="55"/>
    </row>
    <row r="187" spans="1:20" x14ac:dyDescent="0.35">
      <c r="A187" s="52">
        <v>0</v>
      </c>
      <c r="B187" s="53" t="s">
        <v>386</v>
      </c>
      <c r="C187" s="54"/>
      <c r="D187" s="54"/>
      <c r="E187" s="55"/>
      <c r="F187" s="55"/>
      <c r="G187" s="55"/>
      <c r="H187" s="55"/>
      <c r="I187" s="55"/>
      <c r="J187" s="55"/>
      <c r="K187" s="56"/>
      <c r="L187" s="56"/>
      <c r="M187" s="57"/>
      <c r="N187" s="58"/>
      <c r="P187" s="55"/>
      <c r="Q187" s="55"/>
      <c r="R187" s="55"/>
      <c r="S187" s="55"/>
      <c r="T187" s="55"/>
    </row>
    <row r="188" spans="1:20" x14ac:dyDescent="0.35">
      <c r="A188" s="52">
        <v>0</v>
      </c>
      <c r="B188" s="53" t="s">
        <v>387</v>
      </c>
      <c r="C188" s="54"/>
      <c r="D188" s="54"/>
      <c r="E188" s="55"/>
      <c r="F188" s="55"/>
      <c r="G188" s="55"/>
      <c r="H188" s="55"/>
      <c r="I188" s="55"/>
      <c r="J188" s="55"/>
      <c r="K188" s="56"/>
      <c r="L188" s="56"/>
      <c r="M188" s="57"/>
      <c r="N188" s="58"/>
      <c r="P188" s="55"/>
      <c r="Q188" s="55"/>
      <c r="R188" s="55"/>
      <c r="S188" s="55"/>
      <c r="T188" s="55"/>
    </row>
    <row r="189" spans="1:20" x14ac:dyDescent="0.35">
      <c r="A189" s="52">
        <v>0</v>
      </c>
      <c r="B189" s="53" t="s">
        <v>388</v>
      </c>
      <c r="C189" s="54"/>
      <c r="D189" s="54"/>
      <c r="E189" s="55"/>
      <c r="F189" s="55"/>
      <c r="G189" s="55"/>
      <c r="H189" s="55"/>
      <c r="I189" s="55"/>
      <c r="J189" s="55"/>
      <c r="K189" s="56"/>
      <c r="L189" s="56"/>
      <c r="M189" s="57"/>
      <c r="N189" s="58"/>
      <c r="P189" s="55"/>
      <c r="Q189" s="55"/>
      <c r="R189" s="55"/>
      <c r="S189" s="55"/>
      <c r="T189" s="55"/>
    </row>
    <row r="190" spans="1:20" x14ac:dyDescent="0.35">
      <c r="A190" s="52">
        <v>0</v>
      </c>
      <c r="B190" s="53" t="s">
        <v>389</v>
      </c>
      <c r="C190" s="54"/>
      <c r="D190" s="54"/>
      <c r="E190" s="55"/>
      <c r="F190" s="55"/>
      <c r="G190" s="55"/>
      <c r="H190" s="55"/>
      <c r="I190" s="55"/>
      <c r="J190" s="55"/>
      <c r="K190" s="56"/>
      <c r="L190" s="56"/>
      <c r="M190" s="57"/>
      <c r="N190" s="58"/>
      <c r="P190" s="55"/>
      <c r="Q190" s="55"/>
      <c r="R190" s="55"/>
      <c r="S190" s="55"/>
      <c r="T190" s="55"/>
    </row>
    <row r="191" spans="1:20" x14ac:dyDescent="0.35">
      <c r="A191" s="52">
        <v>0</v>
      </c>
      <c r="B191" s="53" t="s">
        <v>390</v>
      </c>
      <c r="C191" s="54"/>
      <c r="D191" s="54"/>
      <c r="E191" s="55"/>
      <c r="F191" s="55"/>
      <c r="G191" s="55"/>
      <c r="H191" s="55"/>
      <c r="I191" s="55"/>
      <c r="J191" s="55"/>
      <c r="K191" s="56"/>
      <c r="L191" s="56"/>
      <c r="M191" s="57"/>
      <c r="N191" s="58"/>
      <c r="P191" s="55"/>
      <c r="Q191" s="55"/>
      <c r="R191" s="55"/>
      <c r="S191" s="55"/>
      <c r="T191" s="55"/>
    </row>
    <row r="192" spans="1:20" x14ac:dyDescent="0.35">
      <c r="A192" s="52">
        <v>0</v>
      </c>
      <c r="B192" s="53" t="s">
        <v>391</v>
      </c>
      <c r="C192" s="54"/>
      <c r="D192" s="54"/>
      <c r="E192" s="55"/>
      <c r="F192" s="55"/>
      <c r="G192" s="55"/>
      <c r="H192" s="55"/>
      <c r="I192" s="55"/>
      <c r="J192" s="55"/>
      <c r="K192" s="56"/>
      <c r="L192" s="56"/>
      <c r="M192" s="57"/>
      <c r="N192" s="58"/>
      <c r="P192" s="55"/>
      <c r="Q192" s="55"/>
      <c r="R192" s="55"/>
      <c r="S192" s="55"/>
      <c r="T192" s="55"/>
    </row>
    <row r="193" spans="1:20" x14ac:dyDescent="0.35">
      <c r="A193" s="52">
        <v>0</v>
      </c>
      <c r="B193" s="53" t="s">
        <v>392</v>
      </c>
      <c r="C193" s="54"/>
      <c r="D193" s="54"/>
      <c r="E193" s="55"/>
      <c r="F193" s="55"/>
      <c r="G193" s="55"/>
      <c r="H193" s="55"/>
      <c r="I193" s="55"/>
      <c r="J193" s="55"/>
      <c r="K193" s="56"/>
      <c r="L193" s="56"/>
      <c r="M193" s="57"/>
      <c r="N193" s="58"/>
      <c r="P193" s="55"/>
      <c r="Q193" s="55"/>
      <c r="R193" s="55"/>
      <c r="S193" s="55"/>
      <c r="T193" s="55"/>
    </row>
    <row r="194" spans="1:20" x14ac:dyDescent="0.35">
      <c r="A194" s="52">
        <v>0</v>
      </c>
      <c r="B194" s="53" t="s">
        <v>393</v>
      </c>
      <c r="C194" s="54"/>
      <c r="D194" s="54"/>
      <c r="E194" s="55"/>
      <c r="F194" s="55"/>
      <c r="G194" s="55"/>
      <c r="H194" s="55"/>
      <c r="I194" s="55"/>
      <c r="J194" s="55"/>
      <c r="K194" s="56"/>
      <c r="L194" s="56"/>
      <c r="M194" s="57"/>
      <c r="N194" s="58"/>
      <c r="P194" s="55"/>
      <c r="Q194" s="55"/>
      <c r="R194" s="55"/>
      <c r="S194" s="55"/>
      <c r="T194" s="55"/>
    </row>
    <row r="195" spans="1:20" x14ac:dyDescent="0.35">
      <c r="A195" s="52">
        <v>0</v>
      </c>
      <c r="B195" s="53" t="s">
        <v>401</v>
      </c>
      <c r="C195" s="54"/>
      <c r="D195" s="54"/>
      <c r="E195" s="55"/>
      <c r="F195" s="55"/>
      <c r="G195" s="55"/>
      <c r="H195" s="55"/>
      <c r="I195" s="55"/>
      <c r="J195" s="55"/>
      <c r="K195" s="56"/>
      <c r="L195" s="56"/>
      <c r="M195" s="57"/>
      <c r="N195" s="58"/>
      <c r="P195" s="55"/>
      <c r="Q195" s="55"/>
      <c r="R195" s="55"/>
      <c r="S195" s="55"/>
      <c r="T195" s="55"/>
    </row>
    <row r="196" spans="1:20" x14ac:dyDescent="0.35">
      <c r="A196" s="52">
        <v>0</v>
      </c>
      <c r="B196" s="53" t="s">
        <v>402</v>
      </c>
      <c r="C196" s="54"/>
      <c r="D196" s="54"/>
      <c r="E196" s="55"/>
      <c r="F196" s="55"/>
      <c r="G196" s="55"/>
      <c r="H196" s="55"/>
      <c r="I196" s="55"/>
      <c r="J196" s="55"/>
      <c r="K196" s="56"/>
      <c r="L196" s="56"/>
      <c r="M196" s="57"/>
      <c r="N196" s="58"/>
      <c r="P196" s="55"/>
      <c r="Q196" s="55"/>
      <c r="R196" s="55"/>
      <c r="S196" s="55"/>
      <c r="T196" s="55"/>
    </row>
    <row r="197" spans="1:20" x14ac:dyDescent="0.35">
      <c r="A197" s="52">
        <v>0</v>
      </c>
      <c r="B197" s="53" t="s">
        <v>403</v>
      </c>
      <c r="C197" s="54"/>
      <c r="D197" s="54"/>
      <c r="E197" s="55"/>
      <c r="F197" s="55"/>
      <c r="G197" s="55"/>
      <c r="H197" s="55"/>
      <c r="I197" s="55"/>
      <c r="J197" s="55"/>
      <c r="K197" s="56"/>
      <c r="L197" s="56"/>
      <c r="M197" s="57"/>
      <c r="N197" s="58"/>
      <c r="P197" s="55"/>
      <c r="Q197" s="55"/>
      <c r="R197" s="55"/>
      <c r="S197" s="55"/>
      <c r="T197" s="55"/>
    </row>
    <row r="198" spans="1:20" x14ac:dyDescent="0.35">
      <c r="A198" s="52">
        <v>0</v>
      </c>
      <c r="B198" s="53" t="s">
        <v>404</v>
      </c>
      <c r="C198" s="54"/>
      <c r="D198" s="54"/>
      <c r="E198" s="55"/>
      <c r="F198" s="55"/>
      <c r="G198" s="55"/>
      <c r="H198" s="55"/>
      <c r="I198" s="55"/>
      <c r="J198" s="55"/>
      <c r="K198" s="56"/>
      <c r="L198" s="56"/>
      <c r="M198" s="57"/>
      <c r="N198" s="58"/>
      <c r="P198" s="55"/>
      <c r="Q198" s="55"/>
      <c r="R198" s="55"/>
      <c r="S198" s="55"/>
      <c r="T198" s="55"/>
    </row>
    <row r="199" spans="1:20" x14ac:dyDescent="0.35">
      <c r="A199" s="52">
        <v>0</v>
      </c>
      <c r="B199" s="53" t="s">
        <v>405</v>
      </c>
      <c r="C199" s="54"/>
      <c r="D199" s="54"/>
      <c r="E199" s="55"/>
      <c r="F199" s="55"/>
      <c r="G199" s="55"/>
      <c r="H199" s="55"/>
      <c r="I199" s="55"/>
      <c r="J199" s="55"/>
      <c r="K199" s="56"/>
      <c r="L199" s="56"/>
      <c r="M199" s="57"/>
      <c r="N199" s="58"/>
      <c r="P199" s="55"/>
      <c r="Q199" s="55"/>
      <c r="R199" s="55"/>
      <c r="S199" s="55"/>
      <c r="T199" s="55"/>
    </row>
    <row r="200" spans="1:20" x14ac:dyDescent="0.35">
      <c r="A200" s="52">
        <v>0</v>
      </c>
      <c r="B200" s="53" t="s">
        <v>406</v>
      </c>
      <c r="C200" s="54"/>
      <c r="D200" s="54"/>
      <c r="E200" s="55"/>
      <c r="F200" s="55"/>
      <c r="G200" s="55"/>
      <c r="H200" s="55"/>
      <c r="I200" s="55"/>
      <c r="J200" s="55"/>
      <c r="K200" s="56"/>
      <c r="L200" s="56"/>
      <c r="M200" s="57"/>
      <c r="N200" s="58"/>
      <c r="P200" s="55"/>
      <c r="Q200" s="55"/>
      <c r="R200" s="55"/>
      <c r="S200" s="55"/>
      <c r="T200" s="55"/>
    </row>
    <row r="201" spans="1:20" x14ac:dyDescent="0.35">
      <c r="A201" s="52">
        <v>0</v>
      </c>
      <c r="B201" s="53" t="s">
        <v>409</v>
      </c>
      <c r="C201" s="54"/>
      <c r="D201" s="54"/>
      <c r="E201" s="55"/>
      <c r="F201" s="55"/>
      <c r="G201" s="55"/>
      <c r="H201" s="55"/>
      <c r="I201" s="55"/>
      <c r="J201" s="55"/>
      <c r="K201" s="56"/>
      <c r="L201" s="56"/>
      <c r="M201" s="57"/>
      <c r="N201" s="58"/>
      <c r="P201" s="55"/>
      <c r="Q201" s="55"/>
      <c r="R201" s="55"/>
      <c r="S201" s="55"/>
      <c r="T201" s="55"/>
    </row>
    <row r="202" spans="1:20" x14ac:dyDescent="0.35">
      <c r="A202" s="52">
        <v>0</v>
      </c>
      <c r="B202" s="53" t="s">
        <v>410</v>
      </c>
      <c r="C202" s="54"/>
      <c r="D202" s="54"/>
      <c r="E202" s="55"/>
      <c r="F202" s="55"/>
      <c r="G202" s="55"/>
      <c r="H202" s="55"/>
      <c r="I202" s="55"/>
      <c r="J202" s="55"/>
      <c r="K202" s="56"/>
      <c r="L202" s="56"/>
      <c r="M202" s="57"/>
      <c r="N202" s="58"/>
      <c r="P202" s="55"/>
      <c r="Q202" s="55"/>
      <c r="R202" s="55"/>
      <c r="S202" s="55"/>
      <c r="T202" s="55"/>
    </row>
    <row r="203" spans="1:20" x14ac:dyDescent="0.35">
      <c r="A203" s="52">
        <v>0</v>
      </c>
      <c r="B203" s="53" t="s">
        <v>412</v>
      </c>
      <c r="C203" s="54"/>
      <c r="D203" s="54"/>
      <c r="E203" s="55"/>
      <c r="F203" s="55"/>
      <c r="G203" s="55"/>
      <c r="H203" s="55"/>
      <c r="I203" s="55"/>
      <c r="J203" s="55"/>
      <c r="K203" s="56"/>
      <c r="L203" s="56"/>
      <c r="M203" s="57"/>
      <c r="N203" s="58"/>
      <c r="P203" s="55"/>
      <c r="Q203" s="55"/>
      <c r="R203" s="55"/>
      <c r="S203" s="55"/>
      <c r="T203" s="55"/>
    </row>
    <row r="204" spans="1:20" x14ac:dyDescent="0.35">
      <c r="A204" s="52">
        <v>0</v>
      </c>
      <c r="B204" s="53" t="s">
        <v>413</v>
      </c>
      <c r="C204" s="54"/>
      <c r="D204" s="54"/>
      <c r="E204" s="55"/>
      <c r="F204" s="55"/>
      <c r="G204" s="55"/>
      <c r="H204" s="55"/>
      <c r="I204" s="55"/>
      <c r="J204" s="55"/>
      <c r="K204" s="56"/>
      <c r="L204" s="56"/>
      <c r="M204" s="57"/>
      <c r="N204" s="58"/>
      <c r="P204" s="55"/>
      <c r="Q204" s="55"/>
      <c r="R204" s="55"/>
      <c r="S204" s="55"/>
      <c r="T204" s="55"/>
    </row>
    <row r="205" spans="1:20" x14ac:dyDescent="0.35">
      <c r="A205" s="52">
        <v>0</v>
      </c>
      <c r="B205" s="53" t="s">
        <v>414</v>
      </c>
      <c r="C205" s="54"/>
      <c r="D205" s="54"/>
      <c r="E205" s="55"/>
      <c r="F205" s="55"/>
      <c r="G205" s="55"/>
      <c r="H205" s="55"/>
      <c r="I205" s="55"/>
      <c r="J205" s="55"/>
      <c r="K205" s="56"/>
      <c r="L205" s="56"/>
      <c r="M205" s="57"/>
      <c r="N205" s="58"/>
      <c r="P205" s="55"/>
      <c r="Q205" s="55"/>
      <c r="R205" s="55"/>
      <c r="S205" s="55"/>
      <c r="T205" s="55"/>
    </row>
    <row r="206" spans="1:20" x14ac:dyDescent="0.35">
      <c r="A206" s="52">
        <v>0</v>
      </c>
      <c r="B206" s="53" t="s">
        <v>415</v>
      </c>
      <c r="C206" s="54"/>
      <c r="D206" s="54"/>
      <c r="E206" s="55"/>
      <c r="F206" s="55"/>
      <c r="G206" s="55"/>
      <c r="H206" s="55"/>
      <c r="I206" s="55"/>
      <c r="J206" s="55"/>
      <c r="K206" s="56"/>
      <c r="L206" s="56"/>
      <c r="M206" s="57"/>
      <c r="N206" s="58"/>
      <c r="P206" s="55"/>
      <c r="Q206" s="55"/>
      <c r="R206" s="55"/>
      <c r="S206" s="55"/>
      <c r="T206" s="55"/>
    </row>
    <row r="207" spans="1:20" x14ac:dyDescent="0.35">
      <c r="A207" s="52">
        <v>0</v>
      </c>
      <c r="B207" s="53" t="s">
        <v>416</v>
      </c>
      <c r="C207" s="54"/>
      <c r="D207" s="54"/>
      <c r="E207" s="55"/>
      <c r="F207" s="55"/>
      <c r="G207" s="55"/>
      <c r="H207" s="55"/>
      <c r="I207" s="55"/>
      <c r="J207" s="55"/>
      <c r="K207" s="56"/>
      <c r="L207" s="56"/>
      <c r="M207" s="57"/>
      <c r="N207" s="58"/>
      <c r="P207" s="55"/>
      <c r="Q207" s="55"/>
      <c r="R207" s="55"/>
      <c r="S207" s="55"/>
      <c r="T207" s="55"/>
    </row>
    <row r="208" spans="1:20" x14ac:dyDescent="0.35">
      <c r="A208" s="52">
        <v>0</v>
      </c>
      <c r="B208" s="53" t="s">
        <v>417</v>
      </c>
      <c r="C208" s="54"/>
      <c r="D208" s="54"/>
      <c r="E208" s="55"/>
      <c r="F208" s="55"/>
      <c r="G208" s="55"/>
      <c r="H208" s="55"/>
      <c r="I208" s="55"/>
      <c r="J208" s="55"/>
      <c r="K208" s="56"/>
      <c r="L208" s="56"/>
      <c r="M208" s="57"/>
      <c r="N208" s="58"/>
      <c r="P208" s="55"/>
      <c r="Q208" s="55"/>
      <c r="R208" s="55"/>
      <c r="S208" s="55"/>
      <c r="T208" s="55"/>
    </row>
    <row r="209" spans="1:20" x14ac:dyDescent="0.35">
      <c r="A209" s="52">
        <v>0</v>
      </c>
      <c r="B209" s="53" t="s">
        <v>418</v>
      </c>
      <c r="C209" s="54"/>
      <c r="D209" s="54"/>
      <c r="E209" s="55"/>
      <c r="F209" s="55"/>
      <c r="G209" s="55"/>
      <c r="H209" s="55"/>
      <c r="I209" s="55"/>
      <c r="J209" s="55"/>
      <c r="K209" s="56"/>
      <c r="L209" s="56"/>
      <c r="M209" s="57"/>
      <c r="N209" s="58"/>
      <c r="P209" s="55"/>
      <c r="Q209" s="55"/>
      <c r="R209" s="55"/>
      <c r="S209" s="55"/>
      <c r="T209" s="55"/>
    </row>
    <row r="210" spans="1:20" x14ac:dyDescent="0.35">
      <c r="A210" s="52">
        <v>0</v>
      </c>
      <c r="B210" s="53" t="s">
        <v>419</v>
      </c>
      <c r="C210" s="54"/>
      <c r="D210" s="54"/>
      <c r="E210" s="55"/>
      <c r="F210" s="55"/>
      <c r="G210" s="55"/>
      <c r="H210" s="55"/>
      <c r="I210" s="55"/>
      <c r="J210" s="55"/>
      <c r="K210" s="56"/>
      <c r="L210" s="56"/>
      <c r="M210" s="57"/>
      <c r="N210" s="58"/>
      <c r="P210" s="55"/>
      <c r="Q210" s="55"/>
      <c r="R210" s="55"/>
      <c r="S210" s="55"/>
      <c r="T210" s="55"/>
    </row>
    <row r="211" spans="1:20" x14ac:dyDescent="0.35">
      <c r="A211" s="52">
        <v>0</v>
      </c>
      <c r="B211" s="53" t="s">
        <v>420</v>
      </c>
      <c r="C211" s="54"/>
      <c r="D211" s="54"/>
      <c r="E211" s="55"/>
      <c r="F211" s="55"/>
      <c r="G211" s="55"/>
      <c r="H211" s="55"/>
      <c r="I211" s="55"/>
      <c r="J211" s="55"/>
      <c r="K211" s="56"/>
      <c r="L211" s="56"/>
      <c r="M211" s="57"/>
      <c r="N211" s="58"/>
      <c r="P211" s="55"/>
      <c r="Q211" s="55"/>
      <c r="R211" s="55"/>
      <c r="S211" s="55"/>
      <c r="T211" s="55"/>
    </row>
    <row r="212" spans="1:20" x14ac:dyDescent="0.35">
      <c r="A212" s="52">
        <v>0</v>
      </c>
      <c r="B212" s="53" t="s">
        <v>421</v>
      </c>
      <c r="C212" s="54"/>
      <c r="D212" s="54"/>
      <c r="E212" s="55"/>
      <c r="F212" s="55"/>
      <c r="G212" s="55"/>
      <c r="H212" s="55"/>
      <c r="I212" s="55"/>
      <c r="J212" s="55"/>
      <c r="K212" s="56"/>
      <c r="L212" s="56"/>
      <c r="M212" s="57"/>
      <c r="N212" s="58"/>
      <c r="P212" s="55"/>
      <c r="Q212" s="55"/>
      <c r="R212" s="55"/>
      <c r="S212" s="55"/>
      <c r="T212" s="55"/>
    </row>
    <row r="213" spans="1:20" x14ac:dyDescent="0.35">
      <c r="A213" s="52">
        <v>0</v>
      </c>
      <c r="B213" s="53" t="s">
        <v>422</v>
      </c>
      <c r="C213" s="54"/>
      <c r="D213" s="54"/>
      <c r="E213" s="55"/>
      <c r="F213" s="55"/>
      <c r="G213" s="55"/>
      <c r="H213" s="55"/>
      <c r="I213" s="55"/>
      <c r="J213" s="55"/>
      <c r="K213" s="56"/>
      <c r="L213" s="56"/>
      <c r="M213" s="57"/>
      <c r="N213" s="58"/>
      <c r="P213" s="55"/>
      <c r="Q213" s="55"/>
      <c r="R213" s="55"/>
      <c r="S213" s="55"/>
      <c r="T213" s="55"/>
    </row>
    <row r="214" spans="1:20" x14ac:dyDescent="0.35">
      <c r="A214" s="52">
        <v>0</v>
      </c>
      <c r="B214" s="53" t="s">
        <v>423</v>
      </c>
      <c r="C214" s="54"/>
      <c r="D214" s="54"/>
      <c r="E214" s="55"/>
      <c r="F214" s="55"/>
      <c r="G214" s="55"/>
      <c r="H214" s="55"/>
      <c r="I214" s="55"/>
      <c r="J214" s="55"/>
      <c r="K214" s="56"/>
      <c r="L214" s="56"/>
      <c r="M214" s="57"/>
      <c r="N214" s="58"/>
      <c r="P214" s="55"/>
      <c r="Q214" s="55"/>
      <c r="R214" s="55"/>
      <c r="S214" s="55"/>
      <c r="T214" s="55"/>
    </row>
    <row r="215" spans="1:20" x14ac:dyDescent="0.35">
      <c r="A215" s="52">
        <v>0</v>
      </c>
      <c r="B215" s="53" t="s">
        <v>424</v>
      </c>
      <c r="C215" s="54"/>
      <c r="D215" s="54"/>
      <c r="E215" s="55"/>
      <c r="F215" s="55"/>
      <c r="G215" s="55"/>
      <c r="H215" s="55"/>
      <c r="I215" s="55"/>
      <c r="J215" s="55"/>
      <c r="K215" s="56"/>
      <c r="L215" s="56"/>
      <c r="M215" s="57"/>
      <c r="N215" s="58"/>
      <c r="P215" s="55"/>
      <c r="Q215" s="55"/>
      <c r="R215" s="55"/>
      <c r="S215" s="55"/>
      <c r="T215" s="55"/>
    </row>
    <row r="216" spans="1:20" x14ac:dyDescent="0.35">
      <c r="A216" s="52">
        <v>0</v>
      </c>
      <c r="B216" s="53" t="s">
        <v>461</v>
      </c>
      <c r="C216" s="54"/>
      <c r="D216" s="54"/>
      <c r="E216" s="55"/>
      <c r="F216" s="55"/>
      <c r="G216" s="55"/>
      <c r="H216" s="55"/>
      <c r="I216" s="55"/>
      <c r="J216" s="55"/>
      <c r="K216" s="56"/>
      <c r="L216" s="56"/>
      <c r="M216" s="57"/>
      <c r="N216" s="58"/>
      <c r="P216" s="55"/>
      <c r="Q216" s="55"/>
      <c r="R216" s="55"/>
      <c r="S216" s="55"/>
      <c r="T216" s="55"/>
    </row>
    <row r="217" spans="1:20" x14ac:dyDescent="0.35">
      <c r="A217" s="52">
        <v>0</v>
      </c>
      <c r="B217" s="53" t="s">
        <v>462</v>
      </c>
      <c r="C217" s="54"/>
      <c r="D217" s="54"/>
      <c r="E217" s="55"/>
      <c r="F217" s="55"/>
      <c r="G217" s="55"/>
      <c r="H217" s="55"/>
      <c r="I217" s="55"/>
      <c r="J217" s="55"/>
      <c r="K217" s="56"/>
      <c r="L217" s="56"/>
      <c r="M217" s="57"/>
      <c r="N217" s="58"/>
      <c r="P217" s="55"/>
      <c r="Q217" s="55"/>
      <c r="R217" s="55"/>
      <c r="S217" s="55"/>
      <c r="T217" s="55"/>
    </row>
    <row r="218" spans="1:20" x14ac:dyDescent="0.35">
      <c r="A218" s="52">
        <v>0</v>
      </c>
      <c r="B218" s="53" t="s">
        <v>463</v>
      </c>
      <c r="C218" s="54"/>
      <c r="D218" s="54"/>
      <c r="E218" s="55"/>
      <c r="F218" s="55"/>
      <c r="G218" s="55"/>
      <c r="H218" s="55"/>
      <c r="I218" s="55"/>
      <c r="J218" s="55"/>
      <c r="K218" s="56"/>
      <c r="L218" s="56"/>
      <c r="M218" s="57"/>
      <c r="N218" s="58"/>
      <c r="P218" s="55"/>
      <c r="Q218" s="55"/>
      <c r="R218" s="55"/>
      <c r="S218" s="55"/>
      <c r="T218" s="55"/>
    </row>
    <row r="219" spans="1:20" x14ac:dyDescent="0.35">
      <c r="A219" s="52">
        <v>0</v>
      </c>
      <c r="B219" s="53" t="s">
        <v>465</v>
      </c>
      <c r="C219" s="54"/>
      <c r="D219" s="54"/>
      <c r="E219" s="55"/>
      <c r="F219" s="55"/>
      <c r="G219" s="55"/>
      <c r="H219" s="55"/>
      <c r="I219" s="55"/>
      <c r="J219" s="55"/>
      <c r="K219" s="56"/>
      <c r="L219" s="56"/>
      <c r="M219" s="57"/>
      <c r="N219" s="58"/>
      <c r="P219" s="55"/>
      <c r="Q219" s="55"/>
      <c r="R219" s="55"/>
      <c r="S219" s="55"/>
      <c r="T219" s="55"/>
    </row>
    <row r="220" spans="1:20" x14ac:dyDescent="0.35">
      <c r="A220" s="52">
        <v>0</v>
      </c>
      <c r="B220" s="53" t="s">
        <v>466</v>
      </c>
      <c r="C220" s="54"/>
      <c r="D220" s="54"/>
      <c r="E220" s="55"/>
      <c r="F220" s="55"/>
      <c r="G220" s="55"/>
      <c r="H220" s="55"/>
      <c r="I220" s="55"/>
      <c r="J220" s="55"/>
      <c r="K220" s="56"/>
      <c r="L220" s="56"/>
      <c r="M220" s="57"/>
      <c r="N220" s="58"/>
      <c r="P220" s="55"/>
      <c r="Q220" s="55"/>
      <c r="R220" s="55"/>
      <c r="S220" s="55"/>
      <c r="T220" s="55"/>
    </row>
    <row r="221" spans="1:20" x14ac:dyDescent="0.35">
      <c r="A221" s="52">
        <v>0</v>
      </c>
      <c r="B221" s="53" t="s">
        <v>467</v>
      </c>
      <c r="C221" s="54"/>
      <c r="D221" s="54"/>
      <c r="E221" s="55"/>
      <c r="F221" s="55"/>
      <c r="G221" s="55"/>
      <c r="H221" s="55"/>
      <c r="I221" s="55"/>
      <c r="J221" s="55"/>
      <c r="K221" s="56"/>
      <c r="L221" s="56"/>
      <c r="M221" s="57"/>
      <c r="N221" s="58"/>
      <c r="P221" s="55"/>
      <c r="Q221" s="55"/>
      <c r="R221" s="55"/>
      <c r="S221" s="55"/>
      <c r="T221" s="55"/>
    </row>
    <row r="222" spans="1:20" x14ac:dyDescent="0.35">
      <c r="A222" s="52">
        <v>0</v>
      </c>
      <c r="B222" s="53" t="s">
        <v>469</v>
      </c>
      <c r="C222" s="54"/>
      <c r="D222" s="54"/>
      <c r="E222" s="55"/>
      <c r="F222" s="55"/>
      <c r="G222" s="55"/>
      <c r="H222" s="55"/>
      <c r="I222" s="55"/>
      <c r="J222" s="55"/>
      <c r="K222" s="56"/>
      <c r="L222" s="56"/>
      <c r="M222" s="57"/>
      <c r="N222" s="58"/>
      <c r="P222" s="55"/>
      <c r="Q222" s="55"/>
      <c r="R222" s="55"/>
      <c r="S222" s="55"/>
      <c r="T222" s="55"/>
    </row>
    <row r="223" spans="1:20" x14ac:dyDescent="0.35">
      <c r="A223" s="52">
        <v>0</v>
      </c>
      <c r="B223" s="53" t="s">
        <v>470</v>
      </c>
      <c r="C223" s="54"/>
      <c r="D223" s="54"/>
      <c r="E223" s="55"/>
      <c r="F223" s="55"/>
      <c r="G223" s="55"/>
      <c r="H223" s="55"/>
      <c r="I223" s="55"/>
      <c r="J223" s="55"/>
      <c r="K223" s="56"/>
      <c r="L223" s="56"/>
      <c r="M223" s="57"/>
      <c r="N223" s="58"/>
      <c r="P223" s="55"/>
      <c r="Q223" s="55"/>
      <c r="R223" s="55"/>
      <c r="S223" s="55"/>
      <c r="T223" s="55"/>
    </row>
    <row r="224" spans="1:20" x14ac:dyDescent="0.35">
      <c r="A224" s="52">
        <v>0</v>
      </c>
      <c r="B224" s="53" t="s">
        <v>473</v>
      </c>
      <c r="C224" s="54"/>
      <c r="D224" s="54"/>
      <c r="E224" s="55"/>
      <c r="F224" s="55"/>
      <c r="G224" s="55"/>
      <c r="H224" s="55"/>
      <c r="I224" s="55"/>
      <c r="J224" s="55"/>
      <c r="K224" s="56"/>
      <c r="L224" s="56"/>
      <c r="M224" s="57"/>
      <c r="N224" s="58"/>
      <c r="P224" s="55"/>
      <c r="Q224" s="55"/>
      <c r="R224" s="55"/>
      <c r="S224" s="55"/>
      <c r="T224" s="55"/>
    </row>
    <row r="225" spans="1:20" x14ac:dyDescent="0.35">
      <c r="A225" s="52">
        <v>0</v>
      </c>
      <c r="B225" s="53" t="s">
        <v>474</v>
      </c>
      <c r="C225" s="54"/>
      <c r="D225" s="54"/>
      <c r="E225" s="55"/>
      <c r="F225" s="55"/>
      <c r="G225" s="55"/>
      <c r="H225" s="55"/>
      <c r="I225" s="55"/>
      <c r="J225" s="55"/>
      <c r="K225" s="56"/>
      <c r="L225" s="56"/>
      <c r="M225" s="57"/>
      <c r="N225" s="58"/>
      <c r="P225" s="55"/>
      <c r="Q225" s="55"/>
      <c r="R225" s="55"/>
      <c r="S225" s="55"/>
      <c r="T225" s="55"/>
    </row>
    <row r="226" spans="1:20" x14ac:dyDescent="0.35">
      <c r="A226" s="52">
        <v>0</v>
      </c>
      <c r="B226" s="53" t="s">
        <v>475</v>
      </c>
      <c r="C226" s="54"/>
      <c r="D226" s="54"/>
      <c r="E226" s="55"/>
      <c r="F226" s="55"/>
      <c r="G226" s="55"/>
      <c r="H226" s="55"/>
      <c r="I226" s="55"/>
      <c r="J226" s="55"/>
      <c r="K226" s="56"/>
      <c r="L226" s="56"/>
      <c r="M226" s="57"/>
      <c r="N226" s="58"/>
      <c r="P226" s="55"/>
      <c r="Q226" s="55"/>
      <c r="R226" s="55"/>
      <c r="S226" s="55"/>
      <c r="T226" s="55"/>
    </row>
    <row r="227" spans="1:20" x14ac:dyDescent="0.35">
      <c r="A227" s="52">
        <v>0</v>
      </c>
      <c r="B227" s="53" t="s">
        <v>476</v>
      </c>
      <c r="C227" s="54"/>
      <c r="D227" s="54"/>
      <c r="E227" s="55"/>
      <c r="F227" s="55"/>
      <c r="G227" s="55"/>
      <c r="H227" s="55"/>
      <c r="I227" s="55"/>
      <c r="J227" s="55"/>
      <c r="K227" s="56"/>
      <c r="L227" s="56"/>
      <c r="M227" s="57"/>
      <c r="N227" s="58"/>
      <c r="P227" s="55"/>
      <c r="Q227" s="55"/>
      <c r="R227" s="55"/>
      <c r="S227" s="55"/>
      <c r="T227" s="55"/>
    </row>
    <row r="228" spans="1:20" x14ac:dyDescent="0.35">
      <c r="A228" s="52">
        <v>0</v>
      </c>
      <c r="B228" s="53" t="s">
        <v>477</v>
      </c>
      <c r="C228" s="54"/>
      <c r="D228" s="54"/>
      <c r="E228" s="55"/>
      <c r="F228" s="55"/>
      <c r="G228" s="55"/>
      <c r="H228" s="55"/>
      <c r="I228" s="55"/>
      <c r="J228" s="55"/>
      <c r="K228" s="56"/>
      <c r="L228" s="56"/>
      <c r="M228" s="57"/>
      <c r="N228" s="58"/>
      <c r="P228" s="55"/>
      <c r="Q228" s="55"/>
      <c r="R228" s="55"/>
      <c r="S228" s="55"/>
      <c r="T228" s="55"/>
    </row>
    <row r="229" spans="1:20" x14ac:dyDescent="0.35">
      <c r="A229" s="52">
        <v>0</v>
      </c>
      <c r="B229" s="53" t="s">
        <v>478</v>
      </c>
      <c r="C229" s="54"/>
      <c r="D229" s="54"/>
      <c r="E229" s="55"/>
      <c r="F229" s="55"/>
      <c r="G229" s="55"/>
      <c r="H229" s="55"/>
      <c r="I229" s="55"/>
      <c r="J229" s="55"/>
      <c r="K229" s="56"/>
      <c r="L229" s="56"/>
      <c r="M229" s="57"/>
      <c r="N229" s="58"/>
      <c r="P229" s="55"/>
      <c r="Q229" s="55"/>
      <c r="R229" s="55"/>
      <c r="S229" s="55"/>
      <c r="T229" s="55"/>
    </row>
    <row r="230" spans="1:20" x14ac:dyDescent="0.35">
      <c r="A230" s="52">
        <v>0</v>
      </c>
      <c r="B230" s="53" t="s">
        <v>479</v>
      </c>
      <c r="C230" s="54"/>
      <c r="D230" s="54"/>
      <c r="E230" s="55"/>
      <c r="F230" s="55"/>
      <c r="G230" s="55"/>
      <c r="H230" s="55"/>
      <c r="I230" s="55"/>
      <c r="J230" s="55"/>
      <c r="K230" s="56"/>
      <c r="L230" s="56"/>
      <c r="M230" s="57"/>
      <c r="N230" s="58"/>
      <c r="P230" s="55"/>
      <c r="Q230" s="55"/>
      <c r="R230" s="55"/>
      <c r="S230" s="55"/>
      <c r="T230" s="55"/>
    </row>
    <row r="231" spans="1:20" x14ac:dyDescent="0.35">
      <c r="A231" s="52">
        <v>0</v>
      </c>
      <c r="B231" s="53" t="s">
        <v>480</v>
      </c>
      <c r="C231" s="54"/>
      <c r="D231" s="54"/>
      <c r="E231" s="55"/>
      <c r="F231" s="55"/>
      <c r="G231" s="55"/>
      <c r="H231" s="55"/>
      <c r="I231" s="55"/>
      <c r="J231" s="55"/>
      <c r="K231" s="56"/>
      <c r="L231" s="56"/>
      <c r="M231" s="57"/>
      <c r="N231" s="58"/>
      <c r="P231" s="55"/>
      <c r="Q231" s="55"/>
      <c r="R231" s="55"/>
      <c r="S231" s="55"/>
      <c r="T231" s="55"/>
    </row>
    <row r="232" spans="1:20" ht="15" thickBot="1" x14ac:dyDescent="0.4">
      <c r="A232" s="52">
        <v>0</v>
      </c>
      <c r="B232" s="53" t="s">
        <v>573</v>
      </c>
      <c r="C232" s="54"/>
      <c r="D232" s="54"/>
      <c r="E232" s="55"/>
      <c r="F232" s="55"/>
      <c r="G232" s="55"/>
      <c r="H232" s="55"/>
      <c r="I232" s="55"/>
      <c r="J232" s="55"/>
      <c r="K232" s="56"/>
      <c r="L232" s="56"/>
      <c r="M232" s="57"/>
      <c r="N232" s="58"/>
      <c r="P232" s="55"/>
      <c r="Q232" s="55"/>
      <c r="R232" s="55"/>
      <c r="S232" s="55"/>
      <c r="T232" s="55"/>
    </row>
    <row r="233" spans="1:20" ht="15" thickBot="1" x14ac:dyDescent="0.4">
      <c r="A233" s="17"/>
      <c r="B233" s="18" t="s">
        <v>65</v>
      </c>
      <c r="C233" s="18"/>
      <c r="D233" s="18"/>
      <c r="E233" s="19"/>
      <c r="F233" s="19"/>
      <c r="G233" s="19"/>
      <c r="H233" s="19"/>
      <c r="I233" s="19"/>
      <c r="J233" s="19"/>
      <c r="K233" s="19"/>
      <c r="L233" s="19"/>
      <c r="M233" s="19"/>
      <c r="N233" s="19"/>
      <c r="O233" s="33"/>
      <c r="P233" s="19"/>
      <c r="Q233" s="19"/>
      <c r="R233" s="19"/>
      <c r="S233" s="19"/>
      <c r="T233" s="19">
        <f>SUM(T5:T88)</f>
        <v>0</v>
      </c>
    </row>
  </sheetData>
  <sheetProtection autoFilter="0"/>
  <sortState xmlns:xlrd2="http://schemas.microsoft.com/office/spreadsheetml/2017/richdata2" ref="A3:M232">
    <sortCondition descending="1" ref="A3"/>
  </sortState>
  <pageMargins left="0.7" right="0.7" top="0.78740157499999996" bottom="0.78740157499999996" header="0.3" footer="0.3"/>
  <pageSetup paperSize="9" scale="41"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12"/>
  <dimension ref="A1:C231"/>
  <sheetViews>
    <sheetView topLeftCell="A172" workbookViewId="0">
      <selection activeCell="I103" sqref="I103"/>
    </sheetView>
  </sheetViews>
  <sheetFormatPr baseColWidth="10" defaultRowHeight="14.5" x14ac:dyDescent="0.35"/>
  <cols>
    <col min="2" max="2" width="59.1796875" bestFit="1" customWidth="1"/>
  </cols>
  <sheetData>
    <row r="1" spans="1:3" x14ac:dyDescent="0.35">
      <c r="A1" s="12"/>
      <c r="B1" s="12" t="s">
        <v>30</v>
      </c>
      <c r="C1" s="13" t="s">
        <v>66</v>
      </c>
    </row>
    <row r="2" spans="1:3" x14ac:dyDescent="0.35">
      <c r="A2" s="14"/>
      <c r="B2" s="34"/>
      <c r="C2" s="16"/>
    </row>
    <row r="3" spans="1:3" x14ac:dyDescent="0.35">
      <c r="A3" s="14"/>
      <c r="B3" s="15" t="s">
        <v>203</v>
      </c>
      <c r="C3" s="16"/>
    </row>
    <row r="4" spans="1:3" x14ac:dyDescent="0.35">
      <c r="A4" s="14"/>
      <c r="B4" s="15" t="s">
        <v>204</v>
      </c>
      <c r="C4" s="16"/>
    </row>
    <row r="5" spans="1:3" x14ac:dyDescent="0.35">
      <c r="A5" s="14"/>
      <c r="B5" s="50" t="s">
        <v>205</v>
      </c>
      <c r="C5" s="16"/>
    </row>
    <row r="6" spans="1:3" x14ac:dyDescent="0.35">
      <c r="A6" s="14"/>
      <c r="B6" s="50" t="s">
        <v>206</v>
      </c>
      <c r="C6" s="16"/>
    </row>
    <row r="7" spans="1:3" x14ac:dyDescent="0.35">
      <c r="A7" s="14"/>
      <c r="B7" s="50" t="s">
        <v>207</v>
      </c>
      <c r="C7" s="16"/>
    </row>
    <row r="8" spans="1:3" x14ac:dyDescent="0.35">
      <c r="A8" s="14"/>
      <c r="B8" s="50" t="s">
        <v>208</v>
      </c>
      <c r="C8" s="16"/>
    </row>
    <row r="9" spans="1:3" x14ac:dyDescent="0.35">
      <c r="A9" s="14"/>
      <c r="B9" s="50" t="s">
        <v>209</v>
      </c>
      <c r="C9" s="16"/>
    </row>
    <row r="10" spans="1:3" x14ac:dyDescent="0.35">
      <c r="A10" s="14"/>
      <c r="B10" s="50" t="s">
        <v>210</v>
      </c>
      <c r="C10" s="16"/>
    </row>
    <row r="11" spans="1:3" x14ac:dyDescent="0.35">
      <c r="A11" s="14"/>
      <c r="B11" s="50" t="s">
        <v>211</v>
      </c>
      <c r="C11" s="16"/>
    </row>
    <row r="12" spans="1:3" x14ac:dyDescent="0.35">
      <c r="A12" s="14"/>
      <c r="B12" s="50" t="s">
        <v>212</v>
      </c>
      <c r="C12" s="16"/>
    </row>
    <row r="13" spans="1:3" x14ac:dyDescent="0.35">
      <c r="A13" s="14"/>
      <c r="B13" s="50" t="s">
        <v>331</v>
      </c>
      <c r="C13" s="16"/>
    </row>
    <row r="14" spans="1:3" x14ac:dyDescent="0.35">
      <c r="A14" s="14"/>
      <c r="B14" s="50" t="s">
        <v>332</v>
      </c>
      <c r="C14" s="16"/>
    </row>
    <row r="15" spans="1:3" x14ac:dyDescent="0.35">
      <c r="A15" s="14"/>
      <c r="B15" s="50" t="s">
        <v>333</v>
      </c>
      <c r="C15" s="16"/>
    </row>
    <row r="16" spans="1:3" x14ac:dyDescent="0.35">
      <c r="A16" s="14"/>
      <c r="B16" s="50" t="s">
        <v>213</v>
      </c>
      <c r="C16" s="16"/>
    </row>
    <row r="17" spans="1:3" x14ac:dyDescent="0.35">
      <c r="A17" s="14"/>
      <c r="B17" s="50" t="s">
        <v>343</v>
      </c>
      <c r="C17" s="15"/>
    </row>
    <row r="18" spans="1:3" x14ac:dyDescent="0.35">
      <c r="A18" s="15"/>
      <c r="B18" s="50" t="s">
        <v>372</v>
      </c>
      <c r="C18" s="15"/>
    </row>
    <row r="19" spans="1:3" x14ac:dyDescent="0.35">
      <c r="A19" s="15"/>
      <c r="B19" s="50" t="s">
        <v>401</v>
      </c>
      <c r="C19" s="15"/>
    </row>
    <row r="20" spans="1:3" x14ac:dyDescent="0.35">
      <c r="A20" s="14"/>
      <c r="B20" s="50" t="s">
        <v>402</v>
      </c>
      <c r="C20" s="15"/>
    </row>
    <row r="21" spans="1:3" x14ac:dyDescent="0.35">
      <c r="A21" s="15"/>
      <c r="B21" s="50" t="s">
        <v>403</v>
      </c>
      <c r="C21" s="15"/>
    </row>
    <row r="22" spans="1:3" x14ac:dyDescent="0.35">
      <c r="A22" s="14"/>
      <c r="B22" s="50" t="s">
        <v>404</v>
      </c>
      <c r="C22" s="15"/>
    </row>
    <row r="23" spans="1:3" x14ac:dyDescent="0.35">
      <c r="A23" s="14"/>
      <c r="B23" s="50" t="s">
        <v>405</v>
      </c>
      <c r="C23" s="15"/>
    </row>
    <row r="24" spans="1:3" x14ac:dyDescent="0.35">
      <c r="A24" s="14"/>
      <c r="B24" s="50" t="s">
        <v>406</v>
      </c>
      <c r="C24" s="15"/>
    </row>
    <row r="25" spans="1:3" x14ac:dyDescent="0.35">
      <c r="A25" s="14"/>
      <c r="B25" s="50" t="s">
        <v>407</v>
      </c>
      <c r="C25" s="15"/>
    </row>
    <row r="26" spans="1:3" x14ac:dyDescent="0.35">
      <c r="A26" s="14"/>
      <c r="B26" s="50" t="s">
        <v>214</v>
      </c>
      <c r="C26" s="16"/>
    </row>
    <row r="27" spans="1:3" ht="14.25" customHeight="1" x14ac:dyDescent="0.35">
      <c r="A27" s="14"/>
      <c r="B27" s="50" t="s">
        <v>408</v>
      </c>
      <c r="C27" s="15"/>
    </row>
    <row r="28" spans="1:3" x14ac:dyDescent="0.35">
      <c r="A28" s="14"/>
      <c r="B28" s="50" t="s">
        <v>215</v>
      </c>
      <c r="C28" s="15"/>
    </row>
    <row r="29" spans="1:3" x14ac:dyDescent="0.35">
      <c r="A29" s="14"/>
      <c r="B29" s="50" t="s">
        <v>216</v>
      </c>
      <c r="C29" s="15"/>
    </row>
    <row r="30" spans="1:3" x14ac:dyDescent="0.35">
      <c r="A30" s="14"/>
      <c r="B30" s="50" t="s">
        <v>217</v>
      </c>
      <c r="C30" s="16"/>
    </row>
    <row r="31" spans="1:3" x14ac:dyDescent="0.35">
      <c r="A31" s="15"/>
      <c r="B31" s="50" t="s">
        <v>218</v>
      </c>
      <c r="C31" s="15"/>
    </row>
    <row r="32" spans="1:3" x14ac:dyDescent="0.35">
      <c r="A32" s="15"/>
      <c r="B32" s="50" t="s">
        <v>219</v>
      </c>
      <c r="C32" s="16"/>
    </row>
    <row r="33" spans="1:3" x14ac:dyDescent="0.35">
      <c r="A33" s="15"/>
      <c r="B33" s="50" t="s">
        <v>220</v>
      </c>
      <c r="C33" s="16"/>
    </row>
    <row r="34" spans="1:3" x14ac:dyDescent="0.35">
      <c r="A34" s="15"/>
      <c r="B34" s="50" t="s">
        <v>221</v>
      </c>
      <c r="C34" s="16"/>
    </row>
    <row r="35" spans="1:3" x14ac:dyDescent="0.35">
      <c r="A35" s="15"/>
      <c r="B35" s="50" t="s">
        <v>222</v>
      </c>
      <c r="C35" s="16"/>
    </row>
    <row r="36" spans="1:3" x14ac:dyDescent="0.35">
      <c r="A36" s="15"/>
      <c r="B36" s="50" t="s">
        <v>223</v>
      </c>
      <c r="C36" s="16"/>
    </row>
    <row r="37" spans="1:3" x14ac:dyDescent="0.35">
      <c r="A37" s="15"/>
      <c r="B37" s="50" t="s">
        <v>224</v>
      </c>
      <c r="C37" s="16"/>
    </row>
    <row r="38" spans="1:3" x14ac:dyDescent="0.35">
      <c r="A38" s="15"/>
      <c r="B38" s="50" t="s">
        <v>225</v>
      </c>
      <c r="C38" s="16"/>
    </row>
    <row r="39" spans="1:3" x14ac:dyDescent="0.35">
      <c r="A39" s="15"/>
      <c r="B39" s="50" t="s">
        <v>226</v>
      </c>
      <c r="C39" s="16"/>
    </row>
    <row r="40" spans="1:3" x14ac:dyDescent="0.35">
      <c r="A40" s="15"/>
      <c r="B40" s="50" t="s">
        <v>357</v>
      </c>
      <c r="C40" s="15"/>
    </row>
    <row r="41" spans="1:3" x14ac:dyDescent="0.35">
      <c r="A41" s="15"/>
      <c r="B41" s="50" t="s">
        <v>345</v>
      </c>
      <c r="C41" s="15"/>
    </row>
    <row r="42" spans="1:3" x14ac:dyDescent="0.35">
      <c r="A42" s="15"/>
      <c r="B42" s="50" t="s">
        <v>227</v>
      </c>
      <c r="C42" s="16"/>
    </row>
    <row r="43" spans="1:3" x14ac:dyDescent="0.35">
      <c r="A43" s="15"/>
      <c r="B43" s="50" t="s">
        <v>228</v>
      </c>
      <c r="C43" s="15"/>
    </row>
    <row r="44" spans="1:3" x14ac:dyDescent="0.35">
      <c r="A44" s="15"/>
      <c r="B44" s="50" t="s">
        <v>229</v>
      </c>
      <c r="C44" s="15"/>
    </row>
    <row r="45" spans="1:3" x14ac:dyDescent="0.35">
      <c r="A45" s="15"/>
      <c r="B45" s="50" t="s">
        <v>230</v>
      </c>
      <c r="C45" s="15"/>
    </row>
    <row r="46" spans="1:3" x14ac:dyDescent="0.35">
      <c r="A46" s="15"/>
      <c r="B46" s="50" t="s">
        <v>231</v>
      </c>
      <c r="C46" s="15"/>
    </row>
    <row r="47" spans="1:3" x14ac:dyDescent="0.35">
      <c r="A47" s="15"/>
      <c r="B47" s="50" t="s">
        <v>232</v>
      </c>
      <c r="C47" s="15"/>
    </row>
    <row r="48" spans="1:3" x14ac:dyDescent="0.35">
      <c r="A48" s="15"/>
      <c r="B48" s="50" t="s">
        <v>350</v>
      </c>
      <c r="C48" s="15"/>
    </row>
    <row r="49" spans="1:3" x14ac:dyDescent="0.35">
      <c r="A49" s="15"/>
      <c r="B49" s="50" t="s">
        <v>351</v>
      </c>
      <c r="C49" s="15"/>
    </row>
    <row r="50" spans="1:3" x14ac:dyDescent="0.35">
      <c r="A50" s="15"/>
      <c r="B50" s="50" t="s">
        <v>352</v>
      </c>
      <c r="C50" s="15"/>
    </row>
    <row r="51" spans="1:3" x14ac:dyDescent="0.35">
      <c r="A51" s="15"/>
      <c r="B51" s="50" t="s">
        <v>353</v>
      </c>
      <c r="C51" s="15"/>
    </row>
    <row r="52" spans="1:3" x14ac:dyDescent="0.35">
      <c r="A52" s="15"/>
      <c r="B52" s="50" t="s">
        <v>354</v>
      </c>
      <c r="C52" s="15"/>
    </row>
    <row r="53" spans="1:3" ht="13.5" customHeight="1" x14ac:dyDescent="0.35">
      <c r="A53" s="15"/>
      <c r="B53" s="50" t="s">
        <v>427</v>
      </c>
      <c r="C53" s="15"/>
    </row>
    <row r="54" spans="1:3" x14ac:dyDescent="0.35">
      <c r="A54" s="15"/>
      <c r="B54" s="50" t="s">
        <v>428</v>
      </c>
      <c r="C54" s="15"/>
    </row>
    <row r="55" spans="1:3" x14ac:dyDescent="0.35">
      <c r="A55" s="15"/>
      <c r="B55" s="50" t="s">
        <v>429</v>
      </c>
      <c r="C55" s="15"/>
    </row>
    <row r="56" spans="1:3" x14ac:dyDescent="0.35">
      <c r="A56" s="15"/>
      <c r="B56" s="50" t="s">
        <v>233</v>
      </c>
      <c r="C56" s="15"/>
    </row>
    <row r="57" spans="1:3" x14ac:dyDescent="0.35">
      <c r="A57" s="15"/>
      <c r="B57" s="50" t="s">
        <v>430</v>
      </c>
      <c r="C57" s="15"/>
    </row>
    <row r="58" spans="1:3" x14ac:dyDescent="0.35">
      <c r="A58" s="15"/>
      <c r="B58" s="50" t="s">
        <v>431</v>
      </c>
      <c r="C58" s="15"/>
    </row>
    <row r="59" spans="1:3" x14ac:dyDescent="0.35">
      <c r="A59" s="15"/>
      <c r="B59" s="50" t="s">
        <v>432</v>
      </c>
      <c r="C59" s="15"/>
    </row>
    <row r="60" spans="1:3" x14ac:dyDescent="0.35">
      <c r="A60" s="15"/>
      <c r="B60" s="50" t="s">
        <v>433</v>
      </c>
      <c r="C60" s="15"/>
    </row>
    <row r="61" spans="1:3" x14ac:dyDescent="0.35">
      <c r="A61" s="15"/>
      <c r="B61" s="50" t="s">
        <v>434</v>
      </c>
      <c r="C61" s="15"/>
    </row>
    <row r="62" spans="1:3" x14ac:dyDescent="0.35">
      <c r="A62" s="15"/>
      <c r="B62" s="50" t="s">
        <v>435</v>
      </c>
      <c r="C62" s="15"/>
    </row>
    <row r="63" spans="1:3" x14ac:dyDescent="0.35">
      <c r="A63" s="15"/>
      <c r="B63" s="50" t="s">
        <v>436</v>
      </c>
      <c r="C63" s="15"/>
    </row>
    <row r="64" spans="1:3" x14ac:dyDescent="0.35">
      <c r="A64" s="15"/>
      <c r="B64" s="50" t="s">
        <v>234</v>
      </c>
      <c r="C64" s="15"/>
    </row>
    <row r="65" spans="1:3" x14ac:dyDescent="0.35">
      <c r="A65" s="15"/>
      <c r="B65" s="50" t="s">
        <v>425</v>
      </c>
      <c r="C65" s="15"/>
    </row>
    <row r="66" spans="1:3" x14ac:dyDescent="0.35">
      <c r="A66" s="15"/>
      <c r="B66" s="50" t="s">
        <v>236</v>
      </c>
      <c r="C66" s="15"/>
    </row>
    <row r="67" spans="1:3" x14ac:dyDescent="0.35">
      <c r="A67" s="15"/>
      <c r="B67" s="50" t="s">
        <v>237</v>
      </c>
      <c r="C67" s="15"/>
    </row>
    <row r="68" spans="1:3" x14ac:dyDescent="0.35">
      <c r="A68" s="15"/>
      <c r="B68" s="50" t="s">
        <v>238</v>
      </c>
      <c r="C68" s="15"/>
    </row>
    <row r="69" spans="1:3" x14ac:dyDescent="0.35">
      <c r="A69" s="15"/>
      <c r="B69" s="50" t="s">
        <v>239</v>
      </c>
      <c r="C69" s="15"/>
    </row>
    <row r="70" spans="1:3" x14ac:dyDescent="0.35">
      <c r="A70" s="15"/>
      <c r="B70" s="50" t="s">
        <v>240</v>
      </c>
      <c r="C70" s="15"/>
    </row>
    <row r="71" spans="1:3" x14ac:dyDescent="0.35">
      <c r="A71" s="15"/>
      <c r="B71" s="50" t="s">
        <v>241</v>
      </c>
      <c r="C71" s="15"/>
    </row>
    <row r="72" spans="1:3" x14ac:dyDescent="0.35">
      <c r="A72" s="15"/>
      <c r="B72" s="50" t="s">
        <v>390</v>
      </c>
      <c r="C72" s="15"/>
    </row>
    <row r="73" spans="1:3" x14ac:dyDescent="0.35">
      <c r="A73" s="15"/>
      <c r="B73" s="50" t="s">
        <v>391</v>
      </c>
      <c r="C73" s="15"/>
    </row>
    <row r="74" spans="1:3" x14ac:dyDescent="0.35">
      <c r="A74" s="15"/>
      <c r="B74" s="50" t="s">
        <v>392</v>
      </c>
      <c r="C74" s="15"/>
    </row>
    <row r="75" spans="1:3" x14ac:dyDescent="0.35">
      <c r="A75" s="15"/>
      <c r="B75" s="50" t="s">
        <v>393</v>
      </c>
      <c r="C75" s="15"/>
    </row>
    <row r="76" spans="1:3" x14ac:dyDescent="0.35">
      <c r="A76" s="15"/>
      <c r="B76" s="50" t="s">
        <v>242</v>
      </c>
      <c r="C76" s="15"/>
    </row>
    <row r="77" spans="1:3" x14ac:dyDescent="0.35">
      <c r="A77" s="15"/>
      <c r="B77" s="50" t="s">
        <v>426</v>
      </c>
      <c r="C77" s="15"/>
    </row>
    <row r="78" spans="1:3" x14ac:dyDescent="0.35">
      <c r="A78" s="15"/>
      <c r="B78" s="50" t="s">
        <v>244</v>
      </c>
      <c r="C78" s="15"/>
    </row>
    <row r="79" spans="1:3" x14ac:dyDescent="0.35">
      <c r="A79" s="15"/>
      <c r="B79" s="50" t="s">
        <v>334</v>
      </c>
      <c r="C79" s="15"/>
    </row>
    <row r="80" spans="1:3" x14ac:dyDescent="0.35">
      <c r="A80" s="15"/>
      <c r="B80" s="50" t="s">
        <v>339</v>
      </c>
      <c r="C80" s="15"/>
    </row>
    <row r="81" spans="1:3" x14ac:dyDescent="0.35">
      <c r="A81" s="15"/>
      <c r="B81" s="50" t="s">
        <v>340</v>
      </c>
      <c r="C81" s="15"/>
    </row>
    <row r="82" spans="1:3" x14ac:dyDescent="0.35">
      <c r="A82" s="15"/>
      <c r="B82" s="50" t="s">
        <v>341</v>
      </c>
      <c r="C82" s="15"/>
    </row>
    <row r="83" spans="1:3" x14ac:dyDescent="0.35">
      <c r="A83" s="15"/>
      <c r="B83" s="50" t="s">
        <v>389</v>
      </c>
      <c r="C83" s="15"/>
    </row>
    <row r="84" spans="1:3" x14ac:dyDescent="0.35">
      <c r="A84" s="15"/>
      <c r="B84" s="50" t="s">
        <v>245</v>
      </c>
      <c r="C84" s="15"/>
    </row>
    <row r="85" spans="1:3" x14ac:dyDescent="0.35">
      <c r="A85" s="15"/>
      <c r="B85" s="50" t="s">
        <v>246</v>
      </c>
      <c r="C85" s="15"/>
    </row>
    <row r="86" spans="1:3" x14ac:dyDescent="0.35">
      <c r="A86" s="15"/>
      <c r="B86" s="50" t="s">
        <v>347</v>
      </c>
      <c r="C86" s="15"/>
    </row>
    <row r="87" spans="1:3" x14ac:dyDescent="0.35">
      <c r="A87" s="15"/>
      <c r="B87" s="50" t="s">
        <v>247</v>
      </c>
      <c r="C87" s="15"/>
    </row>
    <row r="88" spans="1:3" x14ac:dyDescent="0.35">
      <c r="A88" s="15"/>
      <c r="B88" s="50" t="s">
        <v>248</v>
      </c>
      <c r="C88" s="15"/>
    </row>
    <row r="89" spans="1:3" x14ac:dyDescent="0.35">
      <c r="A89" s="15"/>
      <c r="B89" s="50" t="s">
        <v>249</v>
      </c>
      <c r="C89" s="15"/>
    </row>
    <row r="90" spans="1:3" x14ac:dyDescent="0.35">
      <c r="A90" s="15"/>
      <c r="B90" s="50" t="s">
        <v>348</v>
      </c>
      <c r="C90" s="15"/>
    </row>
    <row r="91" spans="1:3" x14ac:dyDescent="0.35">
      <c r="A91" s="15"/>
      <c r="B91" s="50" t="s">
        <v>349</v>
      </c>
      <c r="C91" s="15"/>
    </row>
    <row r="92" spans="1:3" x14ac:dyDescent="0.35">
      <c r="A92" s="15"/>
      <c r="B92" s="50" t="s">
        <v>418</v>
      </c>
      <c r="C92" s="15"/>
    </row>
    <row r="93" spans="1:3" x14ac:dyDescent="0.35">
      <c r="A93" s="15"/>
      <c r="B93" s="50" t="s">
        <v>419</v>
      </c>
      <c r="C93" s="15"/>
    </row>
    <row r="94" spans="1:3" x14ac:dyDescent="0.35">
      <c r="A94" s="15"/>
      <c r="B94" s="50" t="s">
        <v>250</v>
      </c>
      <c r="C94" s="15"/>
    </row>
    <row r="95" spans="1:3" x14ac:dyDescent="0.35">
      <c r="A95" s="15"/>
      <c r="B95" s="50" t="s">
        <v>251</v>
      </c>
      <c r="C95" s="15"/>
    </row>
    <row r="96" spans="1:3" x14ac:dyDescent="0.35">
      <c r="A96" s="15"/>
      <c r="B96" s="50" t="s">
        <v>252</v>
      </c>
      <c r="C96" s="15"/>
    </row>
    <row r="97" spans="1:3" x14ac:dyDescent="0.35">
      <c r="A97" s="15"/>
      <c r="B97" s="50" t="s">
        <v>253</v>
      </c>
      <c r="C97" s="15"/>
    </row>
    <row r="98" spans="1:3" x14ac:dyDescent="0.35">
      <c r="A98" s="15"/>
      <c r="B98" s="50" t="s">
        <v>420</v>
      </c>
      <c r="C98" s="15"/>
    </row>
    <row r="99" spans="1:3" x14ac:dyDescent="0.35">
      <c r="A99" s="15"/>
      <c r="B99" s="50" t="s">
        <v>254</v>
      </c>
      <c r="C99" s="15"/>
    </row>
    <row r="100" spans="1:3" x14ac:dyDescent="0.35">
      <c r="A100" s="15"/>
      <c r="B100" s="50" t="s">
        <v>374</v>
      </c>
      <c r="C100" s="15"/>
    </row>
    <row r="101" spans="1:3" x14ac:dyDescent="0.35">
      <c r="A101" s="15"/>
      <c r="B101" s="50" t="s">
        <v>375</v>
      </c>
      <c r="C101" s="15"/>
    </row>
    <row r="102" spans="1:3" x14ac:dyDescent="0.35">
      <c r="A102" s="15"/>
      <c r="B102" s="50" t="s">
        <v>255</v>
      </c>
      <c r="C102" s="15"/>
    </row>
    <row r="103" spans="1:3" x14ac:dyDescent="0.35">
      <c r="A103" s="15"/>
      <c r="B103" s="50" t="s">
        <v>256</v>
      </c>
      <c r="C103" s="15"/>
    </row>
    <row r="104" spans="1:3" x14ac:dyDescent="0.35">
      <c r="A104" s="15"/>
      <c r="B104" s="50" t="s">
        <v>376</v>
      </c>
      <c r="C104" s="15"/>
    </row>
    <row r="105" spans="1:3" x14ac:dyDescent="0.35">
      <c r="A105" s="15"/>
      <c r="B105" s="50" t="s">
        <v>377</v>
      </c>
      <c r="C105" s="15"/>
    </row>
    <row r="106" spans="1:3" x14ac:dyDescent="0.35">
      <c r="A106" s="15"/>
      <c r="B106" s="50" t="s">
        <v>378</v>
      </c>
      <c r="C106" s="15"/>
    </row>
    <row r="107" spans="1:3" x14ac:dyDescent="0.35">
      <c r="A107" s="15"/>
      <c r="B107" s="50" t="s">
        <v>257</v>
      </c>
      <c r="C107" s="15"/>
    </row>
    <row r="108" spans="1:3" x14ac:dyDescent="0.35">
      <c r="A108" s="15"/>
      <c r="B108" s="50" t="s">
        <v>258</v>
      </c>
      <c r="C108" s="15"/>
    </row>
    <row r="109" spans="1:3" x14ac:dyDescent="0.35">
      <c r="A109" s="15"/>
      <c r="B109" s="50" t="s">
        <v>259</v>
      </c>
      <c r="C109" s="15"/>
    </row>
    <row r="110" spans="1:3" x14ac:dyDescent="0.35">
      <c r="A110" s="15"/>
      <c r="B110" s="50" t="s">
        <v>371</v>
      </c>
      <c r="C110" s="15"/>
    </row>
    <row r="111" spans="1:3" x14ac:dyDescent="0.35">
      <c r="A111" s="15"/>
      <c r="B111" s="50" t="s">
        <v>260</v>
      </c>
      <c r="C111" s="15"/>
    </row>
    <row r="112" spans="1:3" x14ac:dyDescent="0.35">
      <c r="A112" s="15"/>
      <c r="B112" s="50" t="s">
        <v>261</v>
      </c>
      <c r="C112" s="15"/>
    </row>
    <row r="113" spans="1:3" x14ac:dyDescent="0.35">
      <c r="A113" s="15"/>
      <c r="B113" s="50" t="s">
        <v>338</v>
      </c>
      <c r="C113" s="15"/>
    </row>
    <row r="114" spans="1:3" x14ac:dyDescent="0.35">
      <c r="A114" s="15"/>
      <c r="B114" s="50" t="s">
        <v>262</v>
      </c>
      <c r="C114" s="15"/>
    </row>
    <row r="115" spans="1:3" x14ac:dyDescent="0.35">
      <c r="A115" s="15"/>
      <c r="B115" s="50" t="s">
        <v>263</v>
      </c>
      <c r="C115" s="15"/>
    </row>
    <row r="116" spans="1:3" x14ac:dyDescent="0.35">
      <c r="A116" s="15"/>
      <c r="B116" s="50" t="s">
        <v>264</v>
      </c>
      <c r="C116" s="15"/>
    </row>
    <row r="117" spans="1:3" x14ac:dyDescent="0.35">
      <c r="A117" s="15"/>
      <c r="B117" s="50" t="s">
        <v>370</v>
      </c>
      <c r="C117" s="15"/>
    </row>
    <row r="118" spans="1:3" x14ac:dyDescent="0.35">
      <c r="A118" s="15"/>
      <c r="B118" s="50" t="s">
        <v>423</v>
      </c>
      <c r="C118" s="15"/>
    </row>
    <row r="119" spans="1:3" x14ac:dyDescent="0.35">
      <c r="A119" s="15"/>
      <c r="B119" s="50" t="s">
        <v>424</v>
      </c>
      <c r="C119" s="15"/>
    </row>
    <row r="120" spans="1:3" x14ac:dyDescent="0.35">
      <c r="A120" s="15"/>
      <c r="B120" s="50" t="s">
        <v>265</v>
      </c>
      <c r="C120" s="15"/>
    </row>
    <row r="121" spans="1:3" x14ac:dyDescent="0.35">
      <c r="A121" s="15"/>
      <c r="B121" s="50" t="s">
        <v>266</v>
      </c>
      <c r="C121" s="15"/>
    </row>
    <row r="122" spans="1:3" x14ac:dyDescent="0.35">
      <c r="A122" s="15"/>
      <c r="B122" s="50" t="s">
        <v>267</v>
      </c>
      <c r="C122" s="15"/>
    </row>
    <row r="123" spans="1:3" x14ac:dyDescent="0.35">
      <c r="A123" s="15"/>
      <c r="B123" s="50" t="s">
        <v>342</v>
      </c>
      <c r="C123" s="15"/>
    </row>
    <row r="124" spans="1:3" x14ac:dyDescent="0.35">
      <c r="A124" s="15"/>
      <c r="B124" s="50" t="s">
        <v>356</v>
      </c>
      <c r="C124" s="15"/>
    </row>
    <row r="125" spans="1:3" x14ac:dyDescent="0.35">
      <c r="A125" s="15"/>
      <c r="B125" s="50" t="s">
        <v>268</v>
      </c>
      <c r="C125" s="15"/>
    </row>
    <row r="126" spans="1:3" x14ac:dyDescent="0.35">
      <c r="A126" s="15"/>
      <c r="B126" s="50" t="s">
        <v>269</v>
      </c>
      <c r="C126" s="15"/>
    </row>
    <row r="127" spans="1:3" x14ac:dyDescent="0.35">
      <c r="A127" s="15"/>
      <c r="B127" s="50" t="s">
        <v>270</v>
      </c>
      <c r="C127" s="15"/>
    </row>
    <row r="128" spans="1:3" x14ac:dyDescent="0.35">
      <c r="A128" s="15"/>
      <c r="B128" s="50" t="s">
        <v>344</v>
      </c>
      <c r="C128" s="15"/>
    </row>
    <row r="129" spans="1:3" x14ac:dyDescent="0.35">
      <c r="A129" s="15"/>
      <c r="B129" s="50" t="s">
        <v>346</v>
      </c>
      <c r="C129" s="15"/>
    </row>
    <row r="130" spans="1:3" x14ac:dyDescent="0.35">
      <c r="A130" s="15"/>
      <c r="B130" s="50" t="s">
        <v>373</v>
      </c>
      <c r="C130" s="15"/>
    </row>
    <row r="131" spans="1:3" x14ac:dyDescent="0.35">
      <c r="A131" s="15"/>
      <c r="B131" s="50" t="s">
        <v>271</v>
      </c>
      <c r="C131" s="15"/>
    </row>
    <row r="132" spans="1:3" x14ac:dyDescent="0.35">
      <c r="A132" s="15"/>
      <c r="B132" s="50" t="s">
        <v>421</v>
      </c>
      <c r="C132" s="15"/>
    </row>
    <row r="133" spans="1:3" x14ac:dyDescent="0.35">
      <c r="A133" s="15"/>
      <c r="B133" s="50" t="s">
        <v>422</v>
      </c>
      <c r="C133" s="15"/>
    </row>
    <row r="134" spans="1:3" x14ac:dyDescent="0.35">
      <c r="A134" s="15"/>
      <c r="B134" s="50" t="s">
        <v>272</v>
      </c>
      <c r="C134" s="15"/>
    </row>
    <row r="135" spans="1:3" x14ac:dyDescent="0.35">
      <c r="A135" s="15"/>
      <c r="B135" s="50" t="s">
        <v>273</v>
      </c>
      <c r="C135" s="15"/>
    </row>
    <row r="136" spans="1:3" x14ac:dyDescent="0.35">
      <c r="A136" s="15"/>
      <c r="B136" s="50" t="s">
        <v>274</v>
      </c>
      <c r="C136" s="15"/>
    </row>
    <row r="137" spans="1:3" x14ac:dyDescent="0.35">
      <c r="A137" s="15"/>
      <c r="B137" s="50" t="s">
        <v>275</v>
      </c>
      <c r="C137" s="15"/>
    </row>
    <row r="138" spans="1:3" x14ac:dyDescent="0.35">
      <c r="A138" s="15"/>
      <c r="B138" s="50" t="s">
        <v>276</v>
      </c>
      <c r="C138" s="15"/>
    </row>
    <row r="139" spans="1:3" x14ac:dyDescent="0.35">
      <c r="A139" s="15"/>
      <c r="B139" s="50" t="s">
        <v>277</v>
      </c>
      <c r="C139" s="15"/>
    </row>
    <row r="140" spans="1:3" x14ac:dyDescent="0.35">
      <c r="A140" s="15"/>
      <c r="B140" s="50" t="s">
        <v>278</v>
      </c>
      <c r="C140" s="15"/>
    </row>
    <row r="141" spans="1:3" x14ac:dyDescent="0.35">
      <c r="A141" s="15"/>
      <c r="B141" s="50" t="s">
        <v>279</v>
      </c>
      <c r="C141" s="15"/>
    </row>
    <row r="142" spans="1:3" x14ac:dyDescent="0.35">
      <c r="A142" s="15"/>
      <c r="B142" s="50" t="s">
        <v>280</v>
      </c>
      <c r="C142" s="15"/>
    </row>
    <row r="143" spans="1:3" x14ac:dyDescent="0.35">
      <c r="A143" s="15"/>
      <c r="B143" s="50" t="s">
        <v>281</v>
      </c>
      <c r="C143" s="15"/>
    </row>
    <row r="144" spans="1:3" x14ac:dyDescent="0.35">
      <c r="A144" s="15"/>
      <c r="B144" s="50" t="s">
        <v>282</v>
      </c>
      <c r="C144" s="15"/>
    </row>
    <row r="145" spans="1:3" x14ac:dyDescent="0.35">
      <c r="A145" s="15"/>
      <c r="B145" s="50" t="s">
        <v>283</v>
      </c>
      <c r="C145" s="15"/>
    </row>
    <row r="146" spans="1:3" x14ac:dyDescent="0.35">
      <c r="A146" s="15"/>
      <c r="B146" s="50" t="s">
        <v>284</v>
      </c>
      <c r="C146" s="15"/>
    </row>
    <row r="147" spans="1:3" x14ac:dyDescent="0.35">
      <c r="A147" s="15"/>
      <c r="B147" s="50" t="s">
        <v>285</v>
      </c>
      <c r="C147" s="15"/>
    </row>
    <row r="148" spans="1:3" x14ac:dyDescent="0.35">
      <c r="A148" s="15"/>
      <c r="B148" s="50" t="s">
        <v>286</v>
      </c>
      <c r="C148" s="15"/>
    </row>
    <row r="149" spans="1:3" x14ac:dyDescent="0.35">
      <c r="A149" s="15"/>
      <c r="B149" s="50" t="s">
        <v>287</v>
      </c>
      <c r="C149" s="15"/>
    </row>
    <row r="150" spans="1:3" x14ac:dyDescent="0.35">
      <c r="A150" s="15"/>
      <c r="B150" s="50" t="s">
        <v>288</v>
      </c>
      <c r="C150" s="15"/>
    </row>
    <row r="151" spans="1:3" x14ac:dyDescent="0.35">
      <c r="A151" s="15"/>
      <c r="B151" s="50" t="s">
        <v>289</v>
      </c>
      <c r="C151" s="15"/>
    </row>
    <row r="152" spans="1:3" x14ac:dyDescent="0.35">
      <c r="A152" s="15"/>
      <c r="B152" s="50" t="s">
        <v>290</v>
      </c>
      <c r="C152" s="15"/>
    </row>
    <row r="153" spans="1:3" x14ac:dyDescent="0.35">
      <c r="A153" s="15"/>
      <c r="B153" s="50" t="s">
        <v>291</v>
      </c>
      <c r="C153" s="15"/>
    </row>
    <row r="154" spans="1:3" x14ac:dyDescent="0.35">
      <c r="A154" s="15"/>
      <c r="B154" s="50" t="s">
        <v>292</v>
      </c>
      <c r="C154" s="15"/>
    </row>
    <row r="155" spans="1:3" x14ac:dyDescent="0.35">
      <c r="A155" s="15"/>
      <c r="B155" s="50" t="s">
        <v>293</v>
      </c>
      <c r="C155" s="15"/>
    </row>
    <row r="156" spans="1:3" x14ac:dyDescent="0.35">
      <c r="A156" s="15"/>
      <c r="B156" s="50" t="s">
        <v>294</v>
      </c>
      <c r="C156" s="15"/>
    </row>
    <row r="157" spans="1:3" x14ac:dyDescent="0.35">
      <c r="A157" s="15"/>
      <c r="B157" s="50" t="s">
        <v>295</v>
      </c>
      <c r="C157" s="15"/>
    </row>
    <row r="158" spans="1:3" x14ac:dyDescent="0.35">
      <c r="A158" s="15"/>
      <c r="B158" s="50" t="s">
        <v>355</v>
      </c>
      <c r="C158" s="15"/>
    </row>
    <row r="159" spans="1:3" x14ac:dyDescent="0.35">
      <c r="A159" s="15"/>
      <c r="B159" s="50" t="s">
        <v>358</v>
      </c>
      <c r="C159" s="15"/>
    </row>
    <row r="160" spans="1:3" x14ac:dyDescent="0.35">
      <c r="A160" s="15"/>
      <c r="B160" s="50" t="s">
        <v>359</v>
      </c>
      <c r="C160" s="15"/>
    </row>
    <row r="161" spans="1:3" x14ac:dyDescent="0.35">
      <c r="A161" s="15"/>
      <c r="B161" s="50" t="s">
        <v>296</v>
      </c>
      <c r="C161" s="15"/>
    </row>
    <row r="162" spans="1:3" x14ac:dyDescent="0.35">
      <c r="A162" s="15"/>
      <c r="B162" s="50" t="s">
        <v>297</v>
      </c>
      <c r="C162" s="15"/>
    </row>
    <row r="163" spans="1:3" x14ac:dyDescent="0.35">
      <c r="A163" s="15"/>
      <c r="B163" s="50" t="s">
        <v>298</v>
      </c>
      <c r="C163" s="15"/>
    </row>
    <row r="164" spans="1:3" x14ac:dyDescent="0.35">
      <c r="A164" s="15"/>
      <c r="B164" s="50" t="s">
        <v>299</v>
      </c>
      <c r="C164" s="15"/>
    </row>
    <row r="165" spans="1:3" x14ac:dyDescent="0.35">
      <c r="A165" s="15"/>
      <c r="B165" s="50" t="s">
        <v>300</v>
      </c>
      <c r="C165" s="15"/>
    </row>
    <row r="166" spans="1:3" x14ac:dyDescent="0.35">
      <c r="A166" s="15"/>
      <c r="B166" s="50" t="s">
        <v>301</v>
      </c>
      <c r="C166" s="15"/>
    </row>
    <row r="167" spans="1:3" x14ac:dyDescent="0.35">
      <c r="A167" s="15"/>
      <c r="B167" s="50" t="s">
        <v>302</v>
      </c>
      <c r="C167" s="15"/>
    </row>
    <row r="168" spans="1:3" x14ac:dyDescent="0.35">
      <c r="A168" s="15"/>
      <c r="B168" s="50" t="s">
        <v>303</v>
      </c>
      <c r="C168" s="15"/>
    </row>
    <row r="169" spans="1:3" x14ac:dyDescent="0.35">
      <c r="A169" s="15"/>
      <c r="B169" s="50" t="s">
        <v>304</v>
      </c>
      <c r="C169" s="15"/>
    </row>
    <row r="170" spans="1:3" x14ac:dyDescent="0.35">
      <c r="A170" s="15"/>
      <c r="B170" s="50" t="s">
        <v>305</v>
      </c>
      <c r="C170" s="15"/>
    </row>
    <row r="171" spans="1:3" x14ac:dyDescent="0.35">
      <c r="A171" s="15"/>
      <c r="B171" s="50" t="s">
        <v>306</v>
      </c>
      <c r="C171" s="15"/>
    </row>
    <row r="172" spans="1:3" x14ac:dyDescent="0.35">
      <c r="A172" s="15"/>
      <c r="B172" s="50" t="s">
        <v>335</v>
      </c>
      <c r="C172" s="15"/>
    </row>
    <row r="173" spans="1:3" x14ac:dyDescent="0.35">
      <c r="A173" s="15"/>
      <c r="B173" s="50" t="s">
        <v>336</v>
      </c>
      <c r="C173" s="15"/>
    </row>
    <row r="174" spans="1:3" x14ac:dyDescent="0.35">
      <c r="A174" s="15"/>
      <c r="B174" s="50" t="s">
        <v>409</v>
      </c>
      <c r="C174" s="15"/>
    </row>
    <row r="175" spans="1:3" x14ac:dyDescent="0.35">
      <c r="A175" s="15"/>
      <c r="B175" s="50" t="s">
        <v>410</v>
      </c>
      <c r="C175" s="15"/>
    </row>
    <row r="176" spans="1:3" x14ac:dyDescent="0.35">
      <c r="A176" s="15"/>
      <c r="B176" s="50" t="s">
        <v>411</v>
      </c>
      <c r="C176" s="15"/>
    </row>
    <row r="177" spans="1:3" x14ac:dyDescent="0.35">
      <c r="A177" s="15"/>
      <c r="B177" s="50" t="s">
        <v>412</v>
      </c>
      <c r="C177" s="15"/>
    </row>
    <row r="178" spans="1:3" x14ac:dyDescent="0.35">
      <c r="A178" s="15"/>
      <c r="B178" s="50" t="s">
        <v>413</v>
      </c>
      <c r="C178" s="15"/>
    </row>
    <row r="179" spans="1:3" x14ac:dyDescent="0.35">
      <c r="A179" s="15"/>
      <c r="B179" s="50" t="s">
        <v>307</v>
      </c>
      <c r="C179" s="15"/>
    </row>
    <row r="180" spans="1:3" x14ac:dyDescent="0.35">
      <c r="A180" s="15"/>
      <c r="B180" s="50" t="s">
        <v>414</v>
      </c>
      <c r="C180" s="15"/>
    </row>
    <row r="181" spans="1:3" x14ac:dyDescent="0.35">
      <c r="A181" s="15"/>
      <c r="B181" s="50" t="s">
        <v>415</v>
      </c>
      <c r="C181" s="15"/>
    </row>
    <row r="182" spans="1:3" x14ac:dyDescent="0.35">
      <c r="A182" s="15"/>
      <c r="B182" s="50" t="s">
        <v>416</v>
      </c>
      <c r="C182" s="15"/>
    </row>
    <row r="183" spans="1:3" x14ac:dyDescent="0.35">
      <c r="A183" s="15"/>
      <c r="B183" s="50" t="s">
        <v>417</v>
      </c>
      <c r="C183" s="15"/>
    </row>
    <row r="184" spans="1:3" x14ac:dyDescent="0.35">
      <c r="A184" s="15"/>
      <c r="B184" s="50" t="s">
        <v>308</v>
      </c>
      <c r="C184" s="15"/>
    </row>
    <row r="185" spans="1:3" x14ac:dyDescent="0.35">
      <c r="A185" s="15"/>
      <c r="B185" s="50" t="s">
        <v>309</v>
      </c>
      <c r="C185" s="15"/>
    </row>
    <row r="186" spans="1:3" x14ac:dyDescent="0.35">
      <c r="A186" s="15"/>
      <c r="B186" s="50" t="s">
        <v>310</v>
      </c>
      <c r="C186" s="15"/>
    </row>
    <row r="187" spans="1:3" x14ac:dyDescent="0.35">
      <c r="A187" s="15"/>
      <c r="B187" s="50" t="s">
        <v>311</v>
      </c>
      <c r="C187" s="15"/>
    </row>
    <row r="188" spans="1:3" x14ac:dyDescent="0.35">
      <c r="A188" s="15"/>
      <c r="B188" s="50" t="s">
        <v>312</v>
      </c>
      <c r="C188" s="15"/>
    </row>
    <row r="189" spans="1:3" x14ac:dyDescent="0.35">
      <c r="A189" s="15"/>
      <c r="B189" s="50" t="s">
        <v>313</v>
      </c>
      <c r="C189" s="15"/>
    </row>
    <row r="190" spans="1:3" x14ac:dyDescent="0.35">
      <c r="A190" s="15"/>
      <c r="B190" s="50" t="s">
        <v>337</v>
      </c>
      <c r="C190" s="15"/>
    </row>
    <row r="191" spans="1:3" x14ac:dyDescent="0.35">
      <c r="A191" s="15"/>
      <c r="B191" s="50" t="s">
        <v>314</v>
      </c>
      <c r="C191" s="15"/>
    </row>
    <row r="192" spans="1:3" x14ac:dyDescent="0.35">
      <c r="A192" s="15"/>
      <c r="B192" s="50" t="s">
        <v>315</v>
      </c>
      <c r="C192" s="15"/>
    </row>
    <row r="193" spans="1:3" x14ac:dyDescent="0.35">
      <c r="A193" s="15"/>
      <c r="B193" s="50" t="s">
        <v>316</v>
      </c>
      <c r="C193" s="15"/>
    </row>
    <row r="194" spans="1:3" x14ac:dyDescent="0.35">
      <c r="A194" s="15"/>
      <c r="B194" s="50" t="s">
        <v>317</v>
      </c>
      <c r="C194" s="15"/>
    </row>
    <row r="195" spans="1:3" x14ac:dyDescent="0.35">
      <c r="A195" s="15"/>
      <c r="B195" s="50" t="s">
        <v>318</v>
      </c>
      <c r="C195" s="15"/>
    </row>
    <row r="196" spans="1:3" x14ac:dyDescent="0.35">
      <c r="A196" s="15"/>
      <c r="B196" s="50" t="s">
        <v>319</v>
      </c>
      <c r="C196" s="15"/>
    </row>
    <row r="197" spans="1:3" x14ac:dyDescent="0.35">
      <c r="A197" s="15"/>
      <c r="B197" s="50" t="s">
        <v>320</v>
      </c>
      <c r="C197" s="15"/>
    </row>
    <row r="198" spans="1:3" x14ac:dyDescent="0.35">
      <c r="A198" s="15"/>
      <c r="B198" s="50" t="s">
        <v>321</v>
      </c>
      <c r="C198" s="15"/>
    </row>
    <row r="199" spans="1:3" x14ac:dyDescent="0.35">
      <c r="A199" s="15"/>
      <c r="B199" s="50" t="s">
        <v>322</v>
      </c>
      <c r="C199" s="15"/>
    </row>
    <row r="200" spans="1:3" x14ac:dyDescent="0.35">
      <c r="A200" s="15"/>
      <c r="B200" s="50" t="s">
        <v>323</v>
      </c>
      <c r="C200" s="15"/>
    </row>
    <row r="201" spans="1:3" x14ac:dyDescent="0.35">
      <c r="A201" s="15"/>
      <c r="B201" s="50" t="s">
        <v>324</v>
      </c>
      <c r="C201" s="15"/>
    </row>
    <row r="202" spans="1:3" x14ac:dyDescent="0.35">
      <c r="A202" s="15"/>
      <c r="B202" s="50" t="s">
        <v>325</v>
      </c>
      <c r="C202" s="15"/>
    </row>
    <row r="203" spans="1:3" x14ac:dyDescent="0.35">
      <c r="A203" s="15"/>
      <c r="B203" s="50" t="s">
        <v>326</v>
      </c>
      <c r="C203" s="15"/>
    </row>
    <row r="204" spans="1:3" x14ac:dyDescent="0.35">
      <c r="B204" t="s">
        <v>461</v>
      </c>
    </row>
    <row r="205" spans="1:3" x14ac:dyDescent="0.35">
      <c r="B205" t="s">
        <v>462</v>
      </c>
    </row>
    <row r="206" spans="1:3" x14ac:dyDescent="0.35">
      <c r="B206" t="s">
        <v>463</v>
      </c>
    </row>
    <row r="207" spans="1:3" x14ac:dyDescent="0.35">
      <c r="B207" t="s">
        <v>464</v>
      </c>
    </row>
    <row r="208" spans="1:3" x14ac:dyDescent="0.35">
      <c r="B208" t="s">
        <v>465</v>
      </c>
    </row>
    <row r="209" spans="2:2" x14ac:dyDescent="0.35">
      <c r="B209" t="s">
        <v>466</v>
      </c>
    </row>
    <row r="210" spans="2:2" x14ac:dyDescent="0.35">
      <c r="B210" t="s">
        <v>467</v>
      </c>
    </row>
    <row r="211" spans="2:2" x14ac:dyDescent="0.35">
      <c r="B211" t="s">
        <v>468</v>
      </c>
    </row>
    <row r="212" spans="2:2" x14ac:dyDescent="0.35">
      <c r="B212" t="s">
        <v>469</v>
      </c>
    </row>
    <row r="213" spans="2:2" x14ac:dyDescent="0.35">
      <c r="B213" t="s">
        <v>470</v>
      </c>
    </row>
    <row r="214" spans="2:2" x14ac:dyDescent="0.35">
      <c r="B214" t="s">
        <v>471</v>
      </c>
    </row>
    <row r="215" spans="2:2" x14ac:dyDescent="0.35">
      <c r="B215" t="s">
        <v>472</v>
      </c>
    </row>
    <row r="216" spans="2:2" x14ac:dyDescent="0.35">
      <c r="B216" t="s">
        <v>473</v>
      </c>
    </row>
    <row r="217" spans="2:2" x14ac:dyDescent="0.35">
      <c r="B217" t="s">
        <v>474</v>
      </c>
    </row>
    <row r="218" spans="2:2" x14ac:dyDescent="0.35">
      <c r="B218" t="s">
        <v>475</v>
      </c>
    </row>
    <row r="219" spans="2:2" x14ac:dyDescent="0.35">
      <c r="B219" t="s">
        <v>476</v>
      </c>
    </row>
    <row r="220" spans="2:2" x14ac:dyDescent="0.35">
      <c r="B220" t="s">
        <v>477</v>
      </c>
    </row>
    <row r="221" spans="2:2" x14ac:dyDescent="0.35">
      <c r="B221" t="s">
        <v>478</v>
      </c>
    </row>
    <row r="222" spans="2:2" x14ac:dyDescent="0.35">
      <c r="B222" t="s">
        <v>479</v>
      </c>
    </row>
    <row r="223" spans="2:2" x14ac:dyDescent="0.35">
      <c r="B223" t="s">
        <v>480</v>
      </c>
    </row>
    <row r="224" spans="2:2" x14ac:dyDescent="0.35">
      <c r="B224" t="s">
        <v>486</v>
      </c>
    </row>
    <row r="225" spans="2:2" x14ac:dyDescent="0.35">
      <c r="B225" t="s">
        <v>487</v>
      </c>
    </row>
    <row r="226" spans="2:2" x14ac:dyDescent="0.35">
      <c r="B226" t="s">
        <v>502</v>
      </c>
    </row>
    <row r="227" spans="2:2" x14ac:dyDescent="0.35">
      <c r="B227" t="s">
        <v>507</v>
      </c>
    </row>
    <row r="228" spans="2:2" x14ac:dyDescent="0.35">
      <c r="B228" t="s">
        <v>509</v>
      </c>
    </row>
    <row r="229" spans="2:2" x14ac:dyDescent="0.35">
      <c r="B229" t="s">
        <v>530</v>
      </c>
    </row>
    <row r="230" spans="2:2" x14ac:dyDescent="0.35">
      <c r="B230" t="s">
        <v>573</v>
      </c>
    </row>
    <row r="231" spans="2:2" x14ac:dyDescent="0.35">
      <c r="B231" t="s">
        <v>603</v>
      </c>
    </row>
  </sheetData>
  <sheetProtection autoFilter="0"/>
  <sortState xmlns:xlrd2="http://schemas.microsoft.com/office/spreadsheetml/2017/richdata2" ref="B3:C203">
    <sortCondition ref="B3:B203"/>
  </sortState>
  <pageMargins left="0.70866141732283472" right="0.70866141732283472" top="0.19685039370078741" bottom="0.19685039370078741" header="0.11811023622047245" footer="0.11811023622047245"/>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7"/>
  <dimension ref="A1:K52"/>
  <sheetViews>
    <sheetView zoomScale="115" zoomScaleNormal="115" workbookViewId="0">
      <selection activeCell="G29" sqref="G29:G30"/>
    </sheetView>
  </sheetViews>
  <sheetFormatPr baseColWidth="10" defaultRowHeight="14.5" x14ac:dyDescent="0.35"/>
  <cols>
    <col min="1" max="1" width="24.81640625" style="4" customWidth="1"/>
    <col min="2" max="2" width="20.1796875" style="4" customWidth="1"/>
    <col min="3" max="3" width="33.453125" style="4" customWidth="1"/>
    <col min="4" max="4" width="30.1796875" style="4" customWidth="1"/>
    <col min="5" max="5" width="21" style="4" customWidth="1"/>
    <col min="6" max="6" width="23" style="4" customWidth="1"/>
    <col min="7" max="7" width="25.1796875" style="4" customWidth="1"/>
    <col min="8" max="8" width="23.54296875" style="4" customWidth="1"/>
    <col min="9" max="9" width="14" style="4" customWidth="1"/>
    <col min="10" max="10" width="18.81640625" customWidth="1"/>
    <col min="11" max="11" width="13.81640625" customWidth="1"/>
  </cols>
  <sheetData>
    <row r="1" spans="1:11" ht="34.5" customHeight="1" x14ac:dyDescent="0.35">
      <c r="A1" s="3" t="s">
        <v>31</v>
      </c>
      <c r="B1" s="3" t="s">
        <v>32</v>
      </c>
      <c r="C1" s="5" t="s">
        <v>33</v>
      </c>
      <c r="D1" s="5" t="s">
        <v>34</v>
      </c>
      <c r="E1" s="5" t="s">
        <v>35</v>
      </c>
      <c r="F1" s="5" t="s">
        <v>36</v>
      </c>
      <c r="G1" s="5" t="s">
        <v>186</v>
      </c>
      <c r="H1" s="5" t="s">
        <v>37</v>
      </c>
      <c r="I1" s="5" t="s">
        <v>10</v>
      </c>
      <c r="J1" s="5" t="s">
        <v>47</v>
      </c>
      <c r="K1" s="5" t="s">
        <v>48</v>
      </c>
    </row>
    <row r="2" spans="1:11" x14ac:dyDescent="0.35">
      <c r="A2" s="4" t="s">
        <v>68</v>
      </c>
      <c r="B2" s="4" t="s">
        <v>68</v>
      </c>
      <c r="C2" s="4" t="s">
        <v>68</v>
      </c>
      <c r="D2" s="4" t="s">
        <v>68</v>
      </c>
      <c r="E2" s="4" t="s">
        <v>68</v>
      </c>
      <c r="F2" s="4" t="s">
        <v>68</v>
      </c>
      <c r="G2" s="4" t="s">
        <v>68</v>
      </c>
      <c r="H2" s="4" t="s">
        <v>69</v>
      </c>
      <c r="I2" s="4" t="s">
        <v>69</v>
      </c>
      <c r="J2" s="4" t="s">
        <v>93</v>
      </c>
      <c r="K2" s="4" t="s">
        <v>69</v>
      </c>
    </row>
    <row r="3" spans="1:11" x14ac:dyDescent="0.35">
      <c r="A3" s="4" t="s">
        <v>165</v>
      </c>
      <c r="B3" s="4" t="s">
        <v>125</v>
      </c>
      <c r="C3" s="4" t="s">
        <v>67</v>
      </c>
      <c r="D3" s="4" t="s">
        <v>124</v>
      </c>
      <c r="E3" s="4" t="s">
        <v>69</v>
      </c>
      <c r="F3" s="4" t="s">
        <v>69</v>
      </c>
      <c r="G3" s="4" t="s">
        <v>437</v>
      </c>
      <c r="H3" s="4" t="s">
        <v>147</v>
      </c>
      <c r="I3" s="4" t="s">
        <v>147</v>
      </c>
      <c r="J3" s="4" t="s">
        <v>94</v>
      </c>
      <c r="K3" s="4" t="s">
        <v>50</v>
      </c>
    </row>
    <row r="4" spans="1:11" x14ac:dyDescent="0.35">
      <c r="A4" s="4" t="s">
        <v>172</v>
      </c>
      <c r="B4" s="4" t="s">
        <v>38</v>
      </c>
      <c r="C4" s="4" t="s">
        <v>104</v>
      </c>
      <c r="D4" s="4" t="s">
        <v>123</v>
      </c>
      <c r="E4" s="4" t="s">
        <v>131</v>
      </c>
      <c r="F4" s="4" t="s">
        <v>86</v>
      </c>
      <c r="G4" s="4" t="s">
        <v>438</v>
      </c>
      <c r="H4" s="4" t="s">
        <v>96</v>
      </c>
      <c r="I4" s="4" t="s">
        <v>45</v>
      </c>
      <c r="J4" s="4" t="s">
        <v>396</v>
      </c>
      <c r="K4" s="4" t="s">
        <v>51</v>
      </c>
    </row>
    <row r="5" spans="1:11" x14ac:dyDescent="0.35">
      <c r="A5" s="4" t="s">
        <v>166</v>
      </c>
      <c r="B5" s="4" t="s">
        <v>39</v>
      </c>
      <c r="C5" s="4" t="s">
        <v>192</v>
      </c>
      <c r="D5" s="4" t="s">
        <v>44</v>
      </c>
      <c r="E5" s="4" t="s">
        <v>129</v>
      </c>
      <c r="F5" s="4" t="s">
        <v>87</v>
      </c>
      <c r="G5" s="4" t="s">
        <v>439</v>
      </c>
      <c r="H5" s="4" t="s">
        <v>97</v>
      </c>
      <c r="I5" s="4" t="s">
        <v>98</v>
      </c>
      <c r="J5" s="4" t="s">
        <v>187</v>
      </c>
      <c r="K5" s="4" t="s">
        <v>49</v>
      </c>
    </row>
    <row r="6" spans="1:11" x14ac:dyDescent="0.35">
      <c r="A6" s="4" t="s">
        <v>173</v>
      </c>
      <c r="B6" s="4" t="s">
        <v>71</v>
      </c>
      <c r="C6" s="4" t="s">
        <v>74</v>
      </c>
      <c r="D6" s="4" t="s">
        <v>79</v>
      </c>
      <c r="E6" s="4" t="s">
        <v>132</v>
      </c>
      <c r="F6" s="4" t="s">
        <v>146</v>
      </c>
      <c r="G6" s="4" t="s">
        <v>440</v>
      </c>
      <c r="H6" s="4" t="s">
        <v>40</v>
      </c>
      <c r="I6" s="4" t="s">
        <v>46</v>
      </c>
      <c r="J6" s="4" t="s">
        <v>95</v>
      </c>
      <c r="K6" s="4" t="s">
        <v>100</v>
      </c>
    </row>
    <row r="7" spans="1:11" x14ac:dyDescent="0.35">
      <c r="A7" s="4" t="s">
        <v>167</v>
      </c>
      <c r="B7" s="4" t="s">
        <v>70</v>
      </c>
      <c r="C7" s="4" t="s">
        <v>43</v>
      </c>
      <c r="D7" s="4" t="s">
        <v>80</v>
      </c>
      <c r="E7" s="4" t="s">
        <v>133</v>
      </c>
      <c r="F7" s="4" t="s">
        <v>116</v>
      </c>
      <c r="G7" s="4" t="s">
        <v>441</v>
      </c>
      <c r="H7" s="4" t="s">
        <v>106</v>
      </c>
      <c r="I7" s="4" t="s">
        <v>99</v>
      </c>
      <c r="J7" t="s">
        <v>202</v>
      </c>
      <c r="K7" s="4" t="s">
        <v>101</v>
      </c>
    </row>
    <row r="8" spans="1:11" x14ac:dyDescent="0.35">
      <c r="A8" s="4" t="s">
        <v>175</v>
      </c>
      <c r="B8" s="4" t="s">
        <v>72</v>
      </c>
      <c r="C8" s="4" t="s">
        <v>103</v>
      </c>
      <c r="D8" s="4" t="s">
        <v>81</v>
      </c>
      <c r="E8" s="4" t="s">
        <v>140</v>
      </c>
      <c r="F8" s="4" t="s">
        <v>115</v>
      </c>
      <c r="G8" s="4" t="s">
        <v>442</v>
      </c>
      <c r="H8" s="4" t="s">
        <v>105</v>
      </c>
      <c r="I8" t="s">
        <v>197</v>
      </c>
      <c r="J8" s="4" t="s">
        <v>367</v>
      </c>
      <c r="K8" s="4" t="s">
        <v>102</v>
      </c>
    </row>
    <row r="9" spans="1:11" x14ac:dyDescent="0.35">
      <c r="A9" s="4" t="s">
        <v>168</v>
      </c>
      <c r="B9" s="4" t="s">
        <v>73</v>
      </c>
      <c r="C9" s="4" t="s">
        <v>75</v>
      </c>
      <c r="D9" s="4" t="s">
        <v>82</v>
      </c>
      <c r="E9" s="4" t="s">
        <v>181</v>
      </c>
      <c r="F9" s="4" t="s">
        <v>114</v>
      </c>
      <c r="G9" s="4" t="s">
        <v>443</v>
      </c>
      <c r="J9" s="4" t="s">
        <v>394</v>
      </c>
      <c r="K9" s="4" t="s">
        <v>107</v>
      </c>
    </row>
    <row r="10" spans="1:11" x14ac:dyDescent="0.35">
      <c r="A10" s="4" t="s">
        <v>174</v>
      </c>
      <c r="B10" s="4" t="s">
        <v>363</v>
      </c>
      <c r="C10" s="4" t="s">
        <v>177</v>
      </c>
      <c r="D10" s="4" t="s">
        <v>83</v>
      </c>
      <c r="E10" s="4" t="s">
        <v>139</v>
      </c>
      <c r="F10" s="4" t="s">
        <v>113</v>
      </c>
      <c r="G10" s="4" t="s">
        <v>444</v>
      </c>
      <c r="J10" s="4" t="s">
        <v>395</v>
      </c>
      <c r="K10" s="4" t="s">
        <v>108</v>
      </c>
    </row>
    <row r="11" spans="1:11" x14ac:dyDescent="0.35">
      <c r="A11" s="4" t="s">
        <v>169</v>
      </c>
      <c r="B11" s="4" t="s">
        <v>364</v>
      </c>
      <c r="C11" s="4" t="s">
        <v>77</v>
      </c>
      <c r="D11" s="4" t="s">
        <v>84</v>
      </c>
      <c r="E11" s="4" t="s">
        <v>130</v>
      </c>
      <c r="F11" s="4" t="s">
        <v>112</v>
      </c>
      <c r="G11" s="4" t="s">
        <v>445</v>
      </c>
      <c r="J11" s="4" t="s">
        <v>398</v>
      </c>
    </row>
    <row r="12" spans="1:11" x14ac:dyDescent="0.35">
      <c r="A12" s="4" t="s">
        <v>176</v>
      </c>
      <c r="C12" s="4" t="s">
        <v>78</v>
      </c>
      <c r="D12" s="4" t="s">
        <v>85</v>
      </c>
      <c r="E12" s="4" t="s">
        <v>127</v>
      </c>
      <c r="F12" s="4" t="s">
        <v>111</v>
      </c>
      <c r="G12" s="4" t="s">
        <v>446</v>
      </c>
      <c r="J12" s="4" t="s">
        <v>397</v>
      </c>
    </row>
    <row r="13" spans="1:11" x14ac:dyDescent="0.35">
      <c r="A13" s="4" t="s">
        <v>170</v>
      </c>
      <c r="C13" s="4" t="s">
        <v>76</v>
      </c>
      <c r="E13" s="4" t="s">
        <v>134</v>
      </c>
      <c r="F13" s="4" t="s">
        <v>88</v>
      </c>
      <c r="G13" s="4" t="s">
        <v>447</v>
      </c>
    </row>
    <row r="14" spans="1:11" x14ac:dyDescent="0.35">
      <c r="A14" s="4" t="s">
        <v>171</v>
      </c>
      <c r="C14" s="4" t="s">
        <v>154</v>
      </c>
      <c r="E14" s="4" t="s">
        <v>135</v>
      </c>
      <c r="F14" s="4" t="s">
        <v>109</v>
      </c>
      <c r="G14" s="4" t="s">
        <v>448</v>
      </c>
    </row>
    <row r="15" spans="1:11" x14ac:dyDescent="0.35">
      <c r="A15" s="4" t="s">
        <v>188</v>
      </c>
      <c r="C15" s="4" t="s">
        <v>178</v>
      </c>
      <c r="E15" s="4" t="s">
        <v>136</v>
      </c>
      <c r="F15" s="4" t="s">
        <v>110</v>
      </c>
      <c r="G15" s="4" t="s">
        <v>449</v>
      </c>
    </row>
    <row r="16" spans="1:11" x14ac:dyDescent="0.35">
      <c r="A16" s="4" t="s">
        <v>190</v>
      </c>
      <c r="C16" s="4" t="s">
        <v>157</v>
      </c>
      <c r="E16" s="4" t="s">
        <v>137</v>
      </c>
      <c r="F16" s="4" t="s">
        <v>89</v>
      </c>
      <c r="G16" s="4" t="s">
        <v>450</v>
      </c>
    </row>
    <row r="17" spans="1:7" x14ac:dyDescent="0.35">
      <c r="A17" s="4" t="s">
        <v>189</v>
      </c>
      <c r="C17" s="4" t="s">
        <v>179</v>
      </c>
      <c r="E17" s="4" t="s">
        <v>138</v>
      </c>
      <c r="F17" s="4" t="s">
        <v>90</v>
      </c>
      <c r="G17" s="4" t="s">
        <v>451</v>
      </c>
    </row>
    <row r="18" spans="1:7" x14ac:dyDescent="0.35">
      <c r="A18" s="4" t="s">
        <v>191</v>
      </c>
      <c r="C18" s="4" t="s">
        <v>180</v>
      </c>
      <c r="E18" s="4" t="s">
        <v>182</v>
      </c>
      <c r="F18" s="4" t="s">
        <v>91</v>
      </c>
      <c r="G18" s="4" t="s">
        <v>452</v>
      </c>
    </row>
    <row r="19" spans="1:7" x14ac:dyDescent="0.35">
      <c r="A19" s="4" t="s">
        <v>361</v>
      </c>
      <c r="C19" s="4" t="s">
        <v>200</v>
      </c>
      <c r="E19" s="4" t="s">
        <v>183</v>
      </c>
      <c r="F19" s="4" t="s">
        <v>92</v>
      </c>
      <c r="G19" s="4" t="s">
        <v>453</v>
      </c>
    </row>
    <row r="20" spans="1:7" x14ac:dyDescent="0.35">
      <c r="A20" s="4" t="s">
        <v>362</v>
      </c>
      <c r="C20" s="4" t="s">
        <v>201</v>
      </c>
      <c r="E20" s="4" t="s">
        <v>156</v>
      </c>
      <c r="F20" s="4" t="s">
        <v>109</v>
      </c>
      <c r="G20" s="4" t="s">
        <v>454</v>
      </c>
    </row>
    <row r="21" spans="1:7" x14ac:dyDescent="0.35">
      <c r="A21" s="4" t="s">
        <v>368</v>
      </c>
      <c r="C21" s="4" t="s">
        <v>40</v>
      </c>
      <c r="E21" s="4" t="s">
        <v>141</v>
      </c>
      <c r="F21" s="4" t="s">
        <v>110</v>
      </c>
      <c r="G21" s="4" t="s">
        <v>455</v>
      </c>
    </row>
    <row r="22" spans="1:7" x14ac:dyDescent="0.35">
      <c r="A22" s="4" t="s">
        <v>369</v>
      </c>
      <c r="C22" s="4" t="s">
        <v>106</v>
      </c>
      <c r="E22" s="4" t="s">
        <v>142</v>
      </c>
      <c r="F22" s="4" t="s">
        <v>117</v>
      </c>
      <c r="G22" s="4" t="s">
        <v>456</v>
      </c>
    </row>
    <row r="23" spans="1:7" x14ac:dyDescent="0.35">
      <c r="C23" s="4" t="s">
        <v>525</v>
      </c>
      <c r="E23" s="4" t="s">
        <v>143</v>
      </c>
      <c r="F23" s="4" t="s">
        <v>118</v>
      </c>
      <c r="G23" s="4" t="s">
        <v>457</v>
      </c>
    </row>
    <row r="24" spans="1:7" x14ac:dyDescent="0.35">
      <c r="E24" s="4" t="s">
        <v>144</v>
      </c>
      <c r="F24" s="4" t="s">
        <v>119</v>
      </c>
      <c r="G24" s="4" t="s">
        <v>458</v>
      </c>
    </row>
    <row r="25" spans="1:7" x14ac:dyDescent="0.35">
      <c r="E25" s="4" t="s">
        <v>145</v>
      </c>
      <c r="F25" s="4" t="s">
        <v>120</v>
      </c>
      <c r="G25" s="4" t="s">
        <v>459</v>
      </c>
    </row>
    <row r="26" spans="1:7" x14ac:dyDescent="0.35">
      <c r="E26" s="4" t="s">
        <v>184</v>
      </c>
      <c r="F26" s="4" t="s">
        <v>121</v>
      </c>
      <c r="G26" s="4" t="s">
        <v>199</v>
      </c>
    </row>
    <row r="27" spans="1:7" x14ac:dyDescent="0.35">
      <c r="E27" s="4" t="s">
        <v>185</v>
      </c>
      <c r="F27" s="4" t="s">
        <v>122</v>
      </c>
      <c r="G27" s="4" t="s">
        <v>460</v>
      </c>
    </row>
    <row r="28" spans="1:7" x14ac:dyDescent="0.35">
      <c r="E28" s="4" t="s">
        <v>158</v>
      </c>
      <c r="F28" s="4" t="s">
        <v>51</v>
      </c>
      <c r="G28" s="4" t="s">
        <v>195</v>
      </c>
    </row>
    <row r="29" spans="1:7" x14ac:dyDescent="0.35">
      <c r="E29" s="4" t="s">
        <v>128</v>
      </c>
      <c r="F29" s="4" t="s">
        <v>148</v>
      </c>
      <c r="G29" s="4" t="s">
        <v>497</v>
      </c>
    </row>
    <row r="30" spans="1:7" x14ac:dyDescent="0.35">
      <c r="E30" s="4" t="s">
        <v>193</v>
      </c>
      <c r="F30" s="4" t="s">
        <v>149</v>
      </c>
      <c r="G30" s="4" t="s">
        <v>504</v>
      </c>
    </row>
    <row r="31" spans="1:7" x14ac:dyDescent="0.35">
      <c r="E31" s="4" t="s">
        <v>198</v>
      </c>
      <c r="F31" s="4" t="s">
        <v>150</v>
      </c>
      <c r="G31" s="4" t="s">
        <v>512</v>
      </c>
    </row>
    <row r="32" spans="1:7" x14ac:dyDescent="0.35">
      <c r="E32" s="4" t="s">
        <v>365</v>
      </c>
      <c r="F32" s="4" t="s">
        <v>151</v>
      </c>
      <c r="G32" s="4" t="s">
        <v>532</v>
      </c>
    </row>
    <row r="33" spans="5:7" x14ac:dyDescent="0.35">
      <c r="E33" s="4" t="s">
        <v>366</v>
      </c>
      <c r="F33" s="4" t="s">
        <v>152</v>
      </c>
      <c r="G33" s="4" t="s">
        <v>541</v>
      </c>
    </row>
    <row r="34" spans="5:7" x14ac:dyDescent="0.35">
      <c r="E34" s="4" t="s">
        <v>557</v>
      </c>
      <c r="F34" s="4" t="s">
        <v>153</v>
      </c>
      <c r="G34" s="4" t="s">
        <v>546</v>
      </c>
    </row>
    <row r="35" spans="5:7" x14ac:dyDescent="0.35">
      <c r="E35" s="4" t="s">
        <v>569</v>
      </c>
      <c r="F35" s="4" t="s">
        <v>155</v>
      </c>
      <c r="G35" s="4" t="s">
        <v>554</v>
      </c>
    </row>
    <row r="36" spans="5:7" x14ac:dyDescent="0.35">
      <c r="E36" s="4" t="s">
        <v>572</v>
      </c>
      <c r="F36" s="4" t="s">
        <v>194</v>
      </c>
      <c r="G36" s="4" t="s">
        <v>570</v>
      </c>
    </row>
    <row r="37" spans="5:7" x14ac:dyDescent="0.35">
      <c r="F37" s="4" t="s">
        <v>327</v>
      </c>
    </row>
    <row r="38" spans="5:7" x14ac:dyDescent="0.35">
      <c r="F38" s="4" t="s">
        <v>328</v>
      </c>
    </row>
    <row r="39" spans="5:7" x14ac:dyDescent="0.35">
      <c r="F39" s="4" t="s">
        <v>329</v>
      </c>
    </row>
    <row r="40" spans="5:7" x14ac:dyDescent="0.35">
      <c r="F40" s="4" t="s">
        <v>330</v>
      </c>
    </row>
    <row r="41" spans="5:7" x14ac:dyDescent="0.35">
      <c r="F41" s="4" t="s">
        <v>105</v>
      </c>
    </row>
    <row r="42" spans="5:7" x14ac:dyDescent="0.35">
      <c r="F42" s="4" t="s">
        <v>399</v>
      </c>
    </row>
    <row r="43" spans="5:7" x14ac:dyDescent="0.35">
      <c r="F43" s="4" t="s">
        <v>400</v>
      </c>
    </row>
    <row r="44" spans="5:7" x14ac:dyDescent="0.35">
      <c r="F44" s="4" t="s">
        <v>490</v>
      </c>
    </row>
    <row r="45" spans="5:7" x14ac:dyDescent="0.35">
      <c r="F45" s="4" t="s">
        <v>495</v>
      </c>
    </row>
    <row r="46" spans="5:7" x14ac:dyDescent="0.35">
      <c r="F46" s="4" t="s">
        <v>496</v>
      </c>
    </row>
    <row r="47" spans="5:7" x14ac:dyDescent="0.35">
      <c r="F47" s="4" t="s">
        <v>521</v>
      </c>
    </row>
    <row r="48" spans="5:7" x14ac:dyDescent="0.35">
      <c r="F48" s="4" t="s">
        <v>542</v>
      </c>
    </row>
    <row r="49" spans="6:6" x14ac:dyDescent="0.35">
      <c r="F49" s="4" t="s">
        <v>553</v>
      </c>
    </row>
    <row r="50" spans="6:6" x14ac:dyDescent="0.35">
      <c r="F50" s="4" t="s">
        <v>557</v>
      </c>
    </row>
    <row r="51" spans="6:6" x14ac:dyDescent="0.35">
      <c r="F51" s="4" t="s">
        <v>562</v>
      </c>
    </row>
    <row r="52" spans="6:6" x14ac:dyDescent="0.35">
      <c r="F52" s="4" t="s">
        <v>568</v>
      </c>
    </row>
  </sheetData>
  <sheetProtection autoFilter="0"/>
  <pageMargins left="0.7" right="0.7" top="0.78740157499999996" bottom="0.78740157499999996"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6</vt:i4>
      </vt:variant>
      <vt:variant>
        <vt:lpstr>Benannte Bereiche</vt:lpstr>
      </vt:variant>
      <vt:variant>
        <vt:i4>1</vt:i4>
      </vt:variant>
    </vt:vector>
  </HeadingPairs>
  <TitlesOfParts>
    <vt:vector size="7" baseType="lpstr">
      <vt:lpstr>Türlisten 15.05.2025</vt:lpstr>
      <vt:lpstr>Türlisten 26.05.2021</vt:lpstr>
      <vt:lpstr>Kalkulation 26.05.2021</vt:lpstr>
      <vt:lpstr>Kalkulation 15.05.2025</vt:lpstr>
      <vt:lpstr>Fehlercode</vt:lpstr>
      <vt:lpstr>ComBoxData</vt:lpstr>
      <vt:lpstr>'Türlisten 15.05.2025'!Druckbereich</vt:lpstr>
    </vt:vector>
  </TitlesOfParts>
  <Company>Hewlett-Packard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Johan Cabarcas</dc:creator>
  <cp:lastModifiedBy>Nils Ole Freitag</cp:lastModifiedBy>
  <cp:lastPrinted>2025-07-23T08:16:57Z</cp:lastPrinted>
  <dcterms:created xsi:type="dcterms:W3CDTF">2018-01-08T11:34:50Z</dcterms:created>
  <dcterms:modified xsi:type="dcterms:W3CDTF">2025-07-23T08:17:01Z</dcterms:modified>
</cp:coreProperties>
</file>