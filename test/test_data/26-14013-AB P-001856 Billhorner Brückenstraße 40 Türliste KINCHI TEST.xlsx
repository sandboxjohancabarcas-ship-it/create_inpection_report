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Cabarcas\WartungTool\create_inpection_report-1\test\test_data\"/>
    </mc:Choice>
  </mc:AlternateContent>
  <xr:revisionPtr revIDLastSave="0" documentId="13_ncr:1_{56E9B3FA-5A9C-4BFC-BD1F-F580F02BEDF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ürlisten 26.01.2026" sheetId="63" r:id="rId1"/>
    <sheet name="Türlisten 27.11.2025" sheetId="61" r:id="rId2"/>
    <sheet name="Türlisten 19.12.2023" sheetId="60" r:id="rId3"/>
    <sheet name="Türlisten 11.07.2023" sheetId="55" r:id="rId4"/>
    <sheet name="Türlisten 07.05.2021" sheetId="58" r:id="rId5"/>
    <sheet name="Kalkulation 07.05.2021" sheetId="59" state="hidden" r:id="rId6"/>
    <sheet name="Türenlisten 2018" sheetId="57" r:id="rId7"/>
    <sheet name="Kalkulation 11.07.2023" sheetId="56" state="hidden" r:id="rId8"/>
    <sheet name="Kalkulation 27.11.2025" sheetId="62" state="hidden" r:id="rId9"/>
    <sheet name="Kalkulation 26.01.2026" sheetId="64" state="hidden" r:id="rId10"/>
    <sheet name="Fehlercode" sheetId="20" state="hidden" r:id="rId11"/>
    <sheet name="ComBoxData" sheetId="29" state="hidden" r:id="rId12"/>
  </sheets>
  <externalReferences>
    <externalReference r:id="rId13"/>
  </externalReferences>
  <definedNames>
    <definedName name="_xlnm._FilterDatabase" localSheetId="10" hidden="1">Fehlercode!$B$1:$C$1</definedName>
    <definedName name="_xlnm._FilterDatabase" localSheetId="6" hidden="1">'Türenlisten 2018'!$A$3:$AT$55</definedName>
    <definedName name="_xlnm._FilterDatabase" localSheetId="4" hidden="1">'Türlisten 07.05.2021'!$A$3:$AM$49</definedName>
    <definedName name="_xlnm._FilterDatabase" localSheetId="3" hidden="1">'Türlisten 11.07.2023'!$A$3:$AR$49</definedName>
    <definedName name="_xlnm._FilterDatabase" localSheetId="2" hidden="1">'Türlisten 19.12.2023'!$A$3:$AR$49</definedName>
    <definedName name="_xlnm._FilterDatabase" localSheetId="0" hidden="1">'Türlisten 26.01.2026'!$A$3:$AJ$50</definedName>
    <definedName name="_xlnm._FilterDatabase" localSheetId="1" hidden="1">'Türlisten 27.11.2025'!$A$3:$AN$49</definedName>
    <definedName name="_xlnm.Print_Area" localSheetId="6">'Türenlisten 2018'!$A$1:$AU$53</definedName>
    <definedName name="_xlnm.Print_Area" localSheetId="4">'Türlisten 07.05.2021'!$A$1:$AM$51</definedName>
    <definedName name="_xlnm.Print_Area" localSheetId="3">'Türlisten 11.07.2023'!$A$1:$AR$50</definedName>
    <definedName name="_xlnm.Print_Area" localSheetId="2">'Türlisten 19.12.2023'!$A$1:$AR$50</definedName>
    <definedName name="_xlnm.Print_Area" localSheetId="0">'Türlisten 26.01.2026'!$A$1:$AJ$50</definedName>
    <definedName name="_xlnm.Print_Area" localSheetId="1">'Türlisten 27.11.2025'!$A$1:$AN$50</definedName>
    <definedName name="_xlnm.Print_Titles" localSheetId="6">'Türenlisten 2018'!$1:$3</definedName>
    <definedName name="_xlnm.Print_Titles" localSheetId="3">'Türlisten 11.07.2023'!$1:$3</definedName>
    <definedName name="_xlnm.Print_Titles" localSheetId="2">'Türlisten 19.12.2023'!$1:$3</definedName>
    <definedName name="_xlnm.Print_Titles" localSheetId="0">'Türlisten 26.01.2026'!$1:$3</definedName>
    <definedName name="_xlnm.Print_Titles" localSheetId="1">'Türlisten 27.11.2025'!$1:$3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86" i="64" l="1"/>
  <c r="T86" i="64" s="1"/>
  <c r="S85" i="64"/>
  <c r="T85" i="64" s="1"/>
  <c r="S84" i="64"/>
  <c r="T84" i="64" s="1"/>
  <c r="S83" i="64"/>
  <c r="T83" i="64" s="1"/>
  <c r="S82" i="64"/>
  <c r="T82" i="64" s="1"/>
  <c r="S81" i="64"/>
  <c r="T81" i="64" s="1"/>
  <c r="S80" i="64"/>
  <c r="T80" i="64" s="1"/>
  <c r="S79" i="64"/>
  <c r="T79" i="64" s="1"/>
  <c r="S78" i="64"/>
  <c r="T78" i="64" s="1"/>
  <c r="S77" i="64"/>
  <c r="T77" i="64" s="1"/>
  <c r="S76" i="64"/>
  <c r="T76" i="64" s="1"/>
  <c r="S75" i="64"/>
  <c r="T75" i="64" s="1"/>
  <c r="S74" i="64"/>
  <c r="T74" i="64" s="1"/>
  <c r="S73" i="64"/>
  <c r="T73" i="64" s="1"/>
  <c r="S72" i="64"/>
  <c r="T72" i="64" s="1"/>
  <c r="S71" i="64"/>
  <c r="T71" i="64" s="1"/>
  <c r="S70" i="64"/>
  <c r="T70" i="64" s="1"/>
  <c r="S69" i="64"/>
  <c r="T69" i="64" s="1"/>
  <c r="S68" i="64"/>
  <c r="T68" i="64" s="1"/>
  <c r="S67" i="64"/>
  <c r="T67" i="64" s="1"/>
  <c r="S66" i="64"/>
  <c r="T66" i="64" s="1"/>
  <c r="S65" i="64"/>
  <c r="T65" i="64" s="1"/>
  <c r="S64" i="64"/>
  <c r="T64" i="64" s="1"/>
  <c r="S63" i="64"/>
  <c r="T63" i="64" s="1"/>
  <c r="S62" i="64"/>
  <c r="T62" i="64" s="1"/>
  <c r="S61" i="64"/>
  <c r="T61" i="64" s="1"/>
  <c r="S60" i="64"/>
  <c r="T60" i="64" s="1"/>
  <c r="S59" i="64"/>
  <c r="T59" i="64" s="1"/>
  <c r="S58" i="64"/>
  <c r="T58" i="64" s="1"/>
  <c r="S57" i="64"/>
  <c r="T57" i="64" s="1"/>
  <c r="S56" i="64"/>
  <c r="T56" i="64" s="1"/>
  <c r="S55" i="64"/>
  <c r="T55" i="64" s="1"/>
  <c r="S54" i="64"/>
  <c r="T54" i="64" s="1"/>
  <c r="S53" i="64"/>
  <c r="T53" i="64" s="1"/>
  <c r="S52" i="64"/>
  <c r="T52" i="64" s="1"/>
  <c r="S51" i="64"/>
  <c r="T51" i="64" s="1"/>
  <c r="S50" i="64"/>
  <c r="T50" i="64" s="1"/>
  <c r="S49" i="64"/>
  <c r="T49" i="64" s="1"/>
  <c r="S48" i="64"/>
  <c r="T48" i="64" s="1"/>
  <c r="S47" i="64"/>
  <c r="T47" i="64" s="1"/>
  <c r="S46" i="64"/>
  <c r="T46" i="64" s="1"/>
  <c r="S45" i="64"/>
  <c r="T45" i="64" s="1"/>
  <c r="S44" i="64"/>
  <c r="T44" i="64" s="1"/>
  <c r="S43" i="64"/>
  <c r="T43" i="64" s="1"/>
  <c r="S42" i="64"/>
  <c r="T42" i="64" s="1"/>
  <c r="S41" i="64"/>
  <c r="T41" i="64" s="1"/>
  <c r="S40" i="64"/>
  <c r="T40" i="64" s="1"/>
  <c r="S39" i="64"/>
  <c r="T39" i="64" s="1"/>
  <c r="S38" i="64"/>
  <c r="T38" i="64" s="1"/>
  <c r="S37" i="64"/>
  <c r="T37" i="64" s="1"/>
  <c r="S36" i="64"/>
  <c r="T36" i="64" s="1"/>
  <c r="S35" i="64"/>
  <c r="T35" i="64" s="1"/>
  <c r="S34" i="64"/>
  <c r="T34" i="64" s="1"/>
  <c r="S33" i="64"/>
  <c r="T33" i="64" s="1"/>
  <c r="S32" i="64"/>
  <c r="T32" i="64" s="1"/>
  <c r="S31" i="64"/>
  <c r="T31" i="64" s="1"/>
  <c r="S30" i="64"/>
  <c r="T30" i="64" s="1"/>
  <c r="S29" i="64"/>
  <c r="T29" i="64" s="1"/>
  <c r="S28" i="64"/>
  <c r="T28" i="64" s="1"/>
  <c r="S27" i="64"/>
  <c r="T27" i="64" s="1"/>
  <c r="S26" i="64"/>
  <c r="T26" i="64" s="1"/>
  <c r="S25" i="64"/>
  <c r="T25" i="64" s="1"/>
  <c r="S24" i="64"/>
  <c r="T24" i="64" s="1"/>
  <c r="S23" i="64"/>
  <c r="T23" i="64" s="1"/>
  <c r="S22" i="64"/>
  <c r="T22" i="64" s="1"/>
  <c r="S21" i="64"/>
  <c r="T21" i="64" s="1"/>
  <c r="S20" i="64"/>
  <c r="T20" i="64" s="1"/>
  <c r="S19" i="64"/>
  <c r="T19" i="64" s="1"/>
  <c r="S18" i="64"/>
  <c r="T18" i="64" s="1"/>
  <c r="S17" i="64"/>
  <c r="T17" i="64" s="1"/>
  <c r="S16" i="64"/>
  <c r="T16" i="64" s="1"/>
  <c r="S15" i="64"/>
  <c r="T15" i="64" s="1"/>
  <c r="S13" i="64"/>
  <c r="T13" i="64" s="1"/>
  <c r="S12" i="64"/>
  <c r="T12" i="64" s="1"/>
  <c r="S11" i="64"/>
  <c r="T11" i="64" s="1"/>
  <c r="S10" i="64"/>
  <c r="T10" i="64" s="1"/>
  <c r="S9" i="64"/>
  <c r="T9" i="64" s="1"/>
  <c r="S8" i="64"/>
  <c r="T8" i="64" s="1"/>
  <c r="S7" i="64"/>
  <c r="T7" i="64" s="1"/>
  <c r="S6" i="64"/>
  <c r="T6" i="64" s="1"/>
  <c r="S5" i="64"/>
  <c r="T5" i="64" s="1"/>
  <c r="S4" i="64"/>
  <c r="T4" i="64" s="1"/>
  <c r="S86" i="62"/>
  <c r="T86" i="62" s="1"/>
  <c r="S85" i="62"/>
  <c r="T85" i="62" s="1"/>
  <c r="S84" i="62"/>
  <c r="T84" i="62" s="1"/>
  <c r="S83" i="62"/>
  <c r="T83" i="62" s="1"/>
  <c r="S82" i="62"/>
  <c r="T82" i="62" s="1"/>
  <c r="S81" i="62"/>
  <c r="T81" i="62" s="1"/>
  <c r="S80" i="62"/>
  <c r="T80" i="62" s="1"/>
  <c r="S79" i="62"/>
  <c r="T79" i="62" s="1"/>
  <c r="S78" i="62"/>
  <c r="T78" i="62" s="1"/>
  <c r="S77" i="62"/>
  <c r="T77" i="62" s="1"/>
  <c r="S76" i="62"/>
  <c r="T76" i="62" s="1"/>
  <c r="S75" i="62"/>
  <c r="T75" i="62" s="1"/>
  <c r="S74" i="62"/>
  <c r="T74" i="62" s="1"/>
  <c r="S73" i="62"/>
  <c r="T73" i="62" s="1"/>
  <c r="S72" i="62"/>
  <c r="T72" i="62" s="1"/>
  <c r="S71" i="62"/>
  <c r="T71" i="62" s="1"/>
  <c r="S70" i="62"/>
  <c r="T70" i="62" s="1"/>
  <c r="S69" i="62"/>
  <c r="T69" i="62" s="1"/>
  <c r="S68" i="62"/>
  <c r="T68" i="62" s="1"/>
  <c r="S67" i="62"/>
  <c r="T67" i="62" s="1"/>
  <c r="S66" i="62"/>
  <c r="T66" i="62" s="1"/>
  <c r="S65" i="62"/>
  <c r="T65" i="62" s="1"/>
  <c r="S64" i="62"/>
  <c r="T64" i="62" s="1"/>
  <c r="S63" i="62"/>
  <c r="T63" i="62" s="1"/>
  <c r="S62" i="62"/>
  <c r="T62" i="62" s="1"/>
  <c r="S61" i="62"/>
  <c r="T61" i="62" s="1"/>
  <c r="S60" i="62"/>
  <c r="T60" i="62" s="1"/>
  <c r="S59" i="62"/>
  <c r="T59" i="62" s="1"/>
  <c r="S58" i="62"/>
  <c r="T58" i="62" s="1"/>
  <c r="S57" i="62"/>
  <c r="T57" i="62" s="1"/>
  <c r="S56" i="62"/>
  <c r="T56" i="62" s="1"/>
  <c r="S55" i="62"/>
  <c r="T55" i="62" s="1"/>
  <c r="S54" i="62"/>
  <c r="T54" i="62" s="1"/>
  <c r="S53" i="62"/>
  <c r="T53" i="62" s="1"/>
  <c r="S52" i="62"/>
  <c r="T52" i="62" s="1"/>
  <c r="S51" i="62"/>
  <c r="T51" i="62" s="1"/>
  <c r="S50" i="62"/>
  <c r="T50" i="62" s="1"/>
  <c r="S49" i="62"/>
  <c r="T49" i="62" s="1"/>
  <c r="S48" i="62"/>
  <c r="T48" i="62" s="1"/>
  <c r="S47" i="62"/>
  <c r="T47" i="62" s="1"/>
  <c r="S46" i="62"/>
  <c r="T46" i="62" s="1"/>
  <c r="S45" i="62"/>
  <c r="T45" i="62" s="1"/>
  <c r="S44" i="62"/>
  <c r="T44" i="62" s="1"/>
  <c r="S43" i="62"/>
  <c r="T43" i="62" s="1"/>
  <c r="S42" i="62"/>
  <c r="T42" i="62" s="1"/>
  <c r="S41" i="62"/>
  <c r="T41" i="62" s="1"/>
  <c r="S40" i="62"/>
  <c r="T40" i="62" s="1"/>
  <c r="S39" i="62"/>
  <c r="T39" i="62" s="1"/>
  <c r="S38" i="62"/>
  <c r="T38" i="62" s="1"/>
  <c r="S37" i="62"/>
  <c r="T37" i="62" s="1"/>
  <c r="S36" i="62"/>
  <c r="T36" i="62" s="1"/>
  <c r="S35" i="62"/>
  <c r="T35" i="62" s="1"/>
  <c r="S34" i="62"/>
  <c r="T34" i="62" s="1"/>
  <c r="S33" i="62"/>
  <c r="T33" i="62" s="1"/>
  <c r="S32" i="62"/>
  <c r="T32" i="62" s="1"/>
  <c r="S31" i="62"/>
  <c r="T31" i="62" s="1"/>
  <c r="S30" i="62"/>
  <c r="T30" i="62" s="1"/>
  <c r="S29" i="62"/>
  <c r="T29" i="62" s="1"/>
  <c r="S28" i="62"/>
  <c r="T28" i="62" s="1"/>
  <c r="S27" i="62"/>
  <c r="T27" i="62" s="1"/>
  <c r="S26" i="62"/>
  <c r="T26" i="62" s="1"/>
  <c r="S25" i="62"/>
  <c r="T25" i="62" s="1"/>
  <c r="S24" i="62"/>
  <c r="T24" i="62" s="1"/>
  <c r="S23" i="62"/>
  <c r="T23" i="62" s="1"/>
  <c r="S22" i="62"/>
  <c r="T22" i="62" s="1"/>
  <c r="S21" i="62"/>
  <c r="T21" i="62" s="1"/>
  <c r="S20" i="62"/>
  <c r="T20" i="62" s="1"/>
  <c r="S19" i="62"/>
  <c r="T19" i="62" s="1"/>
  <c r="S18" i="62"/>
  <c r="T18" i="62" s="1"/>
  <c r="S17" i="62"/>
  <c r="T17" i="62" s="1"/>
  <c r="S16" i="62"/>
  <c r="T16" i="62" s="1"/>
  <c r="S15" i="62"/>
  <c r="T15" i="62" s="1"/>
  <c r="S13" i="62"/>
  <c r="T13" i="62" s="1"/>
  <c r="S12" i="62"/>
  <c r="T12" i="62" s="1"/>
  <c r="S11" i="62"/>
  <c r="T11" i="62" s="1"/>
  <c r="S10" i="62"/>
  <c r="T10" i="62" s="1"/>
  <c r="S9" i="62"/>
  <c r="T9" i="62" s="1"/>
  <c r="S8" i="62"/>
  <c r="T8" i="62" s="1"/>
  <c r="S7" i="62"/>
  <c r="T7" i="62" s="1"/>
  <c r="S6" i="62"/>
  <c r="T6" i="62" s="1"/>
  <c r="S5" i="62"/>
  <c r="T5" i="62" s="1"/>
  <c r="S4" i="62"/>
  <c r="T4" i="62" s="1"/>
  <c r="AC49" i="61"/>
  <c r="AI49" i="61"/>
  <c r="AI50" i="63"/>
  <c r="AK49" i="61"/>
  <c r="AD49" i="61"/>
  <c r="AF50" i="63"/>
  <c r="AE49" i="61"/>
  <c r="AH49" i="61"/>
  <c r="AE50" i="63"/>
  <c r="AJ49" i="61"/>
  <c r="AG49" i="61"/>
  <c r="AB50" i="63"/>
  <c r="AF49" i="61"/>
  <c r="AL49" i="61"/>
  <c r="AG50" i="63"/>
  <c r="AC50" i="63"/>
  <c r="AD50" i="63"/>
  <c r="AH50" i="63"/>
  <c r="AM49" i="61"/>
  <c r="T289" i="64" l="1"/>
  <c r="T289" i="62"/>
  <c r="S4" i="59"/>
  <c r="T4" i="59"/>
  <c r="S5" i="59"/>
  <c r="T5" i="59"/>
  <c r="S6" i="59"/>
  <c r="T6" i="59"/>
  <c r="T230" i="59" s="1"/>
  <c r="S7" i="59"/>
  <c r="T7" i="59"/>
  <c r="S8" i="59"/>
  <c r="T8" i="59"/>
  <c r="S9" i="59"/>
  <c r="T9" i="59"/>
  <c r="S10" i="59"/>
  <c r="T10" i="59"/>
  <c r="S11" i="59"/>
  <c r="T11" i="59"/>
  <c r="S12" i="59"/>
  <c r="T12" i="59"/>
  <c r="S13" i="59"/>
  <c r="T13" i="59"/>
  <c r="S15" i="59"/>
  <c r="T15" i="59"/>
  <c r="S16" i="59"/>
  <c r="T16" i="59"/>
  <c r="S17" i="59"/>
  <c r="T17" i="59"/>
  <c r="S18" i="59"/>
  <c r="T18" i="59"/>
  <c r="S19" i="59"/>
  <c r="T19" i="59"/>
  <c r="S20" i="59"/>
  <c r="T20" i="59"/>
  <c r="S21" i="59"/>
  <c r="T21" i="59"/>
  <c r="S22" i="59"/>
  <c r="T22" i="59"/>
  <c r="S23" i="59"/>
  <c r="T23" i="59"/>
  <c r="S24" i="59"/>
  <c r="T24" i="59"/>
  <c r="S25" i="59"/>
  <c r="T25" i="59"/>
  <c r="S26" i="59"/>
  <c r="T26" i="59"/>
  <c r="S27" i="59"/>
  <c r="T27" i="59"/>
  <c r="S28" i="59"/>
  <c r="T28" i="59"/>
  <c r="S29" i="59"/>
  <c r="T29" i="59"/>
  <c r="S30" i="59"/>
  <c r="T30" i="59"/>
  <c r="S31" i="59"/>
  <c r="T31" i="59"/>
  <c r="S32" i="59"/>
  <c r="T32" i="59"/>
  <c r="S33" i="59"/>
  <c r="T33" i="59"/>
  <c r="S34" i="59"/>
  <c r="T34" i="59"/>
  <c r="S35" i="59"/>
  <c r="T35" i="59"/>
  <c r="S36" i="59"/>
  <c r="T36" i="59"/>
  <c r="S37" i="59"/>
  <c r="T37" i="59"/>
  <c r="S38" i="59"/>
  <c r="T38" i="59"/>
  <c r="S39" i="59"/>
  <c r="T39" i="59"/>
  <c r="S40" i="59"/>
  <c r="T40" i="59"/>
  <c r="S41" i="59"/>
  <c r="T41" i="59"/>
  <c r="S42" i="59"/>
  <c r="T42" i="59"/>
  <c r="S43" i="59"/>
  <c r="T43" i="59"/>
  <c r="S44" i="59"/>
  <c r="T44" i="59"/>
  <c r="S45" i="59"/>
  <c r="T45" i="59"/>
  <c r="S46" i="59"/>
  <c r="T46" i="59"/>
  <c r="S47" i="59"/>
  <c r="T47" i="59"/>
  <c r="S48" i="59"/>
  <c r="T48" i="59"/>
  <c r="S49" i="59"/>
  <c r="T49" i="59"/>
  <c r="S50" i="59"/>
  <c r="T50" i="59"/>
  <c r="S51" i="59"/>
  <c r="T51" i="59"/>
  <c r="S52" i="59"/>
  <c r="T52" i="59"/>
  <c r="S53" i="59"/>
  <c r="T53" i="59"/>
  <c r="S54" i="59"/>
  <c r="T54" i="59"/>
  <c r="S55" i="59"/>
  <c r="T55" i="59"/>
  <c r="S56" i="59"/>
  <c r="T56" i="59"/>
  <c r="S57" i="59"/>
  <c r="T57" i="59"/>
  <c r="S58" i="59"/>
  <c r="T58" i="59"/>
  <c r="S59" i="59"/>
  <c r="T59" i="59"/>
  <c r="S60" i="59"/>
  <c r="T60" i="59"/>
  <c r="S61" i="59"/>
  <c r="T61" i="59"/>
  <c r="S62" i="59"/>
  <c r="T62" i="59"/>
  <c r="S63" i="59"/>
  <c r="T63" i="59"/>
  <c r="S64" i="59"/>
  <c r="T64" i="59"/>
  <c r="S65" i="59"/>
  <c r="T65" i="59"/>
  <c r="S66" i="59"/>
  <c r="T66" i="59"/>
  <c r="S67" i="59"/>
  <c r="T67" i="59"/>
  <c r="S68" i="59"/>
  <c r="T68" i="59"/>
  <c r="S69" i="59"/>
  <c r="T69" i="59"/>
  <c r="S70" i="59"/>
  <c r="T70" i="59"/>
  <c r="S71" i="59"/>
  <c r="T71" i="59"/>
  <c r="S72" i="59"/>
  <c r="T72" i="59"/>
  <c r="S73" i="59"/>
  <c r="T73" i="59"/>
  <c r="S74" i="59"/>
  <c r="T74" i="59"/>
  <c r="S75" i="59"/>
  <c r="T75" i="59"/>
  <c r="S76" i="59"/>
  <c r="T76" i="59"/>
  <c r="S77" i="59"/>
  <c r="T77" i="59"/>
  <c r="S78" i="59"/>
  <c r="T78" i="59"/>
  <c r="S79" i="59"/>
  <c r="T79" i="59"/>
  <c r="S80" i="59"/>
  <c r="T80" i="59"/>
  <c r="S81" i="59"/>
  <c r="T81" i="59"/>
  <c r="S82" i="59"/>
  <c r="T82" i="59"/>
  <c r="S83" i="59"/>
  <c r="T83" i="59"/>
  <c r="S84" i="59"/>
  <c r="T84" i="59"/>
  <c r="S85" i="59"/>
  <c r="T85" i="59"/>
  <c r="S86" i="59"/>
  <c r="T86" i="59"/>
  <c r="AA3" i="57"/>
  <c r="AB3" i="57"/>
  <c r="AC3" i="57"/>
  <c r="AD3" i="57"/>
  <c r="AE3" i="57"/>
  <c r="AF3" i="57"/>
  <c r="AG3" i="57"/>
  <c r="AH3" i="57"/>
  <c r="AI3" i="57"/>
  <c r="AJ3" i="57"/>
  <c r="AK3" i="57"/>
  <c r="AL3" i="57"/>
  <c r="AM3" i="57"/>
  <c r="AN3" i="57"/>
  <c r="AO3" i="57"/>
  <c r="AP3" i="57"/>
  <c r="AQ3" i="57"/>
  <c r="AR3" i="57"/>
  <c r="AS3" i="57"/>
  <c r="AT3" i="57"/>
  <c r="AA55" i="57"/>
  <c r="AB55" i="57"/>
  <c r="AC55" i="57"/>
  <c r="AD55" i="57"/>
  <c r="AE55" i="57"/>
  <c r="AF55" i="57"/>
  <c r="AG55" i="57"/>
  <c r="AH55" i="57"/>
  <c r="AI55" i="57"/>
  <c r="AJ55" i="57"/>
  <c r="AK55" i="57"/>
  <c r="AL55" i="57"/>
  <c r="AM55" i="57"/>
  <c r="AN55" i="57"/>
  <c r="AO55" i="57"/>
  <c r="AP55" i="57"/>
  <c r="AQ55" i="57"/>
  <c r="AR55" i="57"/>
  <c r="AS55" i="57"/>
  <c r="AT55" i="57"/>
  <c r="S5" i="56"/>
  <c r="T5" i="56" s="1"/>
  <c r="S4" i="56"/>
  <c r="T4" i="56" s="1"/>
  <c r="AH49" i="58"/>
  <c r="AF49" i="55"/>
  <c r="AK49" i="58"/>
  <c r="AQ49" i="55"/>
  <c r="AJ49" i="55"/>
  <c r="AH49" i="60"/>
  <c r="AB49" i="60"/>
  <c r="AJ49" i="58"/>
  <c r="AE49" i="58"/>
  <c r="AD49" i="55"/>
  <c r="AJ49" i="60"/>
  <c r="AI49" i="55"/>
  <c r="AQ49" i="60"/>
  <c r="AM49" i="60"/>
  <c r="AL49" i="58"/>
  <c r="AL49" i="60"/>
  <c r="AB49" i="58"/>
  <c r="AN49" i="60"/>
  <c r="AM49" i="55"/>
  <c r="AG49" i="60"/>
  <c r="AD49" i="58"/>
  <c r="AF49" i="60"/>
  <c r="AB49" i="55"/>
  <c r="AN49" i="55"/>
  <c r="AK49" i="60"/>
  <c r="AC49" i="60"/>
  <c r="AP49" i="60"/>
  <c r="AF49" i="58"/>
  <c r="AK49" i="55"/>
  <c r="AE49" i="55"/>
  <c r="AG49" i="58"/>
  <c r="AL49" i="55"/>
  <c r="AE49" i="60"/>
  <c r="AI49" i="60"/>
  <c r="AO49" i="55"/>
  <c r="AD49" i="60"/>
  <c r="AG49" i="55"/>
  <c r="AC49" i="55"/>
  <c r="AB49" i="61"/>
  <c r="AC49" i="58"/>
  <c r="AH49" i="55"/>
  <c r="AO49" i="60"/>
  <c r="AI49" i="58"/>
  <c r="AP49" i="55"/>
  <c r="S8" i="56" l="1"/>
  <c r="T8" i="56" s="1"/>
  <c r="S23" i="56"/>
  <c r="T23" i="56" s="1"/>
  <c r="S36" i="56"/>
  <c r="T36" i="56" s="1"/>
  <c r="S7" i="56"/>
  <c r="T7" i="56" s="1"/>
  <c r="S18" i="56"/>
  <c r="T18" i="56" s="1"/>
  <c r="S30" i="56"/>
  <c r="T30" i="56" s="1"/>
  <c r="S6" i="56"/>
  <c r="T6" i="56" s="1"/>
  <c r="S47" i="56"/>
  <c r="T47" i="56" s="1"/>
  <c r="S51" i="56"/>
  <c r="T51" i="56" s="1"/>
  <c r="S55" i="56"/>
  <c r="T55" i="56" s="1"/>
  <c r="S63" i="56"/>
  <c r="T63" i="56" s="1"/>
  <c r="S71" i="56"/>
  <c r="T71" i="56" s="1"/>
  <c r="S79" i="56"/>
  <c r="T79" i="56" s="1"/>
  <c r="S19" i="56" l="1"/>
  <c r="T19" i="56" s="1"/>
  <c r="S34" i="56"/>
  <c r="T34" i="56" s="1"/>
  <c r="S39" i="56"/>
  <c r="T39" i="56" s="1"/>
  <c r="S41" i="56"/>
  <c r="T41" i="56" s="1"/>
  <c r="S37" i="56"/>
  <c r="T37" i="56" s="1"/>
  <c r="S81" i="56"/>
  <c r="T81" i="56" s="1"/>
  <c r="S73" i="56"/>
  <c r="T73" i="56" s="1"/>
  <c r="S65" i="56"/>
  <c r="T65" i="56" s="1"/>
  <c r="S57" i="56"/>
  <c r="T57" i="56" s="1"/>
  <c r="S49" i="56"/>
  <c r="T49" i="56" s="1"/>
  <c r="S11" i="56"/>
  <c r="T11" i="56" s="1"/>
  <c r="S13" i="56"/>
  <c r="T13" i="56" s="1"/>
  <c r="S24" i="56"/>
  <c r="T24" i="56" s="1"/>
  <c r="S33" i="56"/>
  <c r="T33" i="56" s="1"/>
  <c r="S28" i="56"/>
  <c r="T28" i="56" s="1"/>
  <c r="S83" i="56"/>
  <c r="T83" i="56" s="1"/>
  <c r="S75" i="56"/>
  <c r="T75" i="56" s="1"/>
  <c r="S67" i="56"/>
  <c r="T67" i="56" s="1"/>
  <c r="S43" i="56"/>
  <c r="T43" i="56" s="1"/>
  <c r="S29" i="56"/>
  <c r="T29" i="56" s="1"/>
  <c r="S9" i="56"/>
  <c r="T9" i="56" s="1"/>
  <c r="S22" i="56"/>
  <c r="T22" i="56" s="1"/>
  <c r="S31" i="56"/>
  <c r="T31" i="56" s="1"/>
  <c r="S15" i="56"/>
  <c r="T15" i="56" s="1"/>
  <c r="S17" i="56"/>
  <c r="T17" i="56" s="1"/>
  <c r="S21" i="56"/>
  <c r="T21" i="56" s="1"/>
  <c r="S85" i="56"/>
  <c r="T85" i="56" s="1"/>
  <c r="S77" i="56"/>
  <c r="T77" i="56" s="1"/>
  <c r="S69" i="56"/>
  <c r="T69" i="56" s="1"/>
  <c r="S61" i="56"/>
  <c r="T61" i="56" s="1"/>
  <c r="S53" i="56"/>
  <c r="T53" i="56" s="1"/>
  <c r="S45" i="56"/>
  <c r="T45" i="56" s="1"/>
  <c r="S32" i="56"/>
  <c r="T32" i="56" s="1"/>
  <c r="S72" i="56"/>
  <c r="T72" i="56" s="1"/>
  <c r="S80" i="56"/>
  <c r="T80" i="56" s="1"/>
  <c r="S35" i="56"/>
  <c r="T35" i="56" s="1"/>
  <c r="S40" i="56"/>
  <c r="T40" i="56" s="1"/>
  <c r="S48" i="56"/>
  <c r="T48" i="56" s="1"/>
  <c r="S59" i="56"/>
  <c r="T59" i="56" s="1"/>
  <c r="S60" i="56"/>
  <c r="T60" i="56" s="1"/>
  <c r="S20" i="56"/>
  <c r="T20" i="56" s="1"/>
  <c r="S26" i="56"/>
  <c r="T26" i="56" s="1"/>
  <c r="S54" i="56"/>
  <c r="T54" i="56" s="1"/>
  <c r="S68" i="56"/>
  <c r="T68" i="56" s="1"/>
  <c r="S62" i="56"/>
  <c r="T62" i="56" s="1"/>
  <c r="S42" i="56"/>
  <c r="T42" i="56" s="1"/>
  <c r="S74" i="56"/>
  <c r="T74" i="56" s="1"/>
  <c r="S10" i="56"/>
  <c r="T10" i="56" s="1"/>
  <c r="S25" i="56"/>
  <c r="T25" i="56" s="1"/>
  <c r="S70" i="56"/>
  <c r="T70" i="56" s="1"/>
  <c r="S52" i="56"/>
  <c r="T52" i="56" s="1"/>
  <c r="S78" i="56"/>
  <c r="T78" i="56" s="1"/>
  <c r="S46" i="56"/>
  <c r="T46" i="56" s="1"/>
  <c r="S38" i="56"/>
  <c r="T38" i="56" s="1"/>
  <c r="S58" i="56"/>
  <c r="T58" i="56" s="1"/>
  <c r="S66" i="56"/>
  <c r="T66" i="56" s="1"/>
  <c r="S84" i="56"/>
  <c r="T84" i="56" s="1"/>
  <c r="S86" i="56"/>
  <c r="T86" i="56" s="1"/>
  <c r="S12" i="56"/>
  <c r="T12" i="56" s="1"/>
  <c r="S27" i="56"/>
  <c r="T27" i="56" s="1"/>
  <c r="S56" i="56"/>
  <c r="T56" i="56" s="1"/>
  <c r="S82" i="56"/>
  <c r="T82" i="56" s="1"/>
  <c r="S16" i="56"/>
  <c r="T16" i="56" s="1"/>
  <c r="S64" i="56"/>
  <c r="T64" i="56" s="1"/>
  <c r="S44" i="56"/>
  <c r="T44" i="56" s="1"/>
  <c r="S76" i="56"/>
  <c r="T76" i="56" s="1"/>
  <c r="S50" i="56"/>
  <c r="T50" i="56" s="1"/>
  <c r="T288" i="56" l="1"/>
</calcChain>
</file>

<file path=xl/sharedStrings.xml><?xml version="1.0" encoding="utf-8"?>
<sst xmlns="http://schemas.openxmlformats.org/spreadsheetml/2006/main" count="6617" uniqueCount="770">
  <si>
    <t xml:space="preserve">Summe für Mängelbeseitigung  </t>
  </si>
  <si>
    <t>Tür einschl. Komponenten in ordendlicher Funktion</t>
  </si>
  <si>
    <t>Vollpanik (Standflügel)</t>
  </si>
  <si>
    <t>Fluchtrichtung eingehalten</t>
  </si>
  <si>
    <t>Panikfunktion B / E / usw.</t>
  </si>
  <si>
    <t>Garnitur D / D - K / D</t>
  </si>
  <si>
    <t>PZ-Zylinder</t>
  </si>
  <si>
    <t>Blindzylinder</t>
  </si>
  <si>
    <t>Fluchwegbeschilderung vorhanden?</t>
  </si>
  <si>
    <t>Fluchtwegsituation</t>
  </si>
  <si>
    <t>Zutrittskontrolle</t>
  </si>
  <si>
    <t>Fluchtürsteuerung 
Türwächter</t>
  </si>
  <si>
    <t>Sturzhöhe unter 1 Meter</t>
  </si>
  <si>
    <t>Türschließer auf Bandgegenseite</t>
  </si>
  <si>
    <t>Türschließer auf Bandseite</t>
  </si>
  <si>
    <t>DIN L/R
Standflügel/Gangflügel
Standflügelverriegelung</t>
  </si>
  <si>
    <t>Türhersteller 
Türsystem
Profilsystem</t>
  </si>
  <si>
    <t>Flügelanzahl</t>
  </si>
  <si>
    <t>Raumbezeichnung</t>
  </si>
  <si>
    <t>Raum Nr.</t>
  </si>
  <si>
    <t>Etage</t>
  </si>
  <si>
    <t>Tür Nr.</t>
  </si>
  <si>
    <t>Pos.</t>
  </si>
  <si>
    <t>okay</t>
  </si>
  <si>
    <t>Kontrolle Panikfunktion</t>
  </si>
  <si>
    <t>Zubehörbeschreibung</t>
  </si>
  <si>
    <t>Türbeschreibung</t>
  </si>
  <si>
    <t>Türtyp (T30/RS/T90/Panik P/Einbruchschutz WK/usw.)</t>
  </si>
  <si>
    <t xml:space="preserve">Türschließer
Automatikantrieb
Do = Dorma, Ge = Geze
 </t>
  </si>
  <si>
    <t>GSR = Gleitschienen Schließfolgeregelung 
EMF = elektromech. Feststellung 
EMR = elektromech. Feststellung mit Rauchmeldezentrale</t>
  </si>
  <si>
    <t>Legende für Mängelbeseitigung</t>
  </si>
  <si>
    <t>Türtyp</t>
  </si>
  <si>
    <t>Türmaterial / Türart</t>
  </si>
  <si>
    <t>Türhersteller / Türsystem / Profilsystem</t>
  </si>
  <si>
    <t>DIN L/R StandFlügel / GangFlügel / Standflügelverriegelung</t>
  </si>
  <si>
    <t>Türschließer</t>
  </si>
  <si>
    <t>GSR / EMF / EMR</t>
  </si>
  <si>
    <t>Fluchtürsteuerung / Türwächter</t>
  </si>
  <si>
    <t>Stahlrohrrahmen</t>
  </si>
  <si>
    <t>Holzblatt</t>
  </si>
  <si>
    <t>DORMA</t>
  </si>
  <si>
    <t>Anmerkung</t>
  </si>
  <si>
    <t>Schloßmaße</t>
  </si>
  <si>
    <t>Forster Fuego</t>
  </si>
  <si>
    <t>DIN L auswärts</t>
  </si>
  <si>
    <t>Garnitur</t>
  </si>
  <si>
    <t>PanikFunktion</t>
  </si>
  <si>
    <t>D</t>
  </si>
  <si>
    <t>B</t>
  </si>
  <si>
    <t>E</t>
  </si>
  <si>
    <t>Stück</t>
  </si>
  <si>
    <t>Beschreibung</t>
  </si>
  <si>
    <t>Material
Einkauf</t>
  </si>
  <si>
    <t>Zubehör
Einkauf</t>
  </si>
  <si>
    <t>Einkauf
gesamt</t>
  </si>
  <si>
    <t>Zuschlag
35%</t>
  </si>
  <si>
    <t>Material
Verkauf</t>
  </si>
  <si>
    <t>Lohn
Aufmass+AV</t>
  </si>
  <si>
    <t>Wegezeit</t>
  </si>
  <si>
    <t>Montage</t>
  </si>
  <si>
    <t>Prüfung Abnahme</t>
  </si>
  <si>
    <t>Stückpreis</t>
  </si>
  <si>
    <t>Gesamt</t>
  </si>
  <si>
    <t>Gesamtpreis Netto</t>
  </si>
  <si>
    <t>Summe EUR</t>
  </si>
  <si>
    <t>Schüco</t>
  </si>
  <si>
    <t>?</t>
  </si>
  <si>
    <t>Nein</t>
  </si>
  <si>
    <t>Stahlblech</t>
  </si>
  <si>
    <t>Holz/Glas</t>
  </si>
  <si>
    <t>Stahlblech/Glas</t>
  </si>
  <si>
    <t>Kunststoff</t>
  </si>
  <si>
    <t>Schüco Jansen</t>
  </si>
  <si>
    <t>MBB</t>
  </si>
  <si>
    <t>Novoferm</t>
  </si>
  <si>
    <t>Hörmann</t>
  </si>
  <si>
    <t>Teckentrup</t>
  </si>
  <si>
    <t>DIN R auswärts</t>
  </si>
  <si>
    <t>DIN L einwärts</t>
  </si>
  <si>
    <t>DIN R einwärts</t>
  </si>
  <si>
    <t>DIN L auswärts Standflg. Ver.</t>
  </si>
  <si>
    <t>DIN R auswärts Standflg. Ver.</t>
  </si>
  <si>
    <t>DIN L einwärts Gangflg. Ver.</t>
  </si>
  <si>
    <t>DIN R einwärts Gangflg. Ver.</t>
  </si>
  <si>
    <t>EMF</t>
  </si>
  <si>
    <t>EMR</t>
  </si>
  <si>
    <t>GSR/BG</t>
  </si>
  <si>
    <t>GSR-RF1</t>
  </si>
  <si>
    <t>G-N</t>
  </si>
  <si>
    <t>G-EMF</t>
  </si>
  <si>
    <t>G-EMR</t>
  </si>
  <si>
    <t>D-D</t>
  </si>
  <si>
    <t>D-K</t>
  </si>
  <si>
    <t>Blind</t>
  </si>
  <si>
    <t>GFS Einhand</t>
  </si>
  <si>
    <t>GFS schwenk</t>
  </si>
  <si>
    <t>U&amp;Z</t>
  </si>
  <si>
    <t>SVP2000</t>
  </si>
  <si>
    <t>M-SVP2200</t>
  </si>
  <si>
    <t>M-SVP2000</t>
  </si>
  <si>
    <t>Forster Presto</t>
  </si>
  <si>
    <t>Schüco ADS 80</t>
  </si>
  <si>
    <t>effeff</t>
  </si>
  <si>
    <t>GEZE</t>
  </si>
  <si>
    <t>SVP5000</t>
  </si>
  <si>
    <t>SVP6000</t>
  </si>
  <si>
    <t>GSR-EMF 2/BG</t>
  </si>
  <si>
    <t>GSR-EMR 2/BG</t>
  </si>
  <si>
    <t>GSR-EMR 1G</t>
  </si>
  <si>
    <t>GSR-EMR 2</t>
  </si>
  <si>
    <t>GSR-EMR 1</t>
  </si>
  <si>
    <t>GSR-EMF 1G</t>
  </si>
  <si>
    <t>GSR-EMF 2</t>
  </si>
  <si>
    <t>GSR-EMF 1</t>
  </si>
  <si>
    <t>GSR-RF 1</t>
  </si>
  <si>
    <t>EMR DCW</t>
  </si>
  <si>
    <t>GSR-EMR 2/DCW</t>
  </si>
  <si>
    <t>GSR-EMR 2/DCW/B</t>
  </si>
  <si>
    <t>Normalgestänge</t>
  </si>
  <si>
    <t>Flachformgestänge</t>
  </si>
  <si>
    <t>DIN R</t>
  </si>
  <si>
    <t>DIN L</t>
  </si>
  <si>
    <t>Alurohrrahmen</t>
  </si>
  <si>
    <t>Türmaterial / Türart (Alurohrrahmen RRAL / Stahlrohrrahmen RRST / Holzblatt H / Stahlblech ST)</t>
  </si>
  <si>
    <t>Do TS 89</t>
  </si>
  <si>
    <t>Federband</t>
  </si>
  <si>
    <t>Do TS 93</t>
  </si>
  <si>
    <t>Do TS 83</t>
  </si>
  <si>
    <t>Do TS 98</t>
  </si>
  <si>
    <t>Do TS 99</t>
  </si>
  <si>
    <t>Do TS 92</t>
  </si>
  <si>
    <t>Do TS 73V</t>
  </si>
  <si>
    <t>Do TS 72</t>
  </si>
  <si>
    <t>Do TS 71</t>
  </si>
  <si>
    <t>Do BTS 75 V</t>
  </si>
  <si>
    <t>Do BTS 80</t>
  </si>
  <si>
    <t>Do TS 97 contur</t>
  </si>
  <si>
    <t>Do TS92 basic</t>
  </si>
  <si>
    <t>Ge TS 4000</t>
  </si>
  <si>
    <t>Ge TS 5000</t>
  </si>
  <si>
    <t>Ge TS 5000 ISM</t>
  </si>
  <si>
    <t>Ge TS 5000 L</t>
  </si>
  <si>
    <t>Ge TS 5000 L-ISM</t>
  </si>
  <si>
    <t>GSR mech.</t>
  </si>
  <si>
    <t>Ja ?</t>
  </si>
  <si>
    <t>EFS</t>
  </si>
  <si>
    <t>RFS</t>
  </si>
  <si>
    <t>E-ISM</t>
  </si>
  <si>
    <t>L-E-ISM</t>
  </si>
  <si>
    <t>R-ISM</t>
  </si>
  <si>
    <t>L-R-ISM</t>
  </si>
  <si>
    <t>Schörghuber</t>
  </si>
  <si>
    <t>SR mech.</t>
  </si>
  <si>
    <t>Ge TS 3000</t>
  </si>
  <si>
    <t>Specht</t>
  </si>
  <si>
    <t>BKS</t>
  </si>
  <si>
    <t>Lohn Gesamt</t>
  </si>
  <si>
    <t>Stand</t>
  </si>
  <si>
    <t xml:space="preserve">Beschreibung Neu </t>
  </si>
  <si>
    <t>Fehlernr.</t>
  </si>
  <si>
    <t>Artikelnr.</t>
  </si>
  <si>
    <t>LAN Nr.</t>
  </si>
  <si>
    <t>MZT-1</t>
  </si>
  <si>
    <t>T30-1</t>
  </si>
  <si>
    <t>T30-1 RS</t>
  </si>
  <si>
    <t>T90-1</t>
  </si>
  <si>
    <t>T90-1 RS</t>
  </si>
  <si>
    <t>RS-1</t>
  </si>
  <si>
    <t>RS-2</t>
  </si>
  <si>
    <t>MZT-2</t>
  </si>
  <si>
    <t>T30-2</t>
  </si>
  <si>
    <t>T90-2</t>
  </si>
  <si>
    <t>T30-2 RS</t>
  </si>
  <si>
    <t>T90-2 RS</t>
  </si>
  <si>
    <t>RP</t>
  </si>
  <si>
    <t>Herholz</t>
  </si>
  <si>
    <t>Schwarze</t>
  </si>
  <si>
    <t>Hoba</t>
  </si>
  <si>
    <t>Do ITS 96 integr.</t>
  </si>
  <si>
    <t>Do ED 200</t>
  </si>
  <si>
    <t>Do ED 250</t>
  </si>
  <si>
    <t>Ge TSA 160NT</t>
  </si>
  <si>
    <t>Ge Slimdrive EMD</t>
  </si>
  <si>
    <t>Schloßmaße/Stulp
DM/Abst./Nuß-Stulp</t>
  </si>
  <si>
    <t>D-Stoßgriff</t>
  </si>
  <si>
    <t>WK-1</t>
  </si>
  <si>
    <t>Beschuss-1</t>
  </si>
  <si>
    <t>WK-2</t>
  </si>
  <si>
    <t>Beschuss-2</t>
  </si>
  <si>
    <t>Schüco ADS 65.Ni SP</t>
  </si>
  <si>
    <t>ABUS</t>
  </si>
  <si>
    <t>R</t>
  </si>
  <si>
    <t>Riegelschloß</t>
  </si>
  <si>
    <t>FH-Fallenriegelschloß</t>
  </si>
  <si>
    <t>Bosch</t>
  </si>
  <si>
    <t>Ge TS 2000</t>
  </si>
  <si>
    <t>Fallenschloß</t>
  </si>
  <si>
    <t>Isselwerk</t>
  </si>
  <si>
    <t>Jeld Wen</t>
  </si>
  <si>
    <t>2x Stoßgriff</t>
  </si>
  <si>
    <t>0 Warum ist Stangengriff und aber kein AP Schloss verbaut?</t>
  </si>
  <si>
    <t>0 Zarge lose im untere Bereich von Türband</t>
  </si>
  <si>
    <t>0.1 Bodenbelag nicht gemäß Brandschutzanforderungen</t>
  </si>
  <si>
    <t>0.10 Kein Zugang / Keine Prüfung</t>
  </si>
  <si>
    <t>0.11 Fußboden steigt an</t>
  </si>
  <si>
    <t>0.12 Türspalt unten größer als 10 mm</t>
  </si>
  <si>
    <t>0.13 Türspalt unten größer als 20 mm</t>
  </si>
  <si>
    <t>0.14 Fluchtwegsituation sollte überprüft werden</t>
  </si>
  <si>
    <t>0.15 Kein Kennzeichnungsschild an der Tür</t>
  </si>
  <si>
    <t>0.16 Unzulässige Feststelllung der Brand- und/oder Rauchschutztür</t>
  </si>
  <si>
    <t>0.2 Abnahmeschild der Feststellanlage fehlt</t>
  </si>
  <si>
    <t>0.3 Die Rauchschalter sind ohne Funktion</t>
  </si>
  <si>
    <t>0.4 Keine Zentrale einer Feststellanlage an der Tür erkennbar</t>
  </si>
  <si>
    <t>0.5 Falsches Kennzeichnungsschild der Tür</t>
  </si>
  <si>
    <t>0.6 Parkettboden unter der Bodendichtung der Tür</t>
  </si>
  <si>
    <t>0.7 Laminatbelag unter der Bodendichtung der Tür</t>
  </si>
  <si>
    <t>0.8 Standflügel lässt sich nicht öffnen</t>
  </si>
  <si>
    <t>0.9 EMF ohne Funktion und Strom</t>
  </si>
  <si>
    <t>1.1 Türflügel/Bänder richten und einstellen (2 Mann)</t>
  </si>
  <si>
    <t>1.10 Bodenhülse ersetzen</t>
  </si>
  <si>
    <t>1.12 Kennzeichnungsschild Neubefestigung</t>
  </si>
  <si>
    <t>1.13 Unteren Türanschluss fachgerecht herstellen</t>
  </si>
  <si>
    <t>1.14 Türflügel/Bänder richten und einstellen (2 Mann)</t>
  </si>
  <si>
    <t>1.16 Standflügelverriegelung austauschen (2 Mann)</t>
  </si>
  <si>
    <t>1.2 Standflügelverriegelung reparieren (2 Mann)</t>
  </si>
  <si>
    <t>1.3 Schließblech/ Beschlag reparieren bzw. befestigen</t>
  </si>
  <si>
    <t>1.6 Mitnehmerklappe für Vollpanik Nachrüsten</t>
  </si>
  <si>
    <t>1.7.1 Bodendichtung L-15/30 WS 960 erneuern</t>
  </si>
  <si>
    <t>1.7.10 Schüco Bodendichtung 1270 erneuern</t>
  </si>
  <si>
    <t>1.7.11 BD Athmer BRB-52 L=1011(Kürzb666mm)</t>
  </si>
  <si>
    <t>1.7.2 Bodendichtung L-15 WS 1085 erneuern</t>
  </si>
  <si>
    <t>1.7.3 Schüco Bodendichtung 1470 erneuern</t>
  </si>
  <si>
    <t>1.7.4 Automatische Bodendichtung (unbekanntes Modell) erneuern</t>
  </si>
  <si>
    <t>1.7.5 Schüco Bodendichtung 325 erneuern</t>
  </si>
  <si>
    <t>1.7.6 Schüco Bodendichtung 405 erneuern</t>
  </si>
  <si>
    <t>1.7.7 Schüco Bodendichtung 470 erneuern</t>
  </si>
  <si>
    <t>1.7.8 Schüco Bodendichtung 670 erneuern</t>
  </si>
  <si>
    <t>1.7.9 Schüco Bodendichtung 1070 erneuern</t>
  </si>
  <si>
    <t>1.8.1 Bodendichtung L-15/30 WS 1210 erneuern (2 Mann)</t>
  </si>
  <si>
    <t>1.8.2 Bodendichtung L-24/20 WS 1050 erneuern (2 Mann)</t>
  </si>
  <si>
    <t>1.8.3 Automatische Bodendichtung (unbekanntes Modell) erneuern (2 Mann)</t>
  </si>
  <si>
    <t>1.8.4 BD Athmer BRB-52 L=1011(Kürzb666mm)(2Mann)</t>
  </si>
  <si>
    <t>1.9.1 Schließfolgeregelung dormakaba Austausch</t>
  </si>
  <si>
    <t>10.1 Anschlagdichtung für FH-Stahlblechtüren Z7511</t>
  </si>
  <si>
    <t>10.1xAnschlagdichtung für FH-Stahlblechtüren  Austausch/Ergänzung</t>
  </si>
  <si>
    <t>10.2.1 Anschlagdichtung für RR-Türen (unbekannter Typ) Austausch/Ergänzung</t>
  </si>
  <si>
    <t>10.2.2 Anschlagdichtung für SCHÜCO RR-Türen Austausch/Ergänzung</t>
  </si>
  <si>
    <t>10.3.x Anschlagdichtung für FH-Holztüren Austausch/Ergänzung</t>
  </si>
  <si>
    <t>10.4.x Brandschutzstreifen je Flügel Austausch/Ergänzung</t>
  </si>
  <si>
    <t>10.5x Wandanschluss wiederherstellen</t>
  </si>
  <si>
    <t>11.1 ED 250 für 1 flügelige Türen bis 400 kg oder 1.100 mm Breite, Brandschutz Montageart Gleitschiene Bandgegenseite</t>
  </si>
  <si>
    <t>11.2 ED 250 für 1 flügelige Türen bis 400 kg oder 1.600 mm Breite, Brandschutz Montageart Bandgegenseite</t>
  </si>
  <si>
    <t>11.5 Fingerschutzrollo Nachrüstung</t>
  </si>
  <si>
    <t>11.6 Sensorleisten 1100 Nachrüstung</t>
  </si>
  <si>
    <t>12.2 GEZE Nottaster Nachrüstung</t>
  </si>
  <si>
    <t>12.3 GEZE Schiebetür Steuerung Austausch</t>
  </si>
  <si>
    <t>12.4 GEZE Displayprogrammschalter Austausch</t>
  </si>
  <si>
    <t>13.1 Abnahme mit Prüfbuch und Zulassungsetikett</t>
  </si>
  <si>
    <t>14.1 RWA Notstromakku Austausch</t>
  </si>
  <si>
    <t>2.1.x Türband Reparatur (1 Mann)</t>
  </si>
  <si>
    <t>2.2.x Türband für RR Tür Neu (2 Mann)</t>
  </si>
  <si>
    <t>2.3.x Federband Stahlblechtür Austausch</t>
  </si>
  <si>
    <t>3.1.x FH Fallen-Riegelschloss ersetzen</t>
  </si>
  <si>
    <t xml:space="preserve">3.2.1 FH-Anti-Panikschloss-B 65/72/9/20/235/FR/R </t>
  </si>
  <si>
    <t>3.2.2 RR Schloss Funktion B Schüco ersetzen (Sonderbeschaffung)</t>
  </si>
  <si>
    <t xml:space="preserve">3.2.3 x FH-Anti-Panikschloss-B 55/72/9/20/235/FR/L </t>
  </si>
  <si>
    <t>3.2.x FH Antipanikschloss "B" ersetzen</t>
  </si>
  <si>
    <t>3.3.2 RR Schloss Funktion E Schüco ersetzen (Sonderbeschaffung)</t>
  </si>
  <si>
    <t>3.3.x FH Antipanikschloss "E" ersetzen</t>
  </si>
  <si>
    <t>3.4.x FH Antipanikschloss "D" ersetzen</t>
  </si>
  <si>
    <t>3.5 E-Öffner Schüco ersetzen</t>
  </si>
  <si>
    <t>4.1 Türbeschlag neu befestigen</t>
  </si>
  <si>
    <t>4.10 Drücker mit Einnietmuttern M5 neu befestigen</t>
  </si>
  <si>
    <t>4.11 PZ Rosetten Edelstahl oval</t>
  </si>
  <si>
    <t>4.12 Drückergarnitur Edelstahl oval RR 9 im Austausch</t>
  </si>
  <si>
    <t>4.13 Drückergarnitur Aluminium oval RR 9 im Austausch</t>
  </si>
  <si>
    <t>4.14 Wechselgarnitur Edelstahl oval RR 9 im Austausch</t>
  </si>
  <si>
    <t>4.15 Wechselgarnitur Aluminium oval RR 9 im Austausch</t>
  </si>
  <si>
    <t>4.17 AP Pushbar reparieren</t>
  </si>
  <si>
    <t>4.18 x FH Wechsel-Kurzschild-Garnitur KS Schwarz</t>
  </si>
  <si>
    <t>4.2 FH Drücker-Kurzschild-Garnitur KS schwarz ersetzen</t>
  </si>
  <si>
    <t>4.3 FH  Drücker-Kurzschild-Garnitur Alu ersetzen</t>
  </si>
  <si>
    <t>4.4.1 Blindzylinder variabel 52-90 BS/RS</t>
  </si>
  <si>
    <t>4.4.2 Blindzylinder variabel 84-144 BS/RS</t>
  </si>
  <si>
    <t>4.5 x FH Wechsel-Kurzschild-Garnitur Edelstahl</t>
  </si>
  <si>
    <t>4.6 FH Wechsel-Kurzschild-Garnitur Alu</t>
  </si>
  <si>
    <t>4.7 BS Drücker-Langschild-Garnitur Edelstahl</t>
  </si>
  <si>
    <t>4.8 PZ Rosetten Alu</t>
  </si>
  <si>
    <t>4.9 x Panik Griffstange</t>
  </si>
  <si>
    <t>5.1 Obentürschließer neu befestigen</t>
  </si>
  <si>
    <t>5.10 TS 83 B/N Austausch</t>
  </si>
  <si>
    <t>5.11 TS 83 B/N Neumontage</t>
  </si>
  <si>
    <t>5.12 TS 89F B/N Austausch (Sonderbeschaffung)</t>
  </si>
  <si>
    <t>5.3 TS GEZE 4000 mit Gestänge Neumontage</t>
  </si>
  <si>
    <t>5.4 TS GEZE 5000 mit Gleitschiene Neumontage</t>
  </si>
  <si>
    <t>5.5 TS 93 mit Gleitschiene Neumontage</t>
  </si>
  <si>
    <t>5.6 TS 73 B/N Austausch</t>
  </si>
  <si>
    <t>5.7 TS 73 B/N Neumontage</t>
  </si>
  <si>
    <t>5.8 ECO TS 61 B-N 2-5 Silberfarbig Austausch</t>
  </si>
  <si>
    <t>5.9 ECO TS 61 B-N 2-5 Silberfarbig Neumontage</t>
  </si>
  <si>
    <t>6.1 Feststellanlage G-EMR 80-140°, 1-flg. Austausch</t>
  </si>
  <si>
    <t>6.10 GSR-EMR(ohne EMF) Austausch</t>
  </si>
  <si>
    <t>6.11 GEZE E-Feststelleinheit für R-ISM</t>
  </si>
  <si>
    <t>6.12x DORMA E-Feststelleinheit für Gleitschiene</t>
  </si>
  <si>
    <t>6.2 Feststellanlage GSR-EMR 2, 2 flgl. , Austausch</t>
  </si>
  <si>
    <t>6.4 Feststellanlage GSR-EMR 2, 2 flgl. , Neumontage/Umbau</t>
  </si>
  <si>
    <t>6.6 Feststellanlage G-EMR 80-120°, 1-flg. Austausch</t>
  </si>
  <si>
    <t>6.7 Feststellanlage G-EMR 80-140°, 1-flg. Neumontage/Umbau</t>
  </si>
  <si>
    <t>6.8 Feststellanlage G-EMR 80-120°, 1-flg. Neumontage/Umbau</t>
  </si>
  <si>
    <t>6.9 Feststellanlage G-EMR 80-120°, BG, 1-flg. Neumontage/Umbau</t>
  </si>
  <si>
    <t>7. 1 Rauchmeldezentrale Contur silber im Austausch</t>
  </si>
  <si>
    <t>7.2 Sturz-Rauchmelder RM-ED Contur silber im Austausch</t>
  </si>
  <si>
    <t>7.3 Deckenrauchmelder ORS 142 im Austausch</t>
  </si>
  <si>
    <t>7.4 Deckenrauchmelder ORS 142 Paar im Austausch</t>
  </si>
  <si>
    <t>7.5 Rauchschaltzentrale RSZ 6 im Austausch</t>
  </si>
  <si>
    <t>7.6 Raucherkennungsteil für RSZ 6 im Austausch</t>
  </si>
  <si>
    <t>7.7 Stromversorgungsteil für RSZ 6 im Austausch</t>
  </si>
  <si>
    <t>7.8 Rauchschalterplatine für G-EMR im Austausch</t>
  </si>
  <si>
    <t>7.9 Deckenrauchmelder ORS 142 Paar Neumontage</t>
  </si>
  <si>
    <t>8.1 EH-Türwächter Neumontage</t>
  </si>
  <si>
    <t>9.1 Öffnungssperre für Drehfenster Neumontage</t>
  </si>
  <si>
    <t>9.2 Drehlager unten SCHÜCO Austausch</t>
  </si>
  <si>
    <t>9.3x Drehkippschere SCHÜCO Austausch</t>
  </si>
  <si>
    <t>9.4x Fenstergriff abschließbar F1 SCHÜCO Austausch</t>
  </si>
  <si>
    <t>Antrieb+RMZ</t>
  </si>
  <si>
    <t>Antrrieb+RMZ+2RM</t>
  </si>
  <si>
    <t>Antrieb+RMZintegriert</t>
  </si>
  <si>
    <t>Antrieb+RMZintegriert+2RM</t>
  </si>
  <si>
    <t>0.17 Sturz über 1  Meter. Zusätzliche Deckenrauchschalter erforderlich</t>
  </si>
  <si>
    <t>0.18 Sturzmelder ist falsch montiert. RM ist verdeckt bzw. hat weniger als 10 mm Luft nach oben.</t>
  </si>
  <si>
    <t>0.19 Fluchtwegbeschilderung höher setzen</t>
  </si>
  <si>
    <t>1.8.5 Bodendichtung L-24/20 WS 1350 erneuern (2 Mann)</t>
  </si>
  <si>
    <t>6.13 Feststellanlage TS 73 EMF, Kopfm, mit Gestänge, BGS, RMZ, Neumontage/Umbau</t>
  </si>
  <si>
    <t>6.14 Feststellanlage TS 93 EMF, mit Gleitschiene, BS, RMZ, Neumontage/Umbau</t>
  </si>
  <si>
    <t>7.10 Korrektur der Montagehöhe des Handauslösetaster</t>
  </si>
  <si>
    <t>16.4 Erstwartung und Datenaufnahme weiterer Türen zum Stundennachweis</t>
  </si>
  <si>
    <t>1.8.6 Schüco Bodendichtung 670 erneuern (2 Mann)</t>
  </si>
  <si>
    <t>1.8.7 Schüco Bodendichtung 1070 erneuern (2 Mann)</t>
  </si>
  <si>
    <t>1.8.8 Bodendichtung L-15/30 WS 1085 erneuern (2 Mann)</t>
  </si>
  <si>
    <t>3.2.3 FH-Antipanikschloss 65/72/24/9 ersetzen</t>
  </si>
  <si>
    <t>0.20 Fluchtwegbeschilderung/Fluchtwegplan nicht vorhanden bzw. unvollständig</t>
  </si>
  <si>
    <t>3.3.4 FH Antipanikschloss "E" L/R ersetzen</t>
  </si>
  <si>
    <t>1.18 Türzarge ist lose. Neubefestigen und vermörteln.</t>
  </si>
  <si>
    <t>3.3.5 Schloss mit Schrägstulp mit Panikfunktion E Neumontage</t>
  </si>
  <si>
    <t>10.1.1 Anschlagdichtung für FH-Stahlblechtüren (Hörmann) Austausch/Ergänzung</t>
  </si>
  <si>
    <t>10.3.1 Anschlagdichtung für FH-Holzüren (Novoferm) Austausch/Ergänzung</t>
  </si>
  <si>
    <t>10.3.2 Anschlagdichtung für FH-Holzüren (Schörghuber) Austausch/Ergänzung</t>
  </si>
  <si>
    <t>1.7.11 Hörmann Bodendichtung 1011 erneuern</t>
  </si>
  <si>
    <t>1.7.13 Wirus Bodendichtung 835 erneuern</t>
  </si>
  <si>
    <t>1.7.14 Wirus Bodendichtung 960 erneuern</t>
  </si>
  <si>
    <t>1.7.15 Wirus Bodendichtung 1085 erneuern</t>
  </si>
  <si>
    <t>1.7.16 Wirus Bodendichtung 1210 erneuern</t>
  </si>
  <si>
    <t>5.13 TS GEZE 5000 mit Gleitschiene ISM Neumontage</t>
  </si>
  <si>
    <t>3.2.3 FH-Antipanikschloss B/65/72/24/9/DL ersetzen</t>
  </si>
  <si>
    <t>1.17 Treibriegelschloss (Vollpanik) austauschen (2 Mann)</t>
  </si>
  <si>
    <t>5.14 TS GEZE 4000 mit Gestänge Austausch</t>
  </si>
  <si>
    <t>5.15 TS GEZE 5000 mit Gleitschiene Austausch</t>
  </si>
  <si>
    <t>2.4 Türband Neubefestigung (2 Mann</t>
  </si>
  <si>
    <t>Schiebetür-1</t>
  </si>
  <si>
    <t>Schiebetür-2</t>
  </si>
  <si>
    <t>Glas mit Rahmen</t>
  </si>
  <si>
    <t>Glas</t>
  </si>
  <si>
    <t>Ge TSA 160 Gr. 2-5</t>
  </si>
  <si>
    <t>Do ES 200</t>
  </si>
  <si>
    <t>ohne</t>
  </si>
  <si>
    <t>Fluchtwegschiebetür-1</t>
  </si>
  <si>
    <t>Fluchtwegschiebetür-2</t>
  </si>
  <si>
    <t>2.4 Türband Neubefestigung (2 Mann)</t>
  </si>
  <si>
    <t>12.5 Dorma ES 200 Notstromakkutausch (2 Stück)</t>
  </si>
  <si>
    <t>0.22 Drehflügelantrieb entspricht nicht den aktuellen Richtlinien</t>
  </si>
  <si>
    <t>3.3.6 FH Antipanikschloss "E" Neumontage einschl.Wechselganitur</t>
  </si>
  <si>
    <t>11.3 ED 250 1 flügelige Türen bis 400 kg oder 1.400 mm Breite, Brandschutz Montageart Bandseite</t>
  </si>
  <si>
    <t>11.4 ED 250 für1 flügelige Türen bis 400 kg oder 1.600 mm Breite, Low Energy Montageart Bandseite</t>
  </si>
  <si>
    <t>11.7 ED 250 für1 flügelige Türen bis 400 kg oder 1.600 mm Breite, Low Energy Montageart Bandgegenseite</t>
  </si>
  <si>
    <t>11.8 ED 250 für 1 flügelige Türen bis 400 kg oder 1.600 mm Breite, Full Energy Montageart Bandseite</t>
  </si>
  <si>
    <t>11.9 ED 250 für 1 flügelige Türen bis 400 kg oder 1.600 mm Breite, Full Energy Montageart Bandgegenseite</t>
  </si>
  <si>
    <t>1.7.17 Automatische Bodendichtung 20/17 708 (ein) erneuern</t>
  </si>
  <si>
    <t>1.7.18 Automatische Bodendichtung 20/17 833 (ein) erneuern</t>
  </si>
  <si>
    <t>1.7.19 Automatische Bodendichtung 20/17 958 (ein) erneuern</t>
  </si>
  <si>
    <t>1.7.20 Automatische Bodendichtung 20/17 1083 (ein) erneuern</t>
  </si>
  <si>
    <t>1.7.21 Automatische Bodendichtung 20/17 1208 (ein) erneuern</t>
  </si>
  <si>
    <t>1.7.22 Automatische Bodendichtung 20/17 708 (zwei) erneuern</t>
  </si>
  <si>
    <t>1.7.23 Automatische Bodendichtung 20/17 833 (zwei) erneuern</t>
  </si>
  <si>
    <t>1.7.24 Automatische Bodendichtung 20/17 958 (zwei) erneuern</t>
  </si>
  <si>
    <t>1.7.25 Automatische Bodendichtung 20/17 1083 (zwei) erneuern</t>
  </si>
  <si>
    <t>1.7.26 Automatische Bodendichtung 20/17 1208 (zwei) erneuern</t>
  </si>
  <si>
    <t>1.8.9 Bodendichtung L-24/20 ES 708 erneuern (2 Mann)</t>
  </si>
  <si>
    <t>1.8.10 Bodendichtung L-24/20 ES 833 erneuern (2 Mann)</t>
  </si>
  <si>
    <t>1.8.11 Bodendichtung L-24/20 ES 958 erneuern (2 Mann)</t>
  </si>
  <si>
    <t>1.8.12 Bodendichtung L-24/20 ES 1083 erneuern (2 Mann)</t>
  </si>
  <si>
    <t>1.8.13 Bodendichtung L-24/20 ES 1208 erneuern (2 Mann)</t>
  </si>
  <si>
    <t>Pusbar-Stoßgriff</t>
  </si>
  <si>
    <t>Pushbar-Blind</t>
  </si>
  <si>
    <t>K-K</t>
  </si>
  <si>
    <t>Panikstange-Blind</t>
  </si>
  <si>
    <t>Panikstange-Stoßgriff</t>
  </si>
  <si>
    <t>Hekatron NAG02</t>
  </si>
  <si>
    <t>Hekatron NAG02+2RM</t>
  </si>
  <si>
    <t>0.23 Drehflügelantrieb ohne Funktion</t>
  </si>
  <si>
    <t>0.24 Verglasung defekt</t>
  </si>
  <si>
    <t>0.25 Brandschutzverglasung ist defekt</t>
  </si>
  <si>
    <t>0.26 Erstwartung und Datenaufnahme weiterer Türen zum Nachweis</t>
  </si>
  <si>
    <t>0.27 Teppichboden unter der Bodendichtung der Tür</t>
  </si>
  <si>
    <t>0.28 Keine Prüfung der Panikfunktion möglich</t>
  </si>
  <si>
    <t>0.29 Brand- und/oder Rauchschutztür ist defekt</t>
  </si>
  <si>
    <t>0.30 Fußboden ist uneben / Behinderung der Bodendichtung</t>
  </si>
  <si>
    <t>6.15 Freilauftürschließer TS 99 FLR-K, mit Gleitschiene, NM-BS, RMZ, Neumontage/Umbau</t>
  </si>
  <si>
    <t>6.16 Freilauftürschließer TS 99 FLR, mit Gleitschiene, KM-BS, RMZ, Neumontage/Umbau</t>
  </si>
  <si>
    <t>6.17 Feststellanlage RMZ im Contur Design , Neumontage/Umbau</t>
  </si>
  <si>
    <t>6.18 Feststellanlage G-Ubivis 80-140°, 1-flg. Neumontage/Umbau</t>
  </si>
  <si>
    <t>6.19 Feststellanlage GSR-EMR 1, 2 flgl., Neumontage/Umbau</t>
  </si>
  <si>
    <t>6.20 Feststellanlage GSR-EMR 1 G, 2 flgl., Neumontage/Umbau</t>
  </si>
  <si>
    <t>6.21 Feststellanlage GSR-EMF 1, 2 flgl., Neumontage/Umbau</t>
  </si>
  <si>
    <t>6.22 Feststellanlage GSR-EMF 1 G, 2 flgl., Neumontage/Umbau</t>
  </si>
  <si>
    <t>6.23 Feststellanlage GSR-EMF 2, 2 flgl., Neumontage/Umbau</t>
  </si>
  <si>
    <t>10.3.3 Anschlagdichtung für FH-Holzüren (Westag &amp; Getalit) Austausch/Ergänzung</t>
  </si>
  <si>
    <t>10.3.4 Anschlagdichtung für FH-Holzüren (Herholz 4) Austausch/Ergänzung</t>
  </si>
  <si>
    <t>11.10 Fehlersuche am Dorma ED 250 zum Material- und Stundenweis</t>
  </si>
  <si>
    <t>3.4.1 FH Antipanikschloss "D" ersetzen</t>
  </si>
  <si>
    <t>3.4.2 FH Antipanikschloss R/L "D" ersetzen</t>
  </si>
  <si>
    <t>3.1.1 FH Fallen-Riegelschloss ersetzen</t>
  </si>
  <si>
    <t>3.1.2 FH Fallen-Riegelschloss R/L ersetzen</t>
  </si>
  <si>
    <t>1.7.4 Auto Bodendichtung (unbekanntes Modell) erneuern</t>
  </si>
  <si>
    <t>1.8.3 Auto Bodendichtung (unbekanntes Modell) erneuern (2 Mann)</t>
  </si>
  <si>
    <t>1.7.17 Auto Bodendichtung 20/17 708 (ein) erneuern</t>
  </si>
  <si>
    <t>1.7.18 Auto Bodendichtung 20/17 833 (ein) erneuern</t>
  </si>
  <si>
    <t>1.7.19 Auto Bodendichtung 20/17 958 (ein) erneuern</t>
  </si>
  <si>
    <t>1.7.20 Auto Bodendichtung 20/17 1083 (ein) erneuern</t>
  </si>
  <si>
    <t>1.7.21 Auto Bodendichtung 20/17 1208 (ein) erneuern</t>
  </si>
  <si>
    <t>1.7.22 Auto Bodendichtung 20/17 708 (zwei) erneuern</t>
  </si>
  <si>
    <t>1.7.23 Auto Bodendichtung 20/17 833 (zwei) erneuern</t>
  </si>
  <si>
    <t>1.7.24 Auto Bodendichtung 20/17 958 (zwei) erneuern</t>
  </si>
  <si>
    <t>1.7.25 Auto Bodendichtung 20/17 1083 (zwei) erneuern</t>
  </si>
  <si>
    <t>1.7.26 Auto Bodendichtung 20/17 1208 (zwei) erneuern</t>
  </si>
  <si>
    <t>30/92/8/24x235/F</t>
  </si>
  <si>
    <t>30/92/9/20x235/F</t>
  </si>
  <si>
    <t>30/92/9/20x235/U</t>
  </si>
  <si>
    <t>34/92/9/24x235/U</t>
  </si>
  <si>
    <t>35/72/9/20x235/U</t>
  </si>
  <si>
    <t>35/92/9/20x235/F</t>
  </si>
  <si>
    <t>35/92/9/20x235/U</t>
  </si>
  <si>
    <t>35/92/9/24x235/F</t>
  </si>
  <si>
    <t>35/92/9/24x235/U</t>
  </si>
  <si>
    <t>35/92/9/28x235/F</t>
  </si>
  <si>
    <t>40/72/9/20x235/F</t>
  </si>
  <si>
    <t>40/92/9/20x235/F</t>
  </si>
  <si>
    <t>40/92/9/20x235/U</t>
  </si>
  <si>
    <t>45/72/9/24x235/FR</t>
  </si>
  <si>
    <t>45/92/9/24x235/F</t>
  </si>
  <si>
    <t>50/72/9/24x235/FR</t>
  </si>
  <si>
    <t>55/72/8/20x235/FR</t>
  </si>
  <si>
    <t>55/72/9/20x235/FR</t>
  </si>
  <si>
    <t>55/72/9/24x235/FR</t>
  </si>
  <si>
    <t>60/72/9/24x235/FR</t>
  </si>
  <si>
    <t>65/72/8/20x235/FR</t>
  </si>
  <si>
    <t>65/72/9/20x235/FR</t>
  </si>
  <si>
    <t>65/72/9/24x235/FR</t>
  </si>
  <si>
    <t>Nemef/65/72/9/24x235/FR</t>
  </si>
  <si>
    <t>4.9 x BKS Panik Griffstange erneuern</t>
  </si>
  <si>
    <t>5.16 DORMA Gleitschiene G-N Erneuerung</t>
  </si>
  <si>
    <t>5.17 DORMA Hebel 375 mm für G-N, G-EMF, G-EMR, GSR Erneuerung</t>
  </si>
  <si>
    <t>5.18 DORMA G-N Gleitstück inkl. Schraube Erneuerung</t>
  </si>
  <si>
    <t>7.1 Rauchmeldezentrale Contur silber im Austausch</t>
  </si>
  <si>
    <t>11.11 ED 250 Normalgestänge ersetzen</t>
  </si>
  <si>
    <t>1.19 Bodentürstopper 1070 Edelstahl matt Neumontage</t>
  </si>
  <si>
    <t>6.24 Batterietausch Feststellanlage G-Ubivis</t>
  </si>
  <si>
    <t>7.11 Deckenrauchmelder ORS 142 Stück Neumontage</t>
  </si>
  <si>
    <t>16.3 Gerüststellung für De- und Montagearbeiten</t>
  </si>
  <si>
    <t>5.19 TS 93 mit Gleitschiene Austausch ( 5-7)</t>
  </si>
  <si>
    <t>4.19 Antipanik Drückergarnitur Edelstahl rund VB 9 im Austausch</t>
  </si>
  <si>
    <t>4.20 Drückergarnitur Edelstahl rund VB 9 im Austausch</t>
  </si>
  <si>
    <t>4.21 Wechselgarnitur Edelstahl rund VB 9 im Austausch</t>
  </si>
  <si>
    <t>4.22 Antipanik Drückergarnitur Aluminium rund VB 9 im Austausch</t>
  </si>
  <si>
    <t>4.23 Drückergarnitur Aluminium rund VB 9 im Austausch</t>
  </si>
  <si>
    <t>4.24 Wechselgarnitur Aluminium rund VB 9 im Austausch</t>
  </si>
  <si>
    <t>3.2.4 FH-Antipanikschloss B/65/72/24/9/DLE ersetzen</t>
  </si>
  <si>
    <t>3.2.5 FH-Antipanikschloss B/65/72/24/9/DR ersetzen</t>
  </si>
  <si>
    <t>3.2.6 FH-Antipanikschloss B/65/72/24/9/DRE ersetzen</t>
  </si>
  <si>
    <t>Hörmann T30-2-RS HL 320</t>
  </si>
  <si>
    <t>Kennzeichnung des Schließbereiches fehlt</t>
  </si>
  <si>
    <t>Glasleiste fehlt</t>
  </si>
  <si>
    <t>Handauslösetaster fehlt</t>
  </si>
  <si>
    <t>Hörmann S/RS-200-1</t>
  </si>
  <si>
    <t>Hörmann T90-1-RS FSA</t>
  </si>
  <si>
    <t>Hörmann T90-2-RS FSA</t>
  </si>
  <si>
    <t>Hörmann T30-1-RS HL 310</t>
  </si>
  <si>
    <t>Hörmann S/RS-200-2</t>
  </si>
  <si>
    <t>Hörmann RS-55-1</t>
  </si>
  <si>
    <t>Dichtungskeile fehlen</t>
  </si>
  <si>
    <t>0.32 Das Brand- und Rauchschutzkonzept sollte überprüft werden.</t>
  </si>
  <si>
    <t>11.12 Austausch Taster"Tür verriegeln"  und Statusanzeige rot/grün</t>
  </si>
  <si>
    <t>11.13 Reparatur IRS-4 Sensorleiste (Austausch einer Optik)</t>
  </si>
  <si>
    <t>7.12 Netzteilplatine für RMZ / G-EMR / GSR-EMR / TS 99 FLR-K im Austausch</t>
  </si>
  <si>
    <t>6.25 Feststellanlage GSR-EMR mit 2 HM, 2flg., Neumontage/Umbau</t>
  </si>
  <si>
    <t>7.13 Montage eines Handauslösetaster</t>
  </si>
  <si>
    <t>1.20 Austausch der Brandschutzverglasung (2 Mann)</t>
  </si>
  <si>
    <t>1.21 Glasleiste gem. bauseitigen Muster</t>
  </si>
  <si>
    <t>1.22 2 Stück Kennzeichnungsschilder "Feuerschutzabschluss - Schließbereich freihalten nach DIN 4066"</t>
  </si>
  <si>
    <t>Do ES 200-2D</t>
  </si>
  <si>
    <t>Do ES 200 easy</t>
  </si>
  <si>
    <t>dormakaba C-lever</t>
  </si>
  <si>
    <t>dormakaba Digitalzylinder</t>
  </si>
  <si>
    <t>dormakaba Reader</t>
  </si>
  <si>
    <t>CES Beschlag</t>
  </si>
  <si>
    <t>CES Digitalzylinder</t>
  </si>
  <si>
    <t>CES Reader</t>
  </si>
  <si>
    <t>FSB Beschlag alt</t>
  </si>
  <si>
    <t>FSB Digitalzylinder</t>
  </si>
  <si>
    <t>FSB Reader</t>
  </si>
  <si>
    <t>FSB Dualzylinder</t>
  </si>
  <si>
    <t>CES Dualzylinder</t>
  </si>
  <si>
    <t>dormakaba Dualzylinder</t>
  </si>
  <si>
    <t>11.14 Flatscan Nachrüstung an Drehflügelantrieb (1 Paar)</t>
  </si>
  <si>
    <t>11.22 ED 250 für 2 flügelige Türen bis 400 kg oder 1.600 mm Breite (Bandmass bis 3.200 mm), Full Energy, Montageart Bandseite</t>
  </si>
  <si>
    <t>11.23 ED 250 für 2 flügelige Türen bis 400 kg oder 1.400 mm Breite (Bandmass bis 3.200 mm), Full Energy Montageart Bandgegenseite</t>
  </si>
  <si>
    <t>11.24 ED 250 für 2 flügelige Türen bis 400 kg oder 1.100 mm Breite (Bandmass bis 2.200 mm), Brandschutz, Montageart Bandgegenseite Gleitschiene</t>
  </si>
  <si>
    <t>11.25 ED 250 für 2 flügelige Türen bis 400 kg oder 1.100 mm Breite (Bandmass bis 2.200 mm), Brandschutz, RM intergiert, Montageart Bandgegenseite Gleitschiene</t>
  </si>
  <si>
    <t>11.26 ED 250 für 2 flügelige Türen bis 400 kg oder 1.400 mm Breite (Bandmass bis 2.800 mm), Brandschutz, Montageart Bandseite</t>
  </si>
  <si>
    <t>11.27 ED 250 für 2 flügelige Türen bis 400 kg oder 1.400 mm Breite (Bandmass bis 2.800 mm), Brandschutz, RM iintegriert, Montageart Bandseite</t>
  </si>
  <si>
    <t>11.28 ED 250 für 2 flügelige Türen bis 400 kg oder 1.600 mm Breite (Bandmass bis 3.200 mm), Brandschutz, Montageart Bandgegenseite</t>
  </si>
  <si>
    <t>11.29 ED 250 für 2 flügelige Türen bis 400 kg oder 1.600 mm Breite (Bandmass bis 3.200 mm), Brandschutz, RM integriert, Montageart Bandgegenseite</t>
  </si>
  <si>
    <t>11.32 ED 250 ESR1/2 für 2 flügelige Türen bis 400 kg oder 1.600 mm Breite (Bandmass bis 3.200 mm), Full Energy, Montageart Bandseite</t>
  </si>
  <si>
    <t>11.33 ED 250 ESR1/2 für 2 flügelige Türen bis 400 kg oder 1.400 mm Breite (Bandmass bis 3.200 mm), Full Energy Montageart Bandgegenseite</t>
  </si>
  <si>
    <t>11.34 ED 250 ESR1/2 für 2 flügelige Türen bis 400 kg oder 1.100 mm Breite (Bandmass bis 2.200 mm), Brandschutz, Montageart Bandgegenseite Gleitschiene</t>
  </si>
  <si>
    <t>11.35 ED 250 ESR1/2 für 2 flügelige Türen bis 400 kg oder 1.100 mm Breite (Bandmass bis 2.200 mm), Brandschutz, RM intergiert, Montageart Bandgegenseite Gleitschiene</t>
  </si>
  <si>
    <t>11.36 ED 250 ESR1/2 für 2 flügelige Türen bis 400 kg oder 1.400 mm Breite (Bandmass bis 2.800 mm), Brandschutz, Montageart Bandseite</t>
  </si>
  <si>
    <t>11.37 ED 250 ESR1/2 für 2 flügelige Türen bis 400 kg oder 1.400 mm Breite (Bandmass bis 2.800 mm), Brandschutz, RM iintegriert, Montageart Bandseite</t>
  </si>
  <si>
    <t>11.38 ED 250 ESR1/2 für 2 flügelige Türen bis 400 kg oder 1.600 mm Breite (Bandmass bis 3.200 mm), Brandschutz, Montageart Bandgegenseite</t>
  </si>
  <si>
    <t>11.39 ED 250 ESR1/2 für 2 flügelige Türen bis 400 kg oder 1.600 mm Breite (Bandmass bis 3.200 mm), Brandschutz, RM integriert, Montageart Bandgegenseite</t>
  </si>
  <si>
    <t>X</t>
  </si>
  <si>
    <t>N</t>
  </si>
  <si>
    <t>1.9.3 Blende ISM- / E-ISM / R-ISM Gleitschiene Ersatz</t>
  </si>
  <si>
    <t>10.2.3 Anschlagdichtung für Jansen RR-Türen Austausch/Ergänzung</t>
  </si>
  <si>
    <t>4.25 Blindrosetten Edelstahl oval (1 Paar)</t>
  </si>
  <si>
    <t>2.3 Federband Hörmann Stahlblechtür Austausch</t>
  </si>
  <si>
    <t>2.5 Federband Universal Stahlblechtür Austausch</t>
  </si>
  <si>
    <t>1.8.14 Bodendichtung Wicstyle 960 erneuern (Gehflügel / 2 Mann)</t>
  </si>
  <si>
    <t>1.8.15 Bodendichtung Wicstyle 1085 erneuern (Gehflügel / 2 Mann)</t>
  </si>
  <si>
    <t>1.8.16 Bodendichtung Wicstyle 1210 erneuern (Gehflügel / 2 Mann)</t>
  </si>
  <si>
    <t>1.8.17 Bodendichtung Wicstyle 1365 erneuern (Gehflügel / 2 Mann)</t>
  </si>
  <si>
    <t>6.27 Feststellanlage GEZE R-ISM, 2 flgl., Neumontage/Umbau</t>
  </si>
  <si>
    <t>1.7.17 Automatische Bodendichtung 20/30 708 (ein) erneuern</t>
  </si>
  <si>
    <t>1.7.18 Automatische Bodendichtung 20/30 833 (ein) erneuern</t>
  </si>
  <si>
    <t>1.7.19 Automatische Bodendichtung 20/30 958 (ein) erneuern</t>
  </si>
  <si>
    <t>1.7.20 Automatische Bodendichtung 20/30 1083 (ein) erneuern</t>
  </si>
  <si>
    <t>1.7.21 Automatische Bodendichtung 20/30 1208 (ein) erneuern</t>
  </si>
  <si>
    <t>1.7.21 Automatische Bodendichtung 20/30 708 (zwei) erneuern</t>
  </si>
  <si>
    <t>1.7.23 Automatische Bodendichtung 20/30 833 (zwei) erneuern</t>
  </si>
  <si>
    <t>1.7.25 Automatische Bodendichtung 20/30 1083 (zwei) erneuern</t>
  </si>
  <si>
    <t>1.7.26 Automatische Bodendichtung 20/30 1208 (zwei) erneuern</t>
  </si>
  <si>
    <t>1.7.27 Bodendichtung L-24/20 WS 1350 erneuern</t>
  </si>
  <si>
    <t>3.3.7 RR Schloss Funktion E ersetzen</t>
  </si>
  <si>
    <t>3.3.8 RR Schloss SVP 5xxx Funktion E ersetzen</t>
  </si>
  <si>
    <t>3.3.9 FH Schloss SVP 5xxx Funktion E ersetzen</t>
  </si>
  <si>
    <t>0.33 Hinweis: Feststellanlage bzw. Drehflügelantrieb ohne aktuelle Zulassung</t>
  </si>
  <si>
    <t>9.14 Eckumlenkung Hueck Austausch</t>
  </si>
  <si>
    <t>11.40 Funktaster mit Empfänger Neumontage</t>
  </si>
  <si>
    <t>0.37 Hinweis: Nottaster ist defekt</t>
  </si>
  <si>
    <t>8.2 Türwächter - Batterie im Austausch</t>
  </si>
  <si>
    <t>1.25 Bodenschwelle befestigen</t>
  </si>
  <si>
    <t>0.39 Hinweis: Fluchttürterminal ohne Funktion</t>
  </si>
  <si>
    <t>St</t>
  </si>
  <si>
    <t>FH</t>
  </si>
  <si>
    <t>UG</t>
  </si>
  <si>
    <t>kein Zugang - nicht geprüft</t>
  </si>
  <si>
    <t>Maschinenraum
Aufzug</t>
  </si>
  <si>
    <t>Holz</t>
  </si>
  <si>
    <t>GE TS 5000</t>
  </si>
  <si>
    <t>EG</t>
  </si>
  <si>
    <t>GSR - ISM</t>
  </si>
  <si>
    <t>TS ( alt )</t>
  </si>
  <si>
    <t>TH</t>
  </si>
  <si>
    <t>DO TS 73</t>
  </si>
  <si>
    <t>Tonstudio</t>
  </si>
  <si>
    <t>GE TS 4000</t>
  </si>
  <si>
    <t>H70</t>
  </si>
  <si>
    <t>DO TS 83</t>
  </si>
  <si>
    <t>Mexikaner</t>
  </si>
  <si>
    <t>Leer</t>
  </si>
  <si>
    <t>FH- Schloss  55 / 72</t>
  </si>
  <si>
    <t>HH Leuchtfeuer</t>
  </si>
  <si>
    <t>Kleiderei</t>
  </si>
  <si>
    <t>Mtg. Riedel</t>
  </si>
  <si>
    <t>Dr Garni 72/9 schwarz</t>
  </si>
  <si>
    <t>Maschinenraum
Lastenaufzug</t>
  </si>
  <si>
    <t>Mtg. Stürmer</t>
  </si>
  <si>
    <t xml:space="preserve">Schlossmaße / Typ FH oder RR
Dornmaß / Abstand / Stulp
Standflügelverriegelung Dornmaß
NG=Netzgerät
THM=Türhaftmagnet
ORS=Opt. Rauchschalter
Bodendichtung Form/Länge
</t>
  </si>
  <si>
    <r>
      <t xml:space="preserve">GSR </t>
    </r>
    <r>
      <rPr>
        <sz val="10"/>
        <rFont val="Arial"/>
        <family val="2"/>
      </rPr>
      <t>= Gleitschienen Schließfolgeregelung</t>
    </r>
    <r>
      <rPr>
        <b/>
        <sz val="10"/>
        <rFont val="Arial"/>
        <family val="2"/>
      </rPr>
      <t xml:space="preserve"> 
EMF </t>
    </r>
    <r>
      <rPr>
        <sz val="10"/>
        <rFont val="Arial"/>
        <family val="2"/>
      </rPr>
      <t xml:space="preserve">= elektromech. Feststellung </t>
    </r>
    <r>
      <rPr>
        <b/>
        <sz val="10"/>
        <rFont val="Arial"/>
        <family val="2"/>
      </rPr>
      <t xml:space="preserve">
EMR </t>
    </r>
    <r>
      <rPr>
        <sz val="10"/>
        <rFont val="Arial"/>
        <family val="2"/>
      </rPr>
      <t>= elektromech. Feststellung mit Rauchmeldezentrale</t>
    </r>
  </si>
  <si>
    <r>
      <t xml:space="preserve">Türschließer
Automatikantrieb
</t>
    </r>
    <r>
      <rPr>
        <sz val="10"/>
        <rFont val="Arial"/>
        <family val="2"/>
      </rPr>
      <t>Do = Dorma, Ge = Geze</t>
    </r>
    <r>
      <rPr>
        <b/>
        <sz val="10"/>
        <rFont val="Arial"/>
        <family val="2"/>
      </rPr>
      <t xml:space="preserve">
 </t>
    </r>
  </si>
  <si>
    <r>
      <t xml:space="preserve">Türmaterial / Türart </t>
    </r>
    <r>
      <rPr>
        <sz val="10"/>
        <rFont val="Arial"/>
        <family val="2"/>
      </rPr>
      <t>(AluRohrrahmen RRAL / Stahlrohrrahmen RRST / Holzblatt H / Stahlblech ST)</t>
    </r>
  </si>
  <si>
    <r>
      <rPr>
        <b/>
        <sz val="10"/>
        <rFont val="Arial"/>
        <family val="2"/>
      </rPr>
      <t xml:space="preserve">Türtyp </t>
    </r>
    <r>
      <rPr>
        <sz val="11"/>
        <color theme="1"/>
        <rFont val="Calibri"/>
        <family val="2"/>
        <scheme val="minor"/>
      </rPr>
      <t>(T30/RS/T90/Panik P/Einbruchschutz WK/usw.)</t>
    </r>
  </si>
  <si>
    <t xml:space="preserve">Anmerkung    </t>
  </si>
  <si>
    <t>Fehlercode</t>
  </si>
  <si>
    <t>21.11.2017 / Machander</t>
  </si>
  <si>
    <t>Datum / Monteur:</t>
  </si>
  <si>
    <t>Billhorner Brückenstr. 40, 20539 Hamburg</t>
  </si>
  <si>
    <t>Objekt:</t>
  </si>
  <si>
    <t>Sprinkenhof GmbH</t>
  </si>
  <si>
    <t>Kunde:</t>
  </si>
  <si>
    <t xml:space="preserve">Keine Schlussel vorhanden, </t>
  </si>
  <si>
    <t>SR Hebel</t>
  </si>
  <si>
    <t>-</t>
  </si>
  <si>
    <t>Elektrischer  Betriebsraum</t>
  </si>
  <si>
    <t>Falle defekt;</t>
  </si>
  <si>
    <t>FH-1</t>
  </si>
  <si>
    <t>Versorgungsraum</t>
  </si>
  <si>
    <t>Zwischentür</t>
  </si>
  <si>
    <t>Keine Schlüssel vorhanden;</t>
  </si>
  <si>
    <t xml:space="preserve">Keine Schlüssel vorhanden, Tür Kontaktgesichert; </t>
  </si>
  <si>
    <t>Eckzarge; 1945x985x40mm</t>
  </si>
  <si>
    <t>Heizung</t>
  </si>
  <si>
    <t>Bodenschwelle: 945x40mm</t>
  </si>
  <si>
    <t>TH Links</t>
  </si>
  <si>
    <t>Holz und Freude</t>
  </si>
  <si>
    <t>Bartschloss; Eckzarge; 1945x985x40mm</t>
  </si>
  <si>
    <t>60/72/8-20/230 F</t>
  </si>
  <si>
    <t>Kellerzugang</t>
  </si>
  <si>
    <t>Prüfung nicht möglich, Regal aus Stahl hinten der Tür;</t>
  </si>
  <si>
    <t>TH Rechts</t>
  </si>
  <si>
    <t>Wolf-Design</t>
  </si>
  <si>
    <t>1.OG</t>
  </si>
  <si>
    <t>Leer-Mietung</t>
  </si>
  <si>
    <t>Eckzarge;1025x2050x50mm</t>
  </si>
  <si>
    <t>Nemef/65/72/8-24/235/FR</t>
  </si>
  <si>
    <t>Keine Schlüssel vorhanden; Mietung Tür 32, aber andere Schlüssel;</t>
  </si>
  <si>
    <t>Eckzarge;1025x2050x50mm;</t>
  </si>
  <si>
    <t>2.OG</t>
  </si>
  <si>
    <t>Eckzarge;1025x2050x50mm; Keine Schlüssel vorhanden, kein Klingel</t>
  </si>
  <si>
    <t>Schwieger-Design</t>
  </si>
  <si>
    <t>Untere Spalt ca.30mm;</t>
  </si>
  <si>
    <t>Rüdiger Knop</t>
  </si>
  <si>
    <t>3.OG</t>
  </si>
  <si>
    <t>3x Mehrfachverriegelung</t>
  </si>
  <si>
    <t>Celler Eisenbau</t>
  </si>
  <si>
    <t>Niemand vor Ort</t>
  </si>
  <si>
    <t>Atelier</t>
  </si>
  <si>
    <t>4.OG</t>
  </si>
  <si>
    <t>Lioko Mexikaner</t>
  </si>
  <si>
    <t>Bodenschwelle: 1945x70mm; GF OTS defekt;</t>
  </si>
  <si>
    <t>Hamburger Studienbibliothek</t>
  </si>
  <si>
    <t>5.OG</t>
  </si>
  <si>
    <t>Fr. Vordermaier</t>
  </si>
  <si>
    <t>Nemef/65/72/8-24/235 F</t>
  </si>
  <si>
    <t>6.OG</t>
  </si>
  <si>
    <t>J</t>
  </si>
  <si>
    <t>überNomalNull</t>
  </si>
  <si>
    <t>Küche</t>
  </si>
  <si>
    <t>Luum</t>
  </si>
  <si>
    <t>Panikfunktion durch der Küchetür daneben;</t>
  </si>
  <si>
    <t>Office &amp; Workshop</t>
  </si>
  <si>
    <t>Eckzarge;1050x1970x50mm</t>
  </si>
  <si>
    <t>7.OG</t>
  </si>
  <si>
    <t>Eckzarge;1025x2050x50mm; Türspion montiert.</t>
  </si>
  <si>
    <t>Keine da</t>
  </si>
  <si>
    <t>Keine Schlüssel vorhanden</t>
  </si>
  <si>
    <t>Maschinenraum Lastenaufzug</t>
  </si>
  <si>
    <t>Lager</t>
  </si>
  <si>
    <t>Nemefschloss defekt</t>
  </si>
  <si>
    <t>Panikfunktion nicht vorhanden</t>
  </si>
  <si>
    <t>Keine RS Zulassung</t>
  </si>
  <si>
    <t>Brand- und Rauchschutzkonzept überprüfen</t>
  </si>
  <si>
    <t>Fluchtplan nicht vorhanden</t>
  </si>
  <si>
    <t>Angebotsposition</t>
  </si>
  <si>
    <r>
      <t>Kunde:</t>
    </r>
    <r>
      <rPr>
        <sz val="10"/>
        <rFont val="Arial"/>
        <family val="2"/>
      </rPr>
      <t xml:space="preserve"> SpriG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21-04109-AB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07.05.2021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Frau Tiedemann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F. Barcello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21-04109-AB</t>
    </r>
  </si>
  <si>
    <t>KABA Evolo</t>
  </si>
  <si>
    <t>FSB</t>
  </si>
  <si>
    <t>CES</t>
  </si>
  <si>
    <t>1-</t>
  </si>
  <si>
    <t>2-</t>
  </si>
  <si>
    <t>Keine Schlüssel vorhanden (LUTZ!)</t>
  </si>
  <si>
    <t>3-</t>
  </si>
  <si>
    <t>4-</t>
  </si>
  <si>
    <t>5-</t>
  </si>
  <si>
    <t>6-</t>
  </si>
  <si>
    <t>7-</t>
  </si>
  <si>
    <t>8-</t>
  </si>
  <si>
    <t>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</si>
  <si>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</si>
  <si>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</si>
  <si>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</si>
  <si>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</si>
  <si>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</si>
  <si>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</si>
  <si>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</si>
  <si>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</si>
  <si>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</si>
  <si>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</si>
  <si>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</si>
  <si>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</si>
  <si>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</si>
  <si>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</si>
  <si>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</si>
  <si>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</si>
  <si>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</si>
  <si>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</si>
  <si>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Türspalt 22mm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</si>
  <si>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</si>
  <si>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</si>
  <si>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</si>
  <si>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</si>
  <si>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</si>
  <si>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</si>
  <si>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</si>
  <si>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</si>
  <si>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</si>
  <si>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</si>
  <si>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</si>
  <si>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</si>
  <si>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</si>
  <si>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41-</t>
  </si>
  <si>
    <t xml:space="preserve">Eckzarge BRM 1050x 1970 </t>
  </si>
  <si>
    <t>42-</t>
  </si>
  <si>
    <t>43-</t>
  </si>
  <si>
    <t>44-</t>
  </si>
  <si>
    <t>LUTZ</t>
  </si>
  <si>
    <t>45-</t>
  </si>
  <si>
    <t>Angebot 23-23561-AN Position:</t>
  </si>
  <si>
    <r>
      <t>Kunde:</t>
    </r>
    <r>
      <rPr>
        <sz val="10"/>
        <rFont val="Arial"/>
        <family val="2"/>
      </rPr>
      <t xml:space="preserve"> Sprinkenhof GmbH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Billhorner Brückenstraße 40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11.07.2023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Frau Tiedemann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23-08042-AB</t>
    </r>
  </si>
  <si>
    <t>Mieter nicht antreffbar!</t>
  </si>
  <si>
    <t>Mängelbeseitigung 23-08042-AN Position:</t>
  </si>
  <si>
    <r>
      <t>Kunde:</t>
    </r>
    <r>
      <rPr>
        <sz val="10"/>
        <rFont val="Arial"/>
        <family val="2"/>
      </rPr>
      <t xml:space="preserve"> Sprinkenhof GmbH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Billhorner Brückenstraße 40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19.12.2023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Frau Tiedemann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23-08042-AB</t>
    </r>
  </si>
  <si>
    <t>Hunsi Lagot Artists</t>
  </si>
  <si>
    <t>Lasercu / Zirkular</t>
  </si>
  <si>
    <t>TH Rechts Bekleidungsraum</t>
  </si>
  <si>
    <t>TH Rechts Florian Huber</t>
  </si>
  <si>
    <t>Heike Mutter / Ulrich Genth</t>
  </si>
  <si>
    <t>TH Links Getting Up</t>
  </si>
  <si>
    <t>Getting Up</t>
  </si>
  <si>
    <t>Sadziak / Halm</t>
  </si>
  <si>
    <t>Anna Dittrich</t>
  </si>
  <si>
    <t>TH Rechts Druckkombinat</t>
  </si>
  <si>
    <t>TH Links Druckkombinat</t>
  </si>
  <si>
    <t>Hr. Gerritz</t>
  </si>
  <si>
    <t>Elektrischer  Betriebsraum Aufzug</t>
  </si>
  <si>
    <t>Hr. Stürmer</t>
  </si>
  <si>
    <t>Federband spannen</t>
  </si>
  <si>
    <t xml:space="preserve">BMH Schloß </t>
  </si>
  <si>
    <t>BMH Schloß</t>
  </si>
  <si>
    <t>Fabrikat unbekannt</t>
  </si>
  <si>
    <t>50/72/8/20-235 FR</t>
  </si>
  <si>
    <t>TS 73</t>
  </si>
  <si>
    <t>Maschienenraum Schlüßel</t>
  </si>
  <si>
    <t>Eckzarge;1025x2050x50mm_x000D_
BMH Schloß _x000D_
Treppenhaus min. RS Tür</t>
  </si>
  <si>
    <t xml:space="preserve">Treppenhaus min.RS </t>
  </si>
  <si>
    <t>Eckzarge;1025x2050x50mm_x000D_
Treppenhaus min. RS Tür</t>
  </si>
  <si>
    <t>Eckzarge;1025x2050x50mm_x000D_
Treppenhaus min. RS Tür_x000D_
BMH Schloß</t>
  </si>
  <si>
    <t>Zargen Hagen WEST</t>
  </si>
  <si>
    <t xml:space="preserve">Eckzarge;1025x2050x50mm;_x000D_
Treppenhaus min. RS Tür </t>
  </si>
  <si>
    <t>Eckzarge;1025x2050x50mm_x000D_
Treppenhaus min.RS Tür</t>
  </si>
  <si>
    <t>Trotz Termien nicht da.</t>
  </si>
  <si>
    <t>Trotz Termine nicht da</t>
  </si>
  <si>
    <t>BMH Schloß_x000D_
Treppenhaus min. RS Tür</t>
  </si>
  <si>
    <t xml:space="preserve">Trotz Termien um 10 uhr nicht da </t>
  </si>
  <si>
    <t xml:space="preserve">Eckzarge;1025x2050x50mm;Trotz Termien nicht da </t>
  </si>
  <si>
    <t xml:space="preserve">Eckzarge;1025x2050x50mm;_x000D_
Trotz Termien nicht da </t>
  </si>
  <si>
    <t xml:space="preserve">3x Mehrfachverriegelung_x000D_
Trotz Termien nicht da </t>
  </si>
  <si>
    <t xml:space="preserve">Trotz Termien nicht da </t>
  </si>
  <si>
    <t>Mängelbeseitigung 25-12418-AB, Position:</t>
  </si>
  <si>
    <r>
      <t>Kunde:</t>
    </r>
    <r>
      <rPr>
        <sz val="10"/>
        <rFont val="Arial"/>
        <family val="2"/>
      </rPr>
      <t xml:space="preserve"> Sprinkenhof GmbH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Billhorner Brückenstraße 40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27.11.2025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Frau Tiedemann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Zuncke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25-12418-AB</t>
    </r>
  </si>
  <si>
    <r>
      <t>Kunde:</t>
    </r>
    <r>
      <rPr>
        <sz val="10"/>
        <rFont val="Arial"/>
        <family val="2"/>
      </rPr>
      <t xml:space="preserve"> Sprinkenhof GmbH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Billhorner Brückenstraße 40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26.01.2026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Frau Tiedemann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Zuncke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26-14013-AB</t>
    </r>
  </si>
  <si>
    <t>BMH Shloss verbaut nur Falle!_x000D_
Zulassungsnummer nicht mehr lesbar!</t>
  </si>
  <si>
    <t>1050x2040mm Eckzarge</t>
  </si>
  <si>
    <t>Eckzarge 1040x1996mm</t>
  </si>
  <si>
    <t>TH Rechts Leerstand</t>
  </si>
  <si>
    <t>Türband muss gerichtet werden so das die Tür abgeshlossen werden kann und der Spalt oben stimmt! 1 Mann ist hierfür nur erforderlich!</t>
  </si>
  <si>
    <t xml:space="preserve">Eckzarge;1025x2050x50mm_x000D_
BMH Schloß _x000D_
</t>
  </si>
  <si>
    <t xml:space="preserve">1 Mann zum richten nur nötig </t>
  </si>
  <si>
    <t>Herr Stürmer</t>
  </si>
  <si>
    <t>Angebot 26-25683-AN, Position: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</si>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</sst>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d/m/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8"/>
      <name val="Arial"/>
      <family val="2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323">
    <xf numFmtId="0" fontId="0" fillId="0" borderId="0" xfId="0"/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2" fillId="0" borderId="5" xfId="0" applyFont="1" applyBorder="1" applyAlignment="1">
      <alignment vertical="center" wrapText="1"/>
    </xf>
    <xf numFmtId="1" fontId="2" fillId="0" borderId="4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right" vertical="center"/>
    </xf>
    <xf numFmtId="0" fontId="0" fillId="0" borderId="1" xfId="0" applyBorder="1"/>
    <xf numFmtId="0" fontId="0" fillId="0" borderId="7" xfId="0" applyBorder="1"/>
    <xf numFmtId="8" fontId="0" fillId="0" borderId="9" xfId="0" applyNumberFormat="1" applyBorder="1"/>
    <xf numFmtId="0" fontId="3" fillId="3" borderId="4" xfId="0" applyFont="1" applyFill="1" applyBorder="1" applyAlignment="1">
      <alignment horizontal="left" textRotation="90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5" borderId="0" xfId="0" applyFill="1"/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/>
    </xf>
    <xf numFmtId="0" fontId="0" fillId="5" borderId="8" xfId="0" applyFill="1" applyBorder="1"/>
    <xf numFmtId="0" fontId="0" fillId="6" borderId="8" xfId="0" applyFill="1" applyBorder="1"/>
    <xf numFmtId="0" fontId="0" fillId="0" borderId="8" xfId="0" applyBorder="1" applyAlignment="1">
      <alignment vertical="center" wrapText="1"/>
    </xf>
    <xf numFmtId="8" fontId="0" fillId="7" borderId="8" xfId="0" applyNumberFormat="1" applyFill="1" applyBorder="1"/>
    <xf numFmtId="8" fontId="0" fillId="8" borderId="8" xfId="0" applyNumberFormat="1" applyFill="1" applyBorder="1"/>
    <xf numFmtId="3" fontId="0" fillId="0" borderId="8" xfId="0" applyNumberFormat="1" applyBorder="1"/>
    <xf numFmtId="164" fontId="0" fillId="0" borderId="0" xfId="0" applyNumberFormat="1"/>
    <xf numFmtId="164" fontId="0" fillId="0" borderId="8" xfId="0" applyNumberFormat="1" applyBorder="1"/>
    <xf numFmtId="8" fontId="0" fillId="0" borderId="12" xfId="0" applyNumberFormat="1" applyBorder="1"/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164" fontId="5" fillId="0" borderId="13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7" borderId="8" xfId="0" applyFill="1" applyBorder="1"/>
    <xf numFmtId="14" fontId="0" fillId="7" borderId="8" xfId="0" applyNumberFormat="1" applyFill="1" applyBorder="1"/>
    <xf numFmtId="0" fontId="0" fillId="0" borderId="15" xfId="0" applyBorder="1"/>
    <xf numFmtId="0" fontId="0" fillId="7" borderId="11" xfId="0" applyFill="1" applyBorder="1"/>
    <xf numFmtId="0" fontId="0" fillId="0" borderId="11" xfId="0" applyBorder="1"/>
    <xf numFmtId="0" fontId="0" fillId="0" borderId="14" xfId="0" applyBorder="1"/>
    <xf numFmtId="0" fontId="0" fillId="5" borderId="14" xfId="0" applyFill="1" applyBorder="1"/>
    <xf numFmtId="0" fontId="0" fillId="6" borderId="14" xfId="0" applyFill="1" applyBorder="1"/>
    <xf numFmtId="8" fontId="0" fillId="8" borderId="14" xfId="0" applyNumberFormat="1" applyFill="1" applyBorder="1"/>
    <xf numFmtId="0" fontId="0" fillId="0" borderId="13" xfId="0" applyBorder="1"/>
    <xf numFmtId="0" fontId="0" fillId="5" borderId="13" xfId="0" applyFill="1" applyBorder="1"/>
    <xf numFmtId="0" fontId="0" fillId="6" borderId="13" xfId="0" applyFill="1" applyBorder="1"/>
    <xf numFmtId="0" fontId="2" fillId="0" borderId="10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1" fontId="1" fillId="0" borderId="16" xfId="0" applyNumberFormat="1" applyFont="1" applyBorder="1"/>
    <xf numFmtId="1" fontId="1" fillId="0" borderId="5" xfId="0" applyNumberFormat="1" applyFont="1" applyBorder="1"/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textRotation="90" wrapText="1"/>
    </xf>
    <xf numFmtId="0" fontId="3" fillId="0" borderId="7" xfId="0" applyFont="1" applyBorder="1" applyAlignment="1">
      <alignment horizontal="left" textRotation="90" wrapText="1"/>
    </xf>
    <xf numFmtId="0" fontId="3" fillId="2" borderId="9" xfId="0" applyFont="1" applyFill="1" applyBorder="1" applyAlignment="1">
      <alignment horizontal="left" textRotation="90" wrapText="1"/>
    </xf>
    <xf numFmtId="0" fontId="3" fillId="2" borderId="34" xfId="0" applyFont="1" applyFill="1" applyBorder="1" applyAlignment="1">
      <alignment horizontal="left" textRotation="90" wrapText="1"/>
    </xf>
    <xf numFmtId="0" fontId="3" fillId="2" borderId="7" xfId="0" applyFont="1" applyFill="1" applyBorder="1" applyAlignment="1">
      <alignment horizontal="left" textRotation="90" wrapText="1"/>
    </xf>
    <xf numFmtId="0" fontId="3" fillId="0" borderId="34" xfId="0" applyFont="1" applyBorder="1" applyAlignment="1">
      <alignment horizontal="left" textRotation="90" wrapText="1"/>
    </xf>
    <xf numFmtId="0" fontId="3" fillId="0" borderId="35" xfId="0" applyFont="1" applyBorder="1" applyAlignment="1">
      <alignment horizontal="left" textRotation="90" wrapText="1"/>
    </xf>
    <xf numFmtId="0" fontId="3" fillId="3" borderId="1" xfId="0" applyFont="1" applyFill="1" applyBorder="1" applyAlignment="1">
      <alignment horizontal="left" textRotation="90" wrapText="1"/>
    </xf>
    <xf numFmtId="0" fontId="3" fillId="3" borderId="7" xfId="0" applyFont="1" applyFill="1" applyBorder="1" applyAlignment="1">
      <alignment horizontal="left" textRotation="90" wrapText="1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1"/>
    <xf numFmtId="0" fontId="1" fillId="9" borderId="0" xfId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9" borderId="0" xfId="1" applyFill="1" applyAlignment="1">
      <alignment horizontal="center"/>
    </xf>
    <xf numFmtId="0" fontId="1" fillId="10" borderId="0" xfId="1" applyFill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vertical="center"/>
    </xf>
    <xf numFmtId="1" fontId="1" fillId="0" borderId="0" xfId="1" applyNumberFormat="1"/>
    <xf numFmtId="1" fontId="1" fillId="0" borderId="0" xfId="1" applyNumberFormat="1" applyAlignment="1">
      <alignment horizontal="center"/>
    </xf>
    <xf numFmtId="0" fontId="1" fillId="0" borderId="0" xfId="1" applyAlignment="1">
      <alignment horizontal="left" vertical="center"/>
    </xf>
    <xf numFmtId="0" fontId="1" fillId="10" borderId="0" xfId="1" applyFill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0" fontId="1" fillId="0" borderId="12" xfId="1" applyBorder="1" applyAlignment="1">
      <alignment horizontal="right" vertical="center"/>
    </xf>
    <xf numFmtId="0" fontId="1" fillId="9" borderId="9" xfId="1" applyFill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9" borderId="7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37" xfId="1" applyBorder="1" applyAlignment="1">
      <alignment horizontal="left" vertical="center" wrapText="1"/>
    </xf>
    <xf numFmtId="0" fontId="1" fillId="9" borderId="29" xfId="1" applyFill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9" borderId="28" xfId="1" applyFill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0" fillId="11" borderId="21" xfId="1" applyFont="1" applyFill="1" applyBorder="1" applyAlignment="1">
      <alignment horizontal="center" vertical="center"/>
    </xf>
    <xf numFmtId="0" fontId="10" fillId="10" borderId="33" xfId="1" applyFont="1" applyFill="1" applyBorder="1" applyAlignment="1">
      <alignment horizontal="center" vertical="center"/>
    </xf>
    <xf numFmtId="0" fontId="10" fillId="9" borderId="28" xfId="1" applyFont="1" applyFill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9" borderId="33" xfId="1" applyFill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" fillId="0" borderId="33" xfId="1" applyBorder="1" applyAlignment="1">
      <alignment horizontal="center" vertical="center" wrapText="1"/>
    </xf>
    <xf numFmtId="49" fontId="1" fillId="0" borderId="28" xfId="1" applyNumberFormat="1" applyBorder="1" applyAlignment="1">
      <alignment horizontal="center" vertical="center"/>
    </xf>
    <xf numFmtId="0" fontId="1" fillId="0" borderId="28" xfId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/>
    </xf>
    <xf numFmtId="0" fontId="1" fillId="0" borderId="38" xfId="1" applyBorder="1" applyAlignment="1">
      <alignment horizontal="left" vertical="center" wrapText="1"/>
    </xf>
    <xf numFmtId="0" fontId="1" fillId="9" borderId="26" xfId="1" applyFill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9" borderId="8" xfId="1" applyFill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0" fillId="11" borderId="20" xfId="1" applyFont="1" applyFill="1" applyBorder="1" applyAlignment="1">
      <alignment horizontal="center" vertical="center"/>
    </xf>
    <xf numFmtId="0" fontId="10" fillId="10" borderId="17" xfId="1" applyFont="1" applyFill="1" applyBorder="1" applyAlignment="1">
      <alignment horizontal="center" vertical="center"/>
    </xf>
    <xf numFmtId="0" fontId="10" fillId="9" borderId="8" xfId="1" applyFont="1" applyFill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9" borderId="18" xfId="1" applyFont="1" applyFill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9" borderId="17" xfId="1" applyFill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7" xfId="1" applyBorder="1" applyAlignment="1">
      <alignment horizontal="center" vertical="center" wrapText="1"/>
    </xf>
    <xf numFmtId="49" fontId="1" fillId="0" borderId="8" xfId="1" applyNumberFormat="1" applyBorder="1" applyAlignment="1">
      <alignment horizontal="center" vertical="center"/>
    </xf>
    <xf numFmtId="0" fontId="1" fillId="0" borderId="8" xfId="1" applyBorder="1" applyAlignment="1">
      <alignment horizontal="center" vertical="center" wrapText="1"/>
    </xf>
    <xf numFmtId="1" fontId="1" fillId="0" borderId="8" xfId="1" applyNumberForma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39" xfId="1" applyFont="1" applyBorder="1" applyAlignment="1">
      <alignment horizontal="center" vertical="center"/>
    </xf>
    <xf numFmtId="0" fontId="1" fillId="0" borderId="8" xfId="1" applyBorder="1" applyAlignment="1">
      <alignment horizontal="left" vertical="center"/>
    </xf>
    <xf numFmtId="0" fontId="1" fillId="0" borderId="18" xfId="1" applyBorder="1" applyAlignment="1">
      <alignment horizontal="left" vertical="center"/>
    </xf>
    <xf numFmtId="0" fontId="1" fillId="0" borderId="13" xfId="1" applyBorder="1" applyAlignment="1">
      <alignment horizontal="center" vertical="center"/>
    </xf>
    <xf numFmtId="0" fontId="1" fillId="0" borderId="17" xfId="1" applyBorder="1" applyAlignment="1">
      <alignment horizontal="left" vertical="center"/>
    </xf>
    <xf numFmtId="0" fontId="1" fillId="9" borderId="17" xfId="1" applyFill="1" applyBorder="1" applyAlignment="1">
      <alignment horizontal="left" vertical="center"/>
    </xf>
    <xf numFmtId="0" fontId="1" fillId="0" borderId="26" xfId="1" applyBorder="1" applyAlignment="1">
      <alignment horizontal="left" vertical="center"/>
    </xf>
    <xf numFmtId="0" fontId="1" fillId="0" borderId="40" xfId="1" applyBorder="1" applyAlignment="1">
      <alignment horizontal="left" vertical="center" wrapText="1"/>
    </xf>
    <xf numFmtId="0" fontId="1" fillId="9" borderId="41" xfId="1" applyFill="1" applyBorder="1" applyAlignment="1">
      <alignment horizontal="center" vertical="center"/>
    </xf>
    <xf numFmtId="0" fontId="1" fillId="9" borderId="13" xfId="1" applyFill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0" fillId="11" borderId="42" xfId="1" applyFont="1" applyFill="1" applyBorder="1" applyAlignment="1">
      <alignment horizontal="center" vertical="center"/>
    </xf>
    <xf numFmtId="0" fontId="10" fillId="10" borderId="43" xfId="1" applyFont="1" applyFill="1" applyBorder="1" applyAlignment="1">
      <alignment horizontal="center" vertical="center"/>
    </xf>
    <xf numFmtId="0" fontId="10" fillId="9" borderId="13" xfId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9" borderId="44" xfId="1" applyFont="1" applyFill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9" borderId="31" xfId="1" applyFill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" fillId="0" borderId="43" xfId="1" applyBorder="1" applyAlignment="1">
      <alignment horizontal="center" vertical="center" wrapText="1"/>
    </xf>
    <xf numFmtId="49" fontId="1" fillId="0" borderId="13" xfId="1" applyNumberFormat="1" applyBorder="1" applyAlignment="1">
      <alignment horizontal="center" vertical="center"/>
    </xf>
    <xf numFmtId="0" fontId="1" fillId="0" borderId="13" xfId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9" borderId="9" xfId="1" applyFont="1" applyFill="1" applyBorder="1" applyAlignment="1">
      <alignment horizontal="center" textRotation="90"/>
    </xf>
    <xf numFmtId="0" fontId="2" fillId="0" borderId="7" xfId="1" applyFont="1" applyBorder="1" applyAlignment="1">
      <alignment horizontal="center" textRotation="90"/>
    </xf>
    <xf numFmtId="0" fontId="2" fillId="9" borderId="7" xfId="1" applyFont="1" applyFill="1" applyBorder="1" applyAlignment="1">
      <alignment horizontal="center" textRotation="90"/>
    </xf>
    <xf numFmtId="0" fontId="2" fillId="0" borderId="1" xfId="1" applyFont="1" applyBorder="1" applyAlignment="1">
      <alignment horizontal="center" textRotation="90"/>
    </xf>
    <xf numFmtId="0" fontId="2" fillId="9" borderId="12" xfId="1" applyFont="1" applyFill="1" applyBorder="1" applyAlignment="1">
      <alignment horizontal="left" textRotation="90" wrapText="1"/>
    </xf>
    <xf numFmtId="0" fontId="2" fillId="0" borderId="35" xfId="1" applyFont="1" applyBorder="1" applyAlignment="1">
      <alignment horizontal="left" textRotation="90" wrapText="1"/>
    </xf>
    <xf numFmtId="0" fontId="2" fillId="9" borderId="7" xfId="1" applyFont="1" applyFill="1" applyBorder="1" applyAlignment="1">
      <alignment horizontal="left" textRotation="90" wrapText="1"/>
    </xf>
    <xf numFmtId="0" fontId="2" fillId="0" borderId="7" xfId="1" applyFont="1" applyBorder="1" applyAlignment="1">
      <alignment horizontal="left" textRotation="90" wrapText="1"/>
    </xf>
    <xf numFmtId="0" fontId="2" fillId="9" borderId="34" xfId="1" applyFont="1" applyFill="1" applyBorder="1" applyAlignment="1">
      <alignment horizontal="left" textRotation="90" wrapText="1"/>
    </xf>
    <xf numFmtId="0" fontId="2" fillId="0" borderId="9" xfId="1" applyFont="1" applyBorder="1" applyAlignment="1">
      <alignment horizontal="left" textRotation="90" wrapText="1"/>
    </xf>
    <xf numFmtId="0" fontId="2" fillId="0" borderId="1" xfId="1" applyFont="1" applyBorder="1" applyAlignment="1">
      <alignment horizontal="left" textRotation="90" wrapText="1"/>
    </xf>
    <xf numFmtId="0" fontId="2" fillId="10" borderId="9" xfId="1" applyFont="1" applyFill="1" applyBorder="1" applyAlignment="1">
      <alignment horizontal="left" textRotation="90" wrapText="1"/>
    </xf>
    <xf numFmtId="0" fontId="2" fillId="10" borderId="7" xfId="1" applyFont="1" applyFill="1" applyBorder="1" applyAlignment="1">
      <alignment horizontal="left" textRotation="90" wrapText="1"/>
    </xf>
    <xf numFmtId="0" fontId="2" fillId="10" borderId="34" xfId="1" applyFont="1" applyFill="1" applyBorder="1" applyAlignment="1">
      <alignment horizontal="left" textRotation="90" wrapText="1"/>
    </xf>
    <xf numFmtId="0" fontId="1" fillId="10" borderId="1" xfId="1" applyFill="1" applyBorder="1" applyAlignment="1">
      <alignment horizontal="left" textRotation="90" wrapText="1"/>
    </xf>
    <xf numFmtId="0" fontId="2" fillId="0" borderId="35" xfId="1" applyFont="1" applyBorder="1" applyAlignment="1">
      <alignment horizontal="left" wrapText="1"/>
    </xf>
    <xf numFmtId="0" fontId="2" fillId="0" borderId="45" xfId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1" fontId="1" fillId="0" borderId="46" xfId="1" applyNumberFormat="1" applyBorder="1"/>
    <xf numFmtId="0" fontId="1" fillId="0" borderId="2" xfId="1" applyBorder="1"/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horizontal="left" vertical="center"/>
    </xf>
    <xf numFmtId="1" fontId="1" fillId="0" borderId="4" xfId="1" applyNumberFormat="1" applyBorder="1"/>
    <xf numFmtId="0" fontId="1" fillId="0" borderId="4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3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49" fontId="1" fillId="0" borderId="50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4" borderId="54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3" borderId="56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49" fontId="1" fillId="0" borderId="56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3" borderId="60" xfId="0" applyFont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49" fontId="1" fillId="0" borderId="60" xfId="0" applyNumberFormat="1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63" xfId="0" applyFont="1" applyBorder="1" applyAlignment="1">
      <alignment horizontal="left" textRotation="90" wrapText="1"/>
    </xf>
    <xf numFmtId="0" fontId="3" fillId="3" borderId="16" xfId="0" applyFont="1" applyFill="1" applyBorder="1" applyAlignment="1">
      <alignment horizontal="left" textRotation="90" wrapText="1"/>
    </xf>
    <xf numFmtId="0" fontId="3" fillId="0" borderId="14" xfId="0" applyFont="1" applyBorder="1" applyAlignment="1">
      <alignment horizontal="left" textRotation="90" wrapText="1"/>
    </xf>
    <xf numFmtId="0" fontId="3" fillId="3" borderId="11" xfId="0" applyFont="1" applyFill="1" applyBorder="1" applyAlignment="1">
      <alignment horizontal="left" textRotation="90" wrapText="1"/>
    </xf>
    <xf numFmtId="0" fontId="3" fillId="0" borderId="11" xfId="0" applyFont="1" applyBorder="1" applyAlignment="1">
      <alignment horizontal="left" textRotation="90" wrapText="1"/>
    </xf>
    <xf numFmtId="0" fontId="3" fillId="3" borderId="64" xfId="0" applyFont="1" applyFill="1" applyBorder="1" applyAlignment="1">
      <alignment horizontal="left" textRotation="90" wrapText="1"/>
    </xf>
    <xf numFmtId="0" fontId="3" fillId="0" borderId="15" xfId="0" applyFont="1" applyBorder="1" applyAlignment="1">
      <alignment horizontal="left" textRotation="90" wrapText="1"/>
    </xf>
    <xf numFmtId="0" fontId="3" fillId="2" borderId="65" xfId="0" applyFont="1" applyFill="1" applyBorder="1" applyAlignment="1">
      <alignment horizontal="left" textRotation="90" wrapText="1"/>
    </xf>
    <xf numFmtId="0" fontId="3" fillId="2" borderId="11" xfId="0" applyFont="1" applyFill="1" applyBorder="1" applyAlignment="1">
      <alignment horizontal="left" textRotation="90" wrapText="1"/>
    </xf>
    <xf numFmtId="0" fontId="3" fillId="2" borderId="15" xfId="0" applyFont="1" applyFill="1" applyBorder="1" applyAlignment="1">
      <alignment horizontal="left" textRotation="90" wrapText="1"/>
    </xf>
    <xf numFmtId="0" fontId="3" fillId="0" borderId="64" xfId="0" applyFont="1" applyBorder="1" applyAlignment="1">
      <alignment horizontal="left" textRotation="90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" fontId="1" fillId="0" borderId="3" xfId="0" applyNumberFormat="1" applyFont="1" applyBorder="1"/>
    <xf numFmtId="1" fontId="1" fillId="0" borderId="4" xfId="0" applyNumberFormat="1" applyFont="1" applyBorder="1"/>
    <xf numFmtId="0" fontId="1" fillId="0" borderId="10" xfId="0" applyFont="1" applyBorder="1"/>
    <xf numFmtId="0" fontId="2" fillId="12" borderId="5" xfId="0" applyFont="1" applyFill="1" applyBorder="1" applyAlignment="1">
      <alignment vertical="center" wrapText="1"/>
    </xf>
    <xf numFmtId="0" fontId="2" fillId="12" borderId="5" xfId="0" applyFont="1" applyFill="1" applyBorder="1" applyAlignment="1">
      <alignment horizontal="right" vertical="center"/>
    </xf>
    <xf numFmtId="0" fontId="2" fillId="12" borderId="5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left" textRotation="90" wrapText="1"/>
    </xf>
    <xf numFmtId="0" fontId="2" fillId="12" borderId="12" xfId="0" applyFont="1" applyFill="1" applyBorder="1" applyAlignment="1">
      <alignment vertical="center" wrapText="1"/>
    </xf>
    <xf numFmtId="0" fontId="3" fillId="0" borderId="71" xfId="0" applyFont="1" applyBorder="1" applyAlignment="1">
      <alignment horizontal="left" textRotation="90" wrapText="1"/>
    </xf>
    <xf numFmtId="0" fontId="3" fillId="0" borderId="72" xfId="0" applyFont="1" applyBorder="1" applyAlignment="1">
      <alignment horizontal="left" textRotation="90" wrapText="1"/>
    </xf>
    <xf numFmtId="0" fontId="3" fillId="0" borderId="73" xfId="0" applyFont="1" applyBorder="1" applyAlignment="1">
      <alignment horizontal="left" textRotation="90" wrapText="1"/>
    </xf>
    <xf numFmtId="0" fontId="2" fillId="12" borderId="76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 wrapText="1"/>
    </xf>
    <xf numFmtId="0" fontId="1" fillId="3" borderId="62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3" borderId="58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81" xfId="0" applyFont="1" applyFill="1" applyBorder="1" applyAlignment="1">
      <alignment horizontal="center" vertical="center" wrapText="1"/>
    </xf>
    <xf numFmtId="0" fontId="1" fillId="4" borderId="82" xfId="0" applyFont="1" applyFill="1" applyBorder="1" applyAlignment="1">
      <alignment horizontal="center" vertical="center" wrapText="1"/>
    </xf>
    <xf numFmtId="8" fontId="0" fillId="7" borderId="13" xfId="0" applyNumberFormat="1" applyFill="1" applyBorder="1"/>
    <xf numFmtId="0" fontId="1" fillId="0" borderId="83" xfId="0" applyFont="1" applyBorder="1" applyAlignment="1">
      <alignment horizontal="center" vertical="center" wrapText="1"/>
    </xf>
    <xf numFmtId="0" fontId="1" fillId="0" borderId="85" xfId="0" applyFont="1" applyBorder="1" applyAlignment="1">
      <alignment horizontal="center" vertical="center" wrapText="1"/>
    </xf>
    <xf numFmtId="49" fontId="1" fillId="0" borderId="85" xfId="0" applyNumberFormat="1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3" borderId="85" xfId="0" applyFont="1" applyFill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0" fillId="0" borderId="86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 wrapText="1"/>
    </xf>
    <xf numFmtId="0" fontId="1" fillId="4" borderId="86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right" vertical="center"/>
    </xf>
    <xf numFmtId="0" fontId="1" fillId="12" borderId="3" xfId="0" applyFont="1" applyFill="1" applyBorder="1" applyAlignment="1">
      <alignment horizontal="right" vertical="center"/>
    </xf>
    <xf numFmtId="0" fontId="2" fillId="0" borderId="7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4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 wrapText="1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723900</xdr:colOff>
          <xdr:row>1</xdr:row>
          <xdr:rowOff>579120</xdr:rowOff>
        </xdr:to>
        <xdr:sp macro="" textlink="">
          <xdr:nvSpPr>
            <xdr:cNvPr id="37889" name="Button 5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00000000-0008-0000-0000-00000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83820</xdr:colOff>
          <xdr:row>1</xdr:row>
          <xdr:rowOff>68580</xdr:rowOff>
        </xdr:from>
        <xdr:to>
          <xdr:col>2</xdr:col>
          <xdr:colOff>754380</xdr:colOff>
          <xdr:row>1</xdr:row>
          <xdr:rowOff>601980</xdr:rowOff>
        </xdr:to>
        <xdr:sp macro="" textlink="">
          <xdr:nvSpPr>
            <xdr:cNvPr id="37890" name="Button 7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00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731520</xdr:colOff>
          <xdr:row>1</xdr:row>
          <xdr:rowOff>601980</xdr:rowOff>
        </xdr:to>
        <xdr:sp macro="" textlink="">
          <xdr:nvSpPr>
            <xdr:cNvPr id="37891" name="Button 8" hidden="1">
              <a:extLst>
                <a:ext uri="{63B3BB69-23CF-44E3-9099-C40C66FF867C}">
                  <a14:compatExt spid="_x0000_s37891"/>
                </a:ext>
                <a:ext uri="{FF2B5EF4-FFF2-40B4-BE49-F238E27FC236}">
                  <a16:creationId xmlns:a16="http://schemas.microsoft.com/office/drawing/2014/main" id="{00000000-0008-0000-0000-000003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83820</xdr:rowOff>
        </xdr:from>
        <xdr:to>
          <xdr:col>1</xdr:col>
          <xdr:colOff>731520</xdr:colOff>
          <xdr:row>1</xdr:row>
          <xdr:rowOff>579120</xdr:rowOff>
        </xdr:to>
        <xdr:sp macro="" textlink="">
          <xdr:nvSpPr>
            <xdr:cNvPr id="37892" name="Button 9" hidden="1">
              <a:extLst>
                <a:ext uri="{63B3BB69-23CF-44E3-9099-C40C66FF867C}">
                  <a14:compatExt spid="_x0000_s37892"/>
                </a:ext>
                <a:ext uri="{FF2B5EF4-FFF2-40B4-BE49-F238E27FC236}">
                  <a16:creationId xmlns:a16="http://schemas.microsoft.com/office/drawing/2014/main" id="{00000000-0008-0000-0000-00000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83820</xdr:rowOff>
        </xdr:from>
        <xdr:to>
          <xdr:col>4</xdr:col>
          <xdr:colOff>754380</xdr:colOff>
          <xdr:row>1</xdr:row>
          <xdr:rowOff>579120</xdr:rowOff>
        </xdr:to>
        <xdr:sp macro="" textlink="">
          <xdr:nvSpPr>
            <xdr:cNvPr id="37893" name="Button 10" hidden="1">
              <a:extLst>
                <a:ext uri="{63B3BB69-23CF-44E3-9099-C40C66FF867C}">
                  <a14:compatExt spid="_x0000_s37893"/>
                </a:ext>
                <a:ext uri="{FF2B5EF4-FFF2-40B4-BE49-F238E27FC236}">
                  <a16:creationId xmlns:a16="http://schemas.microsoft.com/office/drawing/2014/main" id="{00000000-0008-0000-0000-000005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723900</xdr:colOff>
          <xdr:row>1</xdr:row>
          <xdr:rowOff>579120</xdr:rowOff>
        </xdr:to>
        <xdr:sp macro="" textlink="">
          <xdr:nvSpPr>
            <xdr:cNvPr id="32769" name="Button 5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1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83820</xdr:colOff>
          <xdr:row>1</xdr:row>
          <xdr:rowOff>68580</xdr:rowOff>
        </xdr:from>
        <xdr:to>
          <xdr:col>2</xdr:col>
          <xdr:colOff>754380</xdr:colOff>
          <xdr:row>1</xdr:row>
          <xdr:rowOff>601980</xdr:rowOff>
        </xdr:to>
        <xdr:sp macro="" textlink="">
          <xdr:nvSpPr>
            <xdr:cNvPr id="32770" name="Button 7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00000000-0008-0000-0100-000002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731520</xdr:colOff>
          <xdr:row>1</xdr:row>
          <xdr:rowOff>601980</xdr:rowOff>
        </xdr:to>
        <xdr:sp macro="" textlink="">
          <xdr:nvSpPr>
            <xdr:cNvPr id="32771" name="Button 8" hidden="1">
              <a:extLst>
                <a:ext uri="{63B3BB69-23CF-44E3-9099-C40C66FF867C}">
                  <a14:compatExt spid="_x0000_s32771"/>
                </a:ext>
                <a:ext uri="{FF2B5EF4-FFF2-40B4-BE49-F238E27FC236}">
                  <a16:creationId xmlns:a16="http://schemas.microsoft.com/office/drawing/2014/main" id="{00000000-0008-0000-0100-000003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83820</xdr:rowOff>
        </xdr:from>
        <xdr:to>
          <xdr:col>1</xdr:col>
          <xdr:colOff>731520</xdr:colOff>
          <xdr:row>1</xdr:row>
          <xdr:rowOff>579120</xdr:rowOff>
        </xdr:to>
        <xdr:sp macro="" textlink="">
          <xdr:nvSpPr>
            <xdr:cNvPr id="32772" name="Button 9" hidden="1">
              <a:extLst>
                <a:ext uri="{63B3BB69-23CF-44E3-9099-C40C66FF867C}">
                  <a14:compatExt spid="_x0000_s32772"/>
                </a:ext>
                <a:ext uri="{FF2B5EF4-FFF2-40B4-BE49-F238E27FC236}">
                  <a16:creationId xmlns:a16="http://schemas.microsoft.com/office/drawing/2014/main" id="{00000000-0008-0000-0100-000004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83820</xdr:rowOff>
        </xdr:from>
        <xdr:to>
          <xdr:col>4</xdr:col>
          <xdr:colOff>754380</xdr:colOff>
          <xdr:row>1</xdr:row>
          <xdr:rowOff>579120</xdr:rowOff>
        </xdr:to>
        <xdr:sp macro="" textlink="">
          <xdr:nvSpPr>
            <xdr:cNvPr id="32773" name="Button 10" hidden="1">
              <a:extLst>
                <a:ext uri="{63B3BB69-23CF-44E3-9099-C40C66FF867C}">
                  <a14:compatExt spid="_x0000_s32773"/>
                </a:ext>
                <a:ext uri="{FF2B5EF4-FFF2-40B4-BE49-F238E27FC236}">
                  <a16:creationId xmlns:a16="http://schemas.microsoft.com/office/drawing/2014/main" id="{00000000-0008-0000-0100-000005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76200</xdr:rowOff>
        </xdr:from>
        <xdr:to>
          <xdr:col>0</xdr:col>
          <xdr:colOff>716280</xdr:colOff>
          <xdr:row>1</xdr:row>
          <xdr:rowOff>594360</xdr:rowOff>
        </xdr:to>
        <xdr:sp macro="" textlink="">
          <xdr:nvSpPr>
            <xdr:cNvPr id="28673" name="Button 5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2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83820</xdr:colOff>
          <xdr:row>1</xdr:row>
          <xdr:rowOff>76200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28674" name="Button 7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2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76200</xdr:rowOff>
        </xdr:from>
        <xdr:to>
          <xdr:col>3</xdr:col>
          <xdr:colOff>731520</xdr:colOff>
          <xdr:row>1</xdr:row>
          <xdr:rowOff>609600</xdr:rowOff>
        </xdr:to>
        <xdr:sp macro="" textlink="">
          <xdr:nvSpPr>
            <xdr:cNvPr id="28675" name="Button 8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2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99060</xdr:rowOff>
        </xdr:from>
        <xdr:to>
          <xdr:col>1</xdr:col>
          <xdr:colOff>731520</xdr:colOff>
          <xdr:row>1</xdr:row>
          <xdr:rowOff>594360</xdr:rowOff>
        </xdr:to>
        <xdr:sp macro="" textlink="">
          <xdr:nvSpPr>
            <xdr:cNvPr id="28676" name="Button 9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2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99060</xdr:rowOff>
        </xdr:from>
        <xdr:to>
          <xdr:col>4</xdr:col>
          <xdr:colOff>754380</xdr:colOff>
          <xdr:row>1</xdr:row>
          <xdr:rowOff>594360</xdr:rowOff>
        </xdr:to>
        <xdr:sp macro="" textlink="">
          <xdr:nvSpPr>
            <xdr:cNvPr id="28677" name="Button 10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2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716280</xdr:colOff>
          <xdr:row>1</xdr:row>
          <xdr:rowOff>579120</xdr:rowOff>
        </xdr:to>
        <xdr:sp macro="" textlink="">
          <xdr:nvSpPr>
            <xdr:cNvPr id="24577" name="Button 5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3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83820</xdr:colOff>
          <xdr:row>1</xdr:row>
          <xdr:rowOff>68580</xdr:rowOff>
        </xdr:from>
        <xdr:to>
          <xdr:col>2</xdr:col>
          <xdr:colOff>754380</xdr:colOff>
          <xdr:row>1</xdr:row>
          <xdr:rowOff>601980</xdr:rowOff>
        </xdr:to>
        <xdr:sp macro="" textlink="">
          <xdr:nvSpPr>
            <xdr:cNvPr id="24578" name="Button 7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3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731520</xdr:colOff>
          <xdr:row>1</xdr:row>
          <xdr:rowOff>601980</xdr:rowOff>
        </xdr:to>
        <xdr:sp macro="" textlink="">
          <xdr:nvSpPr>
            <xdr:cNvPr id="24579" name="Button 8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3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83820</xdr:rowOff>
        </xdr:from>
        <xdr:to>
          <xdr:col>1</xdr:col>
          <xdr:colOff>731520</xdr:colOff>
          <xdr:row>1</xdr:row>
          <xdr:rowOff>579120</xdr:rowOff>
        </xdr:to>
        <xdr:sp macro="" textlink="">
          <xdr:nvSpPr>
            <xdr:cNvPr id="24580" name="Button 9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3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83820</xdr:rowOff>
        </xdr:from>
        <xdr:to>
          <xdr:col>4</xdr:col>
          <xdr:colOff>754380</xdr:colOff>
          <xdr:row>1</xdr:row>
          <xdr:rowOff>579120</xdr:rowOff>
        </xdr:to>
        <xdr:sp macro="" textlink="">
          <xdr:nvSpPr>
            <xdr:cNvPr id="24581" name="Button 10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3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60960</xdr:colOff>
          <xdr:row>1</xdr:row>
          <xdr:rowOff>76200</xdr:rowOff>
        </xdr:from>
        <xdr:to>
          <xdr:col>0</xdr:col>
          <xdr:colOff>708660</xdr:colOff>
          <xdr:row>1</xdr:row>
          <xdr:rowOff>594360</xdr:rowOff>
        </xdr:to>
        <xdr:sp macro="" textlink="">
          <xdr:nvSpPr>
            <xdr:cNvPr id="26625" name="Button 5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4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83820</xdr:colOff>
          <xdr:row>1</xdr:row>
          <xdr:rowOff>76200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26626" name="Button 7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4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76200</xdr:rowOff>
        </xdr:from>
        <xdr:to>
          <xdr:col>3</xdr:col>
          <xdr:colOff>731520</xdr:colOff>
          <xdr:row>1</xdr:row>
          <xdr:rowOff>609600</xdr:rowOff>
        </xdr:to>
        <xdr:sp macro="" textlink="">
          <xdr:nvSpPr>
            <xdr:cNvPr id="26627" name="Button 8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4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60960</xdr:colOff>
          <xdr:row>1</xdr:row>
          <xdr:rowOff>99060</xdr:rowOff>
        </xdr:from>
        <xdr:to>
          <xdr:col>1</xdr:col>
          <xdr:colOff>731520</xdr:colOff>
          <xdr:row>1</xdr:row>
          <xdr:rowOff>594360</xdr:rowOff>
        </xdr:to>
        <xdr:sp macro="" textlink="">
          <xdr:nvSpPr>
            <xdr:cNvPr id="26628" name="Button 9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4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99060</xdr:rowOff>
        </xdr:from>
        <xdr:to>
          <xdr:col>4</xdr:col>
          <xdr:colOff>754380</xdr:colOff>
          <xdr:row>1</xdr:row>
          <xdr:rowOff>594360</xdr:rowOff>
        </xdr:to>
        <xdr:sp macro="" textlink="">
          <xdr:nvSpPr>
            <xdr:cNvPr id="26629" name="Button 10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4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  <xdr:oneCellAnchor>
    <xdr:from>
      <xdr:col>59</xdr:col>
      <xdr:colOff>0</xdr:colOff>
      <xdr:row>3</xdr:row>
      <xdr:rowOff>-1</xdr:rowOff>
    </xdr:from>
    <xdr:ext cx="4767942" cy="1219201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4958000" y="571499"/>
          <a:ext cx="4767942" cy="121920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DE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0</xdr:colOff>
      <xdr:row>3</xdr:row>
      <xdr:rowOff>-1</xdr:rowOff>
    </xdr:from>
    <xdr:ext cx="4767942" cy="1219201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7338000" y="571499"/>
          <a:ext cx="4767942" cy="121920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DE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nsgottsberg-my.sharepoint.com/Wartung/Wartung_Neu/06-Wartungs-Kunden/SPRIAG/Grundst&#252;ck%20%20%201111%20-%20Billhorner%20Br&#252;ckenstra&#223;e%2040/Pr&#252;fliste%20T&#252;ren%20Billhorner%20Br&#252;ckenstr%2040%20-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ürenlisten"/>
      <sheetName val="Fehlercode"/>
      <sheetName val="Preise"/>
    </sheetNames>
    <sheetDataSet>
      <sheetData sheetId="0"/>
      <sheetData sheetId="1">
        <row r="3">
          <cell r="B3" t="str">
            <v xml:space="preserve">       1 absenkbare Bodendichtung</v>
          </cell>
        </row>
        <row r="4">
          <cell r="B4" t="str">
            <v xml:space="preserve">       2 Schließfolgeregelung</v>
          </cell>
        </row>
        <row r="5">
          <cell r="B5" t="str">
            <v xml:space="preserve">       3 Standflügelverriegelung</v>
          </cell>
        </row>
        <row r="6">
          <cell r="B6" t="str">
            <v xml:space="preserve">       4 Anti-Panikschloss</v>
          </cell>
        </row>
        <row r="7">
          <cell r="B7" t="str">
            <v xml:space="preserve">       5 Fallen-Riegelschloss</v>
          </cell>
        </row>
        <row r="8">
          <cell r="B8" t="str">
            <v xml:space="preserve">       6 Tür richten, Bänder einstellen</v>
          </cell>
        </row>
        <row r="9">
          <cell r="B9" t="str">
            <v xml:space="preserve">       7 Schließblech einstellen, nacharbeiten, Beschlag befestigen</v>
          </cell>
        </row>
        <row r="10">
          <cell r="B10" t="str">
            <v xml:space="preserve">       8 Fluchtwächter befestigen / Batterie ersetzen / kompl. erneuern</v>
          </cell>
        </row>
        <row r="11">
          <cell r="B11" t="str">
            <v xml:space="preserve">       9 EMR - Feststellanlage mit RMZ für 1 flg. Türen ersetzen</v>
          </cell>
        </row>
        <row r="12">
          <cell r="B12" t="str">
            <v xml:space="preserve">      10 EMR - Feststellanlage mit RMZ für 2 flgl. Türen ersetzen</v>
          </cell>
        </row>
        <row r="13">
          <cell r="B13" t="str">
            <v xml:space="preserve">      11 Rauchmelder ersetzen</v>
          </cell>
        </row>
        <row r="14">
          <cell r="B14" t="str">
            <v xml:space="preserve">      12 RMZ ersetzen</v>
          </cell>
        </row>
        <row r="15">
          <cell r="B15" t="str">
            <v xml:space="preserve">      13 Obentürschließer mit Gleitschiene ersetzen</v>
          </cell>
        </row>
        <row r="16">
          <cell r="B16" t="str">
            <v xml:space="preserve">      14 E-Öffner für Brandschutztüren ersetzen</v>
          </cell>
        </row>
        <row r="17">
          <cell r="B17" t="str">
            <v xml:space="preserve">      15 PZ-Rosetten montieren</v>
          </cell>
        </row>
        <row r="18">
          <cell r="B18" t="str">
            <v xml:space="preserve">      16 Blindzylinder montieren</v>
          </cell>
        </row>
        <row r="19">
          <cell r="B19" t="str">
            <v xml:space="preserve">      17 Panikfunktion fehlt</v>
          </cell>
        </row>
        <row r="20">
          <cell r="B20" t="str">
            <v xml:space="preserve">      18 Fluchttürterminal defekt</v>
          </cell>
        </row>
        <row r="21">
          <cell r="B21" t="str">
            <v xml:space="preserve">      19 Wandbefestigung</v>
          </cell>
        </row>
        <row r="22">
          <cell r="B22" t="str">
            <v xml:space="preserve">      20 Handhabe defekt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1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vmlDrawing" Target="../drawings/vmlDrawing8.vml"/><Relationship Id="rId9" Type="http://schemas.openxmlformats.org/officeDocument/2006/relationships/ctrlProp" Target="../ctrlProps/ctrlProp20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4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2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vmlDrawing" Target="../drawings/vmlDrawing10.vml"/><Relationship Id="rId9" Type="http://schemas.openxmlformats.org/officeDocument/2006/relationships/ctrlProp" Target="../ctrlProps/ctrlProp2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9AC8-C25E-4C34-8503-26ECEBDDE1CC}">
  <sheetPr codeName="Tabelle18">
    <pageSetUpPr fitToPage="1"/>
  </sheetPr>
  <dimension ref="A1:FV50"/>
  <sheetViews>
    <sheetView zoomScale="60" zoomScaleNormal="60" workbookViewId="0">
      <pane ySplit="3" topLeftCell="A5" activePane="bottomLeft" state="frozen"/>
      <selection pane="bottomLeft" activeCell="AJ1" sqref="AJ1:AJ1048576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33203125" customWidth="1"/>
    <col min="12" max="12" width="13.3320312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33203125" customWidth="1"/>
    <col min="28" max="35" width="5.77734375" customWidth="1"/>
    <col min="36" max="36" width="52.33203125" customWidth="1"/>
  </cols>
  <sheetData>
    <row r="1" spans="1:36" ht="18.75" customHeight="1" thickBot="1" x14ac:dyDescent="0.35">
      <c r="A1" s="6" t="s">
        <v>759</v>
      </c>
      <c r="B1" s="7"/>
      <c r="C1" s="8"/>
      <c r="D1" s="8"/>
      <c r="E1" s="8"/>
      <c r="F1" s="8"/>
      <c r="G1" s="44"/>
      <c r="H1" s="44"/>
      <c r="I1" s="44"/>
      <c r="J1" s="7"/>
      <c r="K1" s="44"/>
      <c r="L1" s="44"/>
      <c r="M1" s="44"/>
      <c r="N1" s="44"/>
      <c r="O1" s="44"/>
      <c r="P1" s="44"/>
      <c r="Q1" s="44"/>
      <c r="R1" s="45"/>
      <c r="S1" s="297" t="s">
        <v>768</v>
      </c>
      <c r="T1" s="298"/>
      <c r="U1" s="298"/>
      <c r="V1" s="298"/>
      <c r="W1" s="298"/>
      <c r="X1" s="298"/>
      <c r="Y1" s="298"/>
      <c r="Z1" s="298"/>
      <c r="AA1" s="298"/>
      <c r="AB1" s="256">
        <v>1</v>
      </c>
      <c r="AC1" s="257">
        <v>2</v>
      </c>
      <c r="AD1" s="257">
        <v>3</v>
      </c>
      <c r="AE1" s="256">
        <v>4</v>
      </c>
      <c r="AF1" s="257">
        <v>5</v>
      </c>
      <c r="AG1" s="257">
        <v>6</v>
      </c>
      <c r="AH1" s="256">
        <v>7</v>
      </c>
      <c r="AI1" s="257">
        <v>8</v>
      </c>
      <c r="AJ1" s="58"/>
    </row>
    <row r="2" spans="1:36" ht="52.5" customHeight="1" thickBot="1" x14ac:dyDescent="0.35">
      <c r="A2" s="68"/>
      <c r="B2" s="69"/>
      <c r="C2" s="70"/>
      <c r="D2" s="19"/>
      <c r="E2" s="71"/>
      <c r="F2" s="299" t="s">
        <v>26</v>
      </c>
      <c r="G2" s="300"/>
      <c r="H2" s="300"/>
      <c r="I2" s="300"/>
      <c r="J2" s="301"/>
      <c r="K2" s="299" t="s">
        <v>25</v>
      </c>
      <c r="L2" s="300"/>
      <c r="M2" s="300"/>
      <c r="N2" s="300"/>
      <c r="O2" s="300"/>
      <c r="P2" s="300"/>
      <c r="Q2" s="300"/>
      <c r="R2" s="300"/>
      <c r="S2" s="299" t="s">
        <v>24</v>
      </c>
      <c r="T2" s="300"/>
      <c r="U2" s="300"/>
      <c r="V2" s="300"/>
      <c r="W2" s="300"/>
      <c r="X2" s="300"/>
      <c r="Y2" s="300"/>
      <c r="Z2" s="301"/>
      <c r="AA2" s="5" t="s">
        <v>23</v>
      </c>
      <c r="AB2" s="302"/>
      <c r="AC2" s="302"/>
      <c r="AD2" s="302"/>
      <c r="AE2" s="302"/>
      <c r="AF2" s="302"/>
      <c r="AG2" s="302"/>
      <c r="AH2" s="302"/>
      <c r="AI2" s="302"/>
      <c r="AJ2" s="72" t="s">
        <v>41</v>
      </c>
    </row>
    <row r="3" spans="1:36" ht="201.75" customHeight="1" thickBot="1" x14ac:dyDescent="0.35">
      <c r="A3" s="73" t="s">
        <v>22</v>
      </c>
      <c r="B3" s="74" t="s">
        <v>21</v>
      </c>
      <c r="C3" s="74" t="s">
        <v>20</v>
      </c>
      <c r="D3" s="74" t="s">
        <v>19</v>
      </c>
      <c r="E3" s="75" t="s">
        <v>18</v>
      </c>
      <c r="F3" s="76" t="s">
        <v>27</v>
      </c>
      <c r="G3" s="77" t="s">
        <v>17</v>
      </c>
      <c r="H3" s="77" t="s">
        <v>123</v>
      </c>
      <c r="I3" s="77" t="s">
        <v>16</v>
      </c>
      <c r="J3" s="75" t="s">
        <v>15</v>
      </c>
      <c r="K3" s="78" t="s">
        <v>28</v>
      </c>
      <c r="L3" s="74" t="s">
        <v>29</v>
      </c>
      <c r="M3" s="74" t="s">
        <v>42</v>
      </c>
      <c r="N3" s="74" t="s">
        <v>14</v>
      </c>
      <c r="O3" s="74" t="s">
        <v>13</v>
      </c>
      <c r="P3" s="74" t="s">
        <v>12</v>
      </c>
      <c r="Q3" s="74" t="s">
        <v>11</v>
      </c>
      <c r="R3" s="79" t="s">
        <v>10</v>
      </c>
      <c r="S3" s="80" t="s">
        <v>9</v>
      </c>
      <c r="T3" s="74" t="s">
        <v>8</v>
      </c>
      <c r="U3" s="81" t="s">
        <v>7</v>
      </c>
      <c r="V3" s="74" t="s">
        <v>6</v>
      </c>
      <c r="W3" s="81" t="s">
        <v>5</v>
      </c>
      <c r="X3" s="74" t="s">
        <v>4</v>
      </c>
      <c r="Y3" s="81" t="s">
        <v>3</v>
      </c>
      <c r="Z3" s="79" t="s">
        <v>2</v>
      </c>
      <c r="AA3" s="17" t="s">
        <v>1</v>
      </c>
      <c r="AB3" s="255" t="s">
        <v>489</v>
      </c>
      <c r="AC3" s="254" t="s">
        <v>206</v>
      </c>
      <c r="AD3" s="254" t="s">
        <v>203</v>
      </c>
      <c r="AE3" s="254" t="s">
        <v>280</v>
      </c>
      <c r="AF3" s="254" t="s">
        <v>207</v>
      </c>
      <c r="AG3" s="254" t="s">
        <v>218</v>
      </c>
      <c r="AH3" s="254" t="s">
        <v>340</v>
      </c>
      <c r="AI3" s="254" t="s">
        <v>344</v>
      </c>
      <c r="AJ3" s="227"/>
    </row>
    <row r="4" spans="1:36" s="1" customFormat="1" ht="39.75" customHeight="1" x14ac:dyDescent="0.3">
      <c r="A4" s="226">
        <v>1</v>
      </c>
      <c r="B4" s="225" t="s">
        <v>667</v>
      </c>
      <c r="C4" s="222" t="s">
        <v>651</v>
      </c>
      <c r="D4" s="224" t="s">
        <v>656</v>
      </c>
      <c r="E4" s="258" t="s">
        <v>585</v>
      </c>
      <c r="F4" s="264" t="s">
        <v>162</v>
      </c>
      <c r="G4" s="222">
        <v>1</v>
      </c>
      <c r="H4" s="223" t="s">
        <v>68</v>
      </c>
      <c r="I4" s="222" t="s">
        <v>66</v>
      </c>
      <c r="J4" s="265" t="s">
        <v>44</v>
      </c>
      <c r="K4" s="261" t="s">
        <v>125</v>
      </c>
      <c r="L4" s="223" t="s">
        <v>67</v>
      </c>
      <c r="M4" s="222" t="s">
        <v>455</v>
      </c>
      <c r="N4" s="221" t="s">
        <v>529</v>
      </c>
      <c r="O4" s="222"/>
      <c r="P4" s="221"/>
      <c r="Q4" s="222" t="s">
        <v>67</v>
      </c>
      <c r="R4" s="258" t="s">
        <v>67</v>
      </c>
      <c r="S4" s="270"/>
      <c r="T4" s="222"/>
      <c r="U4" s="221"/>
      <c r="V4" s="222" t="s">
        <v>529</v>
      </c>
      <c r="W4" s="221" t="s">
        <v>92</v>
      </c>
      <c r="X4" s="222" t="s">
        <v>67</v>
      </c>
      <c r="Y4" s="221" t="s">
        <v>529</v>
      </c>
      <c r="Z4" s="271"/>
      <c r="AA4" s="219" t="s">
        <v>530</v>
      </c>
      <c r="AB4" s="218">
        <v>1</v>
      </c>
      <c r="AC4" s="63"/>
      <c r="AD4" s="63"/>
      <c r="AE4" s="63"/>
      <c r="AF4" s="63"/>
      <c r="AG4" s="63"/>
      <c r="AH4" s="63"/>
      <c r="AI4" s="63"/>
      <c r="AJ4" s="276"/>
    </row>
    <row r="5" spans="1:36" s="1" customFormat="1" ht="39.75" customHeight="1" x14ac:dyDescent="0.3">
      <c r="A5" s="213">
        <v>2</v>
      </c>
      <c r="B5" s="212" t="s">
        <v>668</v>
      </c>
      <c r="C5" s="209" t="s">
        <v>651</v>
      </c>
      <c r="D5" s="211" t="s">
        <v>601</v>
      </c>
      <c r="E5" s="259" t="s">
        <v>655</v>
      </c>
      <c r="F5" s="266" t="s">
        <v>165</v>
      </c>
      <c r="G5" s="209">
        <v>1</v>
      </c>
      <c r="H5" s="210" t="s">
        <v>68</v>
      </c>
      <c r="I5" s="209" t="s">
        <v>75</v>
      </c>
      <c r="J5" s="267" t="s">
        <v>79</v>
      </c>
      <c r="K5" s="262" t="s">
        <v>740</v>
      </c>
      <c r="L5" s="210" t="s">
        <v>67</v>
      </c>
      <c r="M5" s="209" t="s">
        <v>456</v>
      </c>
      <c r="N5" s="208" t="s">
        <v>529</v>
      </c>
      <c r="O5" s="209"/>
      <c r="P5" s="208"/>
      <c r="Q5" s="209" t="s">
        <v>67</v>
      </c>
      <c r="R5" s="259" t="s">
        <v>67</v>
      </c>
      <c r="S5" s="272"/>
      <c r="T5" s="209"/>
      <c r="U5" s="208"/>
      <c r="V5" s="209" t="s">
        <v>529</v>
      </c>
      <c r="W5" s="208" t="s">
        <v>92</v>
      </c>
      <c r="X5" s="209" t="s">
        <v>67</v>
      </c>
      <c r="Y5" s="208" t="s">
        <v>529</v>
      </c>
      <c r="Z5" s="273"/>
      <c r="AA5" s="206" t="s">
        <v>530</v>
      </c>
      <c r="AB5" s="205"/>
      <c r="AC5" s="59"/>
      <c r="AD5" s="59"/>
      <c r="AE5" s="59">
        <v>1</v>
      </c>
      <c r="AF5" s="59"/>
      <c r="AG5" s="59"/>
      <c r="AH5" s="59"/>
      <c r="AI5" s="59"/>
      <c r="AJ5" s="277" t="s">
        <v>741</v>
      </c>
    </row>
    <row r="6" spans="1:36" s="1" customFormat="1" ht="39.75" customHeight="1" x14ac:dyDescent="0.3">
      <c r="A6" s="213">
        <v>3</v>
      </c>
      <c r="B6" s="212" t="s">
        <v>670</v>
      </c>
      <c r="C6" s="209" t="s">
        <v>651</v>
      </c>
      <c r="D6" s="211" t="s">
        <v>601</v>
      </c>
      <c r="E6" s="259" t="s">
        <v>721</v>
      </c>
      <c r="F6" s="266" t="s">
        <v>163</v>
      </c>
      <c r="G6" s="209">
        <v>1</v>
      </c>
      <c r="H6" s="210" t="s">
        <v>68</v>
      </c>
      <c r="I6" s="209" t="s">
        <v>66</v>
      </c>
      <c r="J6" s="267" t="s">
        <v>79</v>
      </c>
      <c r="K6" s="262" t="s">
        <v>125</v>
      </c>
      <c r="L6" s="210" t="s">
        <v>67</v>
      </c>
      <c r="M6" s="209" t="s">
        <v>456</v>
      </c>
      <c r="N6" s="208"/>
      <c r="O6" s="209"/>
      <c r="P6" s="208"/>
      <c r="Q6" s="209" t="s">
        <v>67</v>
      </c>
      <c r="R6" s="259" t="s">
        <v>67</v>
      </c>
      <c r="S6" s="272"/>
      <c r="T6" s="209"/>
      <c r="U6" s="208"/>
      <c r="V6" s="209" t="s">
        <v>529</v>
      </c>
      <c r="W6" s="208" t="s">
        <v>91</v>
      </c>
      <c r="X6" s="209" t="s">
        <v>67</v>
      </c>
      <c r="Y6" s="208"/>
      <c r="Z6" s="273"/>
      <c r="AA6" s="206" t="s">
        <v>644</v>
      </c>
      <c r="AB6" s="205"/>
      <c r="AC6" s="59"/>
      <c r="AD6" s="59"/>
      <c r="AE6" s="59"/>
      <c r="AF6" s="59"/>
      <c r="AG6" s="59"/>
      <c r="AH6" s="59"/>
      <c r="AI6" s="59"/>
      <c r="AJ6" s="277"/>
    </row>
    <row r="7" spans="1:36" s="1" customFormat="1" ht="39.75" customHeight="1" x14ac:dyDescent="0.3">
      <c r="A7" s="213">
        <v>4</v>
      </c>
      <c r="B7" s="212" t="s">
        <v>671</v>
      </c>
      <c r="C7" s="209" t="s">
        <v>651</v>
      </c>
      <c r="D7" s="211" t="s">
        <v>601</v>
      </c>
      <c r="E7" s="259" t="s">
        <v>612</v>
      </c>
      <c r="F7" s="266" t="s">
        <v>604</v>
      </c>
      <c r="G7" s="209">
        <v>1</v>
      </c>
      <c r="H7" s="210" t="s">
        <v>68</v>
      </c>
      <c r="I7" s="209" t="s">
        <v>66</v>
      </c>
      <c r="J7" s="267" t="s">
        <v>120</v>
      </c>
      <c r="K7" s="262" t="s">
        <v>155</v>
      </c>
      <c r="L7" s="210" t="s">
        <v>67</v>
      </c>
      <c r="M7" s="209" t="s">
        <v>623</v>
      </c>
      <c r="N7" s="208"/>
      <c r="O7" s="209"/>
      <c r="P7" s="208"/>
      <c r="Q7" s="209" t="s">
        <v>67</v>
      </c>
      <c r="R7" s="259" t="s">
        <v>67</v>
      </c>
      <c r="S7" s="272" t="s">
        <v>529</v>
      </c>
      <c r="T7" s="209"/>
      <c r="U7" s="208"/>
      <c r="V7" s="209" t="s">
        <v>529</v>
      </c>
      <c r="W7" s="208" t="s">
        <v>92</v>
      </c>
      <c r="X7" s="209" t="s">
        <v>67</v>
      </c>
      <c r="Y7" s="208"/>
      <c r="Z7" s="273"/>
      <c r="AA7" s="206" t="s">
        <v>530</v>
      </c>
      <c r="AB7" s="205">
        <v>1</v>
      </c>
      <c r="AC7" s="59"/>
      <c r="AD7" s="59"/>
      <c r="AE7" s="59"/>
      <c r="AF7" s="59"/>
      <c r="AG7" s="59"/>
      <c r="AH7" s="59"/>
      <c r="AI7" s="59"/>
      <c r="AJ7" s="277" t="s">
        <v>652</v>
      </c>
    </row>
    <row r="8" spans="1:36" s="1" customFormat="1" ht="39.75" customHeight="1" x14ac:dyDescent="0.3">
      <c r="A8" s="213">
        <v>5</v>
      </c>
      <c r="B8" s="212" t="s">
        <v>672</v>
      </c>
      <c r="C8" s="209" t="s">
        <v>651</v>
      </c>
      <c r="D8" s="211" t="s">
        <v>601</v>
      </c>
      <c r="E8" s="259" t="s">
        <v>618</v>
      </c>
      <c r="F8" s="266" t="s">
        <v>162</v>
      </c>
      <c r="G8" s="209">
        <v>1</v>
      </c>
      <c r="H8" s="210" t="s">
        <v>68</v>
      </c>
      <c r="I8" s="209" t="s">
        <v>66</v>
      </c>
      <c r="J8" s="267" t="s">
        <v>121</v>
      </c>
      <c r="K8" s="262" t="s">
        <v>155</v>
      </c>
      <c r="L8" s="210" t="s">
        <v>67</v>
      </c>
      <c r="M8" s="209" t="s">
        <v>450</v>
      </c>
      <c r="N8" s="208" t="s">
        <v>529</v>
      </c>
      <c r="O8" s="209"/>
      <c r="P8" s="208" t="s">
        <v>529</v>
      </c>
      <c r="Q8" s="209" t="s">
        <v>67</v>
      </c>
      <c r="R8" s="259" t="s">
        <v>67</v>
      </c>
      <c r="S8" s="272" t="s">
        <v>529</v>
      </c>
      <c r="T8" s="209"/>
      <c r="U8" s="208"/>
      <c r="V8" s="209" t="s">
        <v>529</v>
      </c>
      <c r="W8" s="208" t="s">
        <v>92</v>
      </c>
      <c r="X8" s="209" t="s">
        <v>49</v>
      </c>
      <c r="Y8" s="208"/>
      <c r="Z8" s="273"/>
      <c r="AA8" s="206" t="s">
        <v>530</v>
      </c>
      <c r="AB8" s="205"/>
      <c r="AC8" s="59"/>
      <c r="AD8" s="59">
        <v>1</v>
      </c>
      <c r="AE8" s="59"/>
      <c r="AF8" s="59"/>
      <c r="AG8" s="59"/>
      <c r="AH8" s="59"/>
      <c r="AI8" s="59"/>
      <c r="AJ8" s="277" t="s">
        <v>650</v>
      </c>
    </row>
    <row r="9" spans="1:36" s="1" customFormat="1" ht="39.75" customHeight="1" thickBot="1" x14ac:dyDescent="0.35">
      <c r="A9" s="203">
        <v>6</v>
      </c>
      <c r="B9" s="202" t="s">
        <v>673</v>
      </c>
      <c r="C9" s="199" t="s">
        <v>643</v>
      </c>
      <c r="D9" s="201" t="s">
        <v>601</v>
      </c>
      <c r="E9" s="260" t="s">
        <v>722</v>
      </c>
      <c r="F9" s="268" t="s">
        <v>163</v>
      </c>
      <c r="G9" s="199">
        <v>1</v>
      </c>
      <c r="H9" s="200" t="s">
        <v>68</v>
      </c>
      <c r="I9" s="199" t="s">
        <v>75</v>
      </c>
      <c r="J9" s="269" t="s">
        <v>121</v>
      </c>
      <c r="K9" s="263" t="s">
        <v>125</v>
      </c>
      <c r="L9" s="200" t="s">
        <v>67</v>
      </c>
      <c r="M9" s="199" t="s">
        <v>456</v>
      </c>
      <c r="N9" s="198" t="s">
        <v>529</v>
      </c>
      <c r="O9" s="199"/>
      <c r="P9" s="198"/>
      <c r="Q9" s="199" t="s">
        <v>67</v>
      </c>
      <c r="R9" s="260" t="s">
        <v>67</v>
      </c>
      <c r="S9" s="274" t="s">
        <v>529</v>
      </c>
      <c r="T9" s="199" t="s">
        <v>529</v>
      </c>
      <c r="U9" s="198"/>
      <c r="V9" s="199" t="s">
        <v>529</v>
      </c>
      <c r="W9" s="198" t="s">
        <v>91</v>
      </c>
      <c r="X9" s="199" t="s">
        <v>49</v>
      </c>
      <c r="Y9" s="198" t="s">
        <v>529</v>
      </c>
      <c r="Z9" s="275"/>
      <c r="AA9" s="196" t="s">
        <v>644</v>
      </c>
      <c r="AB9" s="195"/>
      <c r="AC9" s="66"/>
      <c r="AD9" s="66"/>
      <c r="AE9" s="66"/>
      <c r="AF9" s="66"/>
      <c r="AG9" s="66"/>
      <c r="AH9" s="66"/>
      <c r="AI9" s="66"/>
      <c r="AJ9" s="278" t="s">
        <v>737</v>
      </c>
    </row>
    <row r="10" spans="1:36" s="1" customFormat="1" ht="39.75" customHeight="1" x14ac:dyDescent="0.3">
      <c r="A10" s="226">
        <v>7</v>
      </c>
      <c r="B10" s="225" t="s">
        <v>674</v>
      </c>
      <c r="C10" s="222" t="s">
        <v>643</v>
      </c>
      <c r="D10" s="224" t="s">
        <v>601</v>
      </c>
      <c r="E10" s="258" t="s">
        <v>580</v>
      </c>
      <c r="F10" s="264" t="s">
        <v>163</v>
      </c>
      <c r="G10" s="222">
        <v>1</v>
      </c>
      <c r="H10" s="223" t="s">
        <v>68</v>
      </c>
      <c r="I10" s="222" t="s">
        <v>75</v>
      </c>
      <c r="J10" s="265" t="s">
        <v>121</v>
      </c>
      <c r="K10" s="261" t="s">
        <v>125</v>
      </c>
      <c r="L10" s="223" t="s">
        <v>67</v>
      </c>
      <c r="M10" s="222" t="s">
        <v>456</v>
      </c>
      <c r="N10" s="221" t="s">
        <v>529</v>
      </c>
      <c r="O10" s="222"/>
      <c r="P10" s="221"/>
      <c r="Q10" s="222" t="s">
        <v>67</v>
      </c>
      <c r="R10" s="258" t="s">
        <v>67</v>
      </c>
      <c r="S10" s="270"/>
      <c r="T10" s="222"/>
      <c r="U10" s="221"/>
      <c r="V10" s="222" t="s">
        <v>529</v>
      </c>
      <c r="W10" s="221" t="s">
        <v>92</v>
      </c>
      <c r="X10" s="222" t="s">
        <v>67</v>
      </c>
      <c r="Y10" s="221"/>
      <c r="Z10" s="271"/>
      <c r="AA10" s="219" t="s">
        <v>530</v>
      </c>
      <c r="AB10" s="218"/>
      <c r="AC10" s="63"/>
      <c r="AD10" s="63">
        <v>1</v>
      </c>
      <c r="AE10" s="63"/>
      <c r="AF10" s="63"/>
      <c r="AG10" s="63"/>
      <c r="AH10" s="63"/>
      <c r="AI10" s="63"/>
      <c r="AJ10" s="276" t="s">
        <v>737</v>
      </c>
    </row>
    <row r="11" spans="1:36" s="1" customFormat="1" ht="39.75" customHeight="1" x14ac:dyDescent="0.3">
      <c r="A11" s="213">
        <v>8</v>
      </c>
      <c r="B11" s="212" t="s">
        <v>675</v>
      </c>
      <c r="C11" s="209" t="s">
        <v>643</v>
      </c>
      <c r="D11" s="211" t="s">
        <v>601</v>
      </c>
      <c r="E11" s="259" t="s">
        <v>645</v>
      </c>
      <c r="F11" s="266" t="s">
        <v>163</v>
      </c>
      <c r="G11" s="209">
        <v>1</v>
      </c>
      <c r="H11" s="210" t="s">
        <v>68</v>
      </c>
      <c r="I11" s="209" t="s">
        <v>66</v>
      </c>
      <c r="J11" s="267" t="s">
        <v>121</v>
      </c>
      <c r="K11" s="262" t="s">
        <v>125</v>
      </c>
      <c r="L11" s="210" t="s">
        <v>67</v>
      </c>
      <c r="M11" s="209" t="s">
        <v>623</v>
      </c>
      <c r="N11" s="208"/>
      <c r="O11" s="209"/>
      <c r="P11" s="208"/>
      <c r="Q11" s="209" t="s">
        <v>67</v>
      </c>
      <c r="R11" s="259" t="s">
        <v>67</v>
      </c>
      <c r="S11" s="272" t="s">
        <v>529</v>
      </c>
      <c r="T11" s="209"/>
      <c r="U11" s="208"/>
      <c r="V11" s="209" t="s">
        <v>529</v>
      </c>
      <c r="W11" s="208" t="s">
        <v>92</v>
      </c>
      <c r="X11" s="209" t="s">
        <v>67</v>
      </c>
      <c r="Y11" s="208"/>
      <c r="Z11" s="273"/>
      <c r="AA11" s="206" t="s">
        <v>644</v>
      </c>
      <c r="AB11" s="205"/>
      <c r="AC11" s="59"/>
      <c r="AD11" s="59"/>
      <c r="AE11" s="59"/>
      <c r="AF11" s="59"/>
      <c r="AG11" s="59"/>
      <c r="AH11" s="59"/>
      <c r="AI11" s="59"/>
      <c r="AJ11" s="277"/>
    </row>
    <row r="12" spans="1:36" s="1" customFormat="1" ht="39.75" customHeight="1" x14ac:dyDescent="0.3">
      <c r="A12" s="213">
        <v>9</v>
      </c>
      <c r="B12" s="212" t="s">
        <v>676</v>
      </c>
      <c r="C12" s="209" t="s">
        <v>643</v>
      </c>
      <c r="D12" s="211" t="s">
        <v>601</v>
      </c>
      <c r="E12" s="259" t="s">
        <v>621</v>
      </c>
      <c r="F12" s="266" t="s">
        <v>163</v>
      </c>
      <c r="G12" s="209">
        <v>1</v>
      </c>
      <c r="H12" s="210" t="s">
        <v>68</v>
      </c>
      <c r="I12" s="209" t="s">
        <v>66</v>
      </c>
      <c r="J12" s="267" t="s">
        <v>44</v>
      </c>
      <c r="K12" s="262" t="s">
        <v>125</v>
      </c>
      <c r="L12" s="210" t="s">
        <v>67</v>
      </c>
      <c r="M12" s="209" t="s">
        <v>457</v>
      </c>
      <c r="N12" s="208"/>
      <c r="O12" s="209"/>
      <c r="P12" s="208"/>
      <c r="Q12" s="209" t="s">
        <v>67</v>
      </c>
      <c r="R12" s="259" t="s">
        <v>67</v>
      </c>
      <c r="S12" s="272" t="s">
        <v>529</v>
      </c>
      <c r="T12" s="209"/>
      <c r="U12" s="208"/>
      <c r="V12" s="209" t="s">
        <v>529</v>
      </c>
      <c r="W12" s="208" t="s">
        <v>91</v>
      </c>
      <c r="X12" s="209" t="s">
        <v>67</v>
      </c>
      <c r="Y12" s="208"/>
      <c r="Z12" s="273"/>
      <c r="AA12" s="206" t="s">
        <v>644</v>
      </c>
      <c r="AB12" s="205"/>
      <c r="AC12" s="59"/>
      <c r="AD12" s="59"/>
      <c r="AE12" s="59"/>
      <c r="AF12" s="59"/>
      <c r="AG12" s="59"/>
      <c r="AH12" s="59"/>
      <c r="AI12" s="59"/>
      <c r="AJ12" s="277" t="s">
        <v>749</v>
      </c>
    </row>
    <row r="13" spans="1:36" s="1" customFormat="1" ht="39.75" customHeight="1" x14ac:dyDescent="0.3">
      <c r="A13" s="213">
        <v>10</v>
      </c>
      <c r="B13" s="212" t="s">
        <v>677</v>
      </c>
      <c r="C13" s="209" t="s">
        <v>643</v>
      </c>
      <c r="D13" s="211" t="s">
        <v>646</v>
      </c>
      <c r="E13" s="259" t="s">
        <v>645</v>
      </c>
      <c r="F13" s="266" t="s">
        <v>163</v>
      </c>
      <c r="G13" s="209">
        <v>1</v>
      </c>
      <c r="H13" s="210" t="s">
        <v>68</v>
      </c>
      <c r="I13" s="209" t="s">
        <v>66</v>
      </c>
      <c r="J13" s="267" t="s">
        <v>44</v>
      </c>
      <c r="K13" s="262" t="s">
        <v>125</v>
      </c>
      <c r="L13" s="210" t="s">
        <v>67</v>
      </c>
      <c r="M13" s="209" t="s">
        <v>454</v>
      </c>
      <c r="N13" s="208"/>
      <c r="O13" s="209"/>
      <c r="P13" s="208"/>
      <c r="Q13" s="209" t="s">
        <v>67</v>
      </c>
      <c r="R13" s="259" t="s">
        <v>67</v>
      </c>
      <c r="S13" s="272" t="s">
        <v>529</v>
      </c>
      <c r="T13" s="209"/>
      <c r="U13" s="208"/>
      <c r="V13" s="209" t="s">
        <v>529</v>
      </c>
      <c r="W13" s="208" t="s">
        <v>92</v>
      </c>
      <c r="X13" s="209" t="s">
        <v>49</v>
      </c>
      <c r="Y13" s="208" t="s">
        <v>529</v>
      </c>
      <c r="Z13" s="273"/>
      <c r="AA13" s="206" t="s">
        <v>644</v>
      </c>
      <c r="AB13" s="205"/>
      <c r="AC13" s="59"/>
      <c r="AD13" s="59"/>
      <c r="AE13" s="59"/>
      <c r="AF13" s="59"/>
      <c r="AG13" s="59"/>
      <c r="AH13" s="59"/>
      <c r="AI13" s="59"/>
      <c r="AJ13" s="277"/>
    </row>
    <row r="14" spans="1:36" s="1" customFormat="1" ht="39.75" customHeight="1" x14ac:dyDescent="0.3">
      <c r="A14" s="213">
        <v>11</v>
      </c>
      <c r="B14" s="212" t="s">
        <v>678</v>
      </c>
      <c r="C14" s="209" t="s">
        <v>643</v>
      </c>
      <c r="D14" s="211" t="s">
        <v>601</v>
      </c>
      <c r="E14" s="259" t="s">
        <v>763</v>
      </c>
      <c r="F14" s="266" t="s">
        <v>604</v>
      </c>
      <c r="G14" s="209">
        <v>1</v>
      </c>
      <c r="H14" s="210" t="s">
        <v>68</v>
      </c>
      <c r="I14" s="209" t="s">
        <v>746</v>
      </c>
      <c r="J14" s="267" t="s">
        <v>121</v>
      </c>
      <c r="K14" s="262" t="s">
        <v>155</v>
      </c>
      <c r="L14" s="210" t="s">
        <v>67</v>
      </c>
      <c r="M14" s="209" t="s">
        <v>456</v>
      </c>
      <c r="N14" s="208" t="s">
        <v>529</v>
      </c>
      <c r="O14" s="209"/>
      <c r="P14" s="208"/>
      <c r="Q14" s="209" t="s">
        <v>67</v>
      </c>
      <c r="R14" s="259" t="s">
        <v>67</v>
      </c>
      <c r="S14" s="272" t="s">
        <v>529</v>
      </c>
      <c r="T14" s="209"/>
      <c r="U14" s="208"/>
      <c r="V14" s="209" t="s">
        <v>529</v>
      </c>
      <c r="W14" s="208" t="s">
        <v>92</v>
      </c>
      <c r="X14" s="209" t="s">
        <v>49</v>
      </c>
      <c r="Y14" s="208" t="s">
        <v>529</v>
      </c>
      <c r="Z14" s="273"/>
      <c r="AA14" s="206" t="s">
        <v>530</v>
      </c>
      <c r="AB14" s="205">
        <v>1</v>
      </c>
      <c r="AC14" s="59"/>
      <c r="AD14" s="59"/>
      <c r="AE14" s="59"/>
      <c r="AF14" s="59"/>
      <c r="AG14" s="59"/>
      <c r="AH14" s="59"/>
      <c r="AI14" s="59"/>
      <c r="AJ14" s="277" t="s">
        <v>751</v>
      </c>
    </row>
    <row r="15" spans="1:36" s="1" customFormat="1" ht="39.75" customHeight="1" thickBot="1" x14ac:dyDescent="0.35">
      <c r="A15" s="203">
        <v>12</v>
      </c>
      <c r="B15" s="202" t="s">
        <v>679</v>
      </c>
      <c r="C15" s="199" t="s">
        <v>643</v>
      </c>
      <c r="D15" s="201" t="s">
        <v>601</v>
      </c>
      <c r="E15" s="260" t="s">
        <v>612</v>
      </c>
      <c r="F15" s="268" t="s">
        <v>604</v>
      </c>
      <c r="G15" s="199">
        <v>1</v>
      </c>
      <c r="H15" s="200" t="s">
        <v>68</v>
      </c>
      <c r="I15" s="199" t="s">
        <v>66</v>
      </c>
      <c r="J15" s="269" t="s">
        <v>120</v>
      </c>
      <c r="K15" s="263" t="s">
        <v>155</v>
      </c>
      <c r="L15" s="200" t="s">
        <v>67</v>
      </c>
      <c r="M15" s="199" t="s">
        <v>456</v>
      </c>
      <c r="N15" s="198" t="s">
        <v>529</v>
      </c>
      <c r="O15" s="199"/>
      <c r="P15" s="198"/>
      <c r="Q15" s="199" t="s">
        <v>67</v>
      </c>
      <c r="R15" s="260" t="s">
        <v>67</v>
      </c>
      <c r="S15" s="274" t="s">
        <v>529</v>
      </c>
      <c r="T15" s="199"/>
      <c r="U15" s="198"/>
      <c r="V15" s="199" t="s">
        <v>529</v>
      </c>
      <c r="W15" s="198" t="s">
        <v>92</v>
      </c>
      <c r="X15" s="199" t="s">
        <v>48</v>
      </c>
      <c r="Y15" s="198" t="s">
        <v>529</v>
      </c>
      <c r="Z15" s="275"/>
      <c r="AA15" s="196" t="s">
        <v>530</v>
      </c>
      <c r="AB15" s="195">
        <v>1</v>
      </c>
      <c r="AC15" s="66"/>
      <c r="AD15" s="66"/>
      <c r="AE15" s="66"/>
      <c r="AF15" s="66"/>
      <c r="AG15" s="66"/>
      <c r="AH15" s="66"/>
      <c r="AI15" s="66"/>
      <c r="AJ15" s="278" t="s">
        <v>765</v>
      </c>
    </row>
    <row r="16" spans="1:36" s="1" customFormat="1" ht="39.75" customHeight="1" x14ac:dyDescent="0.3">
      <c r="A16" s="226">
        <v>13</v>
      </c>
      <c r="B16" s="225" t="s">
        <v>680</v>
      </c>
      <c r="C16" s="222" t="s">
        <v>640</v>
      </c>
      <c r="D16" s="224" t="s">
        <v>601</v>
      </c>
      <c r="E16" s="258" t="s">
        <v>723</v>
      </c>
      <c r="F16" s="264" t="s">
        <v>604</v>
      </c>
      <c r="G16" s="222">
        <v>1</v>
      </c>
      <c r="H16" s="223" t="s">
        <v>38</v>
      </c>
      <c r="I16" s="222" t="s">
        <v>66</v>
      </c>
      <c r="J16" s="265" t="s">
        <v>44</v>
      </c>
      <c r="K16" s="261" t="s">
        <v>155</v>
      </c>
      <c r="L16" s="223" t="s">
        <v>67</v>
      </c>
      <c r="M16" s="222" t="s">
        <v>456</v>
      </c>
      <c r="N16" s="221" t="s">
        <v>529</v>
      </c>
      <c r="O16" s="222"/>
      <c r="P16" s="221"/>
      <c r="Q16" s="222" t="s">
        <v>67</v>
      </c>
      <c r="R16" s="258" t="s">
        <v>67</v>
      </c>
      <c r="S16" s="270"/>
      <c r="T16" s="222"/>
      <c r="U16" s="221"/>
      <c r="V16" s="222" t="s">
        <v>529</v>
      </c>
      <c r="W16" s="221" t="s">
        <v>92</v>
      </c>
      <c r="X16" s="222" t="s">
        <v>67</v>
      </c>
      <c r="Y16" s="221"/>
      <c r="Z16" s="271"/>
      <c r="AA16" s="219" t="s">
        <v>530</v>
      </c>
      <c r="AB16" s="218"/>
      <c r="AC16" s="63"/>
      <c r="AD16" s="63">
        <v>1</v>
      </c>
      <c r="AE16" s="63"/>
      <c r="AF16" s="63"/>
      <c r="AG16" s="63"/>
      <c r="AH16" s="63"/>
      <c r="AI16" s="63"/>
      <c r="AJ16" s="276" t="s">
        <v>743</v>
      </c>
    </row>
    <row r="17" spans="1:36" s="1" customFormat="1" ht="39.75" customHeight="1" x14ac:dyDescent="0.3">
      <c r="A17" s="213">
        <v>14</v>
      </c>
      <c r="B17" s="212" t="s">
        <v>681</v>
      </c>
      <c r="C17" s="209" t="s">
        <v>640</v>
      </c>
      <c r="D17" s="211" t="s">
        <v>601</v>
      </c>
      <c r="E17" s="259" t="s">
        <v>612</v>
      </c>
      <c r="F17" s="266" t="s">
        <v>604</v>
      </c>
      <c r="G17" s="209">
        <v>1</v>
      </c>
      <c r="H17" s="210" t="s">
        <v>68</v>
      </c>
      <c r="I17" s="209" t="s">
        <v>66</v>
      </c>
      <c r="J17" s="267" t="s">
        <v>77</v>
      </c>
      <c r="K17" s="262" t="s">
        <v>155</v>
      </c>
      <c r="L17" s="210" t="s">
        <v>67</v>
      </c>
      <c r="M17" s="209" t="s">
        <v>456</v>
      </c>
      <c r="N17" s="208" t="s">
        <v>529</v>
      </c>
      <c r="O17" s="209"/>
      <c r="P17" s="208"/>
      <c r="Q17" s="209" t="s">
        <v>67</v>
      </c>
      <c r="R17" s="259" t="s">
        <v>67</v>
      </c>
      <c r="S17" s="272" t="s">
        <v>529</v>
      </c>
      <c r="T17" s="209"/>
      <c r="U17" s="208"/>
      <c r="V17" s="209" t="s">
        <v>529</v>
      </c>
      <c r="W17" s="208" t="s">
        <v>91</v>
      </c>
      <c r="X17" s="209" t="s">
        <v>49</v>
      </c>
      <c r="Y17" s="208" t="s">
        <v>529</v>
      </c>
      <c r="Z17" s="273"/>
      <c r="AA17" s="206" t="s">
        <v>530</v>
      </c>
      <c r="AB17" s="205">
        <v>1</v>
      </c>
      <c r="AC17" s="59"/>
      <c r="AD17" s="59"/>
      <c r="AE17" s="59"/>
      <c r="AF17" s="59"/>
      <c r="AG17" s="59"/>
      <c r="AH17" s="59"/>
      <c r="AI17" s="59"/>
      <c r="AJ17" s="277" t="s">
        <v>744</v>
      </c>
    </row>
    <row r="18" spans="1:36" s="1" customFormat="1" ht="39.75" customHeight="1" x14ac:dyDescent="0.3">
      <c r="A18" s="213">
        <v>15</v>
      </c>
      <c r="B18" s="212" t="s">
        <v>682</v>
      </c>
      <c r="C18" s="209" t="s">
        <v>640</v>
      </c>
      <c r="D18" s="211" t="s">
        <v>601</v>
      </c>
      <c r="E18" s="259" t="s">
        <v>641</v>
      </c>
      <c r="F18" s="266" t="s">
        <v>163</v>
      </c>
      <c r="G18" s="209">
        <v>1</v>
      </c>
      <c r="H18" s="210" t="s">
        <v>68</v>
      </c>
      <c r="I18" s="209" t="s">
        <v>75</v>
      </c>
      <c r="J18" s="267" t="s">
        <v>44</v>
      </c>
      <c r="K18" s="262" t="s">
        <v>139</v>
      </c>
      <c r="L18" s="210" t="s">
        <v>67</v>
      </c>
      <c r="M18" s="209" t="s">
        <v>457</v>
      </c>
      <c r="N18" s="208" t="s">
        <v>529</v>
      </c>
      <c r="O18" s="209"/>
      <c r="P18" s="208"/>
      <c r="Q18" s="209" t="s">
        <v>67</v>
      </c>
      <c r="R18" s="259" t="s">
        <v>67</v>
      </c>
      <c r="S18" s="272"/>
      <c r="T18" s="209"/>
      <c r="U18" s="208"/>
      <c r="V18" s="209" t="s">
        <v>529</v>
      </c>
      <c r="W18" s="208" t="s">
        <v>91</v>
      </c>
      <c r="X18" s="209" t="s">
        <v>67</v>
      </c>
      <c r="Y18" s="208" t="s">
        <v>529</v>
      </c>
      <c r="Z18" s="273"/>
      <c r="AA18" s="206" t="s">
        <v>644</v>
      </c>
      <c r="AB18" s="205"/>
      <c r="AC18" s="59"/>
      <c r="AD18" s="59"/>
      <c r="AE18" s="59"/>
      <c r="AF18" s="59"/>
      <c r="AG18" s="59"/>
      <c r="AH18" s="59"/>
      <c r="AI18" s="59"/>
      <c r="AJ18" s="277"/>
    </row>
    <row r="19" spans="1:36" s="1" customFormat="1" ht="39.75" customHeight="1" x14ac:dyDescent="0.3">
      <c r="A19" s="213">
        <v>16</v>
      </c>
      <c r="B19" s="212" t="s">
        <v>683</v>
      </c>
      <c r="C19" s="209" t="s">
        <v>640</v>
      </c>
      <c r="D19" s="211" t="s">
        <v>601</v>
      </c>
      <c r="E19" s="259" t="s">
        <v>639</v>
      </c>
      <c r="F19" s="266" t="s">
        <v>170</v>
      </c>
      <c r="G19" s="209">
        <v>2</v>
      </c>
      <c r="H19" s="210" t="s">
        <v>68</v>
      </c>
      <c r="I19" s="209" t="s">
        <v>66</v>
      </c>
      <c r="J19" s="267" t="s">
        <v>81</v>
      </c>
      <c r="K19" s="262" t="s">
        <v>127</v>
      </c>
      <c r="L19" s="210" t="s">
        <v>600</v>
      </c>
      <c r="M19" s="209" t="s">
        <v>456</v>
      </c>
      <c r="N19" s="208" t="s">
        <v>529</v>
      </c>
      <c r="O19" s="209"/>
      <c r="P19" s="208"/>
      <c r="Q19" s="209" t="s">
        <v>67</v>
      </c>
      <c r="R19" s="259" t="s">
        <v>67</v>
      </c>
      <c r="S19" s="272"/>
      <c r="T19" s="209"/>
      <c r="U19" s="208"/>
      <c r="V19" s="209" t="s">
        <v>529</v>
      </c>
      <c r="W19" s="208" t="s">
        <v>91</v>
      </c>
      <c r="X19" s="209" t="s">
        <v>67</v>
      </c>
      <c r="Y19" s="208"/>
      <c r="Z19" s="273"/>
      <c r="AA19" s="206" t="s">
        <v>644</v>
      </c>
      <c r="AB19" s="205"/>
      <c r="AC19" s="59"/>
      <c r="AD19" s="59"/>
      <c r="AE19" s="59"/>
      <c r="AF19" s="59"/>
      <c r="AG19" s="59"/>
      <c r="AH19" s="59"/>
      <c r="AI19" s="59"/>
      <c r="AJ19" s="277"/>
    </row>
    <row r="20" spans="1:36" s="1" customFormat="1" ht="39.75" customHeight="1" x14ac:dyDescent="0.3">
      <c r="A20" s="213">
        <v>17</v>
      </c>
      <c r="B20" s="212" t="s">
        <v>684</v>
      </c>
      <c r="C20" s="209" t="s">
        <v>636</v>
      </c>
      <c r="D20" s="211" t="s">
        <v>601</v>
      </c>
      <c r="E20" s="259" t="s">
        <v>724</v>
      </c>
      <c r="F20" s="266" t="s">
        <v>604</v>
      </c>
      <c r="G20" s="209">
        <v>1</v>
      </c>
      <c r="H20" s="210" t="s">
        <v>68</v>
      </c>
      <c r="I20" s="209" t="s">
        <v>66</v>
      </c>
      <c r="J20" s="267" t="s">
        <v>44</v>
      </c>
      <c r="K20" s="262" t="s">
        <v>155</v>
      </c>
      <c r="L20" s="210" t="s">
        <v>67</v>
      </c>
      <c r="M20" s="209" t="s">
        <v>623</v>
      </c>
      <c r="N20" s="208" t="s">
        <v>529</v>
      </c>
      <c r="O20" s="209"/>
      <c r="P20" s="208"/>
      <c r="Q20" s="209" t="s">
        <v>67</v>
      </c>
      <c r="R20" s="259" t="s">
        <v>67</v>
      </c>
      <c r="S20" s="272" t="s">
        <v>529</v>
      </c>
      <c r="T20" s="209"/>
      <c r="U20" s="208"/>
      <c r="V20" s="209" t="s">
        <v>529</v>
      </c>
      <c r="W20" s="208" t="s">
        <v>91</v>
      </c>
      <c r="X20" s="209" t="s">
        <v>67</v>
      </c>
      <c r="Y20" s="208"/>
      <c r="Z20" s="273"/>
      <c r="AA20" s="206" t="s">
        <v>530</v>
      </c>
      <c r="AB20" s="205">
        <v>1</v>
      </c>
      <c r="AC20" s="59"/>
      <c r="AD20" s="59"/>
      <c r="AE20" s="59"/>
      <c r="AF20" s="59"/>
      <c r="AG20" s="59"/>
      <c r="AH20" s="59"/>
      <c r="AI20" s="59"/>
      <c r="AJ20" s="277" t="s">
        <v>761</v>
      </c>
    </row>
    <row r="21" spans="1:36" s="1" customFormat="1" ht="39.75" customHeight="1" thickBot="1" x14ac:dyDescent="0.35">
      <c r="A21" s="203">
        <v>18</v>
      </c>
      <c r="B21" s="202" t="s">
        <v>685</v>
      </c>
      <c r="C21" s="199" t="s">
        <v>636</v>
      </c>
      <c r="D21" s="201" t="s">
        <v>601</v>
      </c>
      <c r="E21" s="260" t="s">
        <v>612</v>
      </c>
      <c r="F21" s="268" t="s">
        <v>604</v>
      </c>
      <c r="G21" s="199">
        <v>1</v>
      </c>
      <c r="H21" s="200" t="s">
        <v>68</v>
      </c>
      <c r="I21" s="199" t="s">
        <v>66</v>
      </c>
      <c r="J21" s="269" t="s">
        <v>120</v>
      </c>
      <c r="K21" s="263" t="s">
        <v>155</v>
      </c>
      <c r="L21" s="200" t="s">
        <v>67</v>
      </c>
      <c r="M21" s="199" t="s">
        <v>456</v>
      </c>
      <c r="N21" s="198" t="s">
        <v>529</v>
      </c>
      <c r="O21" s="199"/>
      <c r="P21" s="198"/>
      <c r="Q21" s="199" t="s">
        <v>67</v>
      </c>
      <c r="R21" s="260" t="s">
        <v>67</v>
      </c>
      <c r="S21" s="274" t="s">
        <v>529</v>
      </c>
      <c r="T21" s="199" t="s">
        <v>529</v>
      </c>
      <c r="U21" s="198"/>
      <c r="V21" s="199" t="s">
        <v>529</v>
      </c>
      <c r="W21" s="198" t="s">
        <v>92</v>
      </c>
      <c r="X21" s="199" t="s">
        <v>49</v>
      </c>
      <c r="Y21" s="198" t="s">
        <v>529</v>
      </c>
      <c r="Z21" s="275"/>
      <c r="AA21" s="196" t="s">
        <v>530</v>
      </c>
      <c r="AB21" s="195">
        <v>1</v>
      </c>
      <c r="AC21" s="66"/>
      <c r="AD21" s="66"/>
      <c r="AE21" s="66"/>
      <c r="AF21" s="66"/>
      <c r="AG21" s="66"/>
      <c r="AH21" s="66"/>
      <c r="AI21" s="66"/>
      <c r="AJ21" s="278" t="s">
        <v>745</v>
      </c>
    </row>
    <row r="22" spans="1:36" s="1" customFormat="1" ht="39.75" customHeight="1" x14ac:dyDescent="0.3">
      <c r="A22" s="226">
        <v>19</v>
      </c>
      <c r="B22" s="225" t="s">
        <v>686</v>
      </c>
      <c r="C22" s="222" t="s">
        <v>636</v>
      </c>
      <c r="D22" s="224" t="s">
        <v>601</v>
      </c>
      <c r="E22" s="258" t="s">
        <v>637</v>
      </c>
      <c r="F22" s="264" t="s">
        <v>163</v>
      </c>
      <c r="G22" s="222">
        <v>1</v>
      </c>
      <c r="H22" s="223" t="s">
        <v>68</v>
      </c>
      <c r="I22" s="222" t="s">
        <v>75</v>
      </c>
      <c r="J22" s="265" t="s">
        <v>77</v>
      </c>
      <c r="K22" s="261" t="s">
        <v>131</v>
      </c>
      <c r="L22" s="223" t="s">
        <v>67</v>
      </c>
      <c r="M22" s="222" t="s">
        <v>456</v>
      </c>
      <c r="N22" s="221" t="s">
        <v>529</v>
      </c>
      <c r="O22" s="222"/>
      <c r="P22" s="221"/>
      <c r="Q22" s="222" t="s">
        <v>67</v>
      </c>
      <c r="R22" s="258" t="s">
        <v>67</v>
      </c>
      <c r="S22" s="270" t="s">
        <v>529</v>
      </c>
      <c r="T22" s="222" t="s">
        <v>529</v>
      </c>
      <c r="U22" s="221"/>
      <c r="V22" s="222" t="s">
        <v>529</v>
      </c>
      <c r="W22" s="221" t="s">
        <v>91</v>
      </c>
      <c r="X22" s="222" t="s">
        <v>49</v>
      </c>
      <c r="Y22" s="221" t="s">
        <v>529</v>
      </c>
      <c r="Z22" s="271"/>
      <c r="AA22" s="219" t="s">
        <v>644</v>
      </c>
      <c r="AB22" s="218"/>
      <c r="AC22" s="63"/>
      <c r="AD22" s="63"/>
      <c r="AE22" s="63"/>
      <c r="AF22" s="63"/>
      <c r="AG22" s="63"/>
      <c r="AH22" s="63"/>
      <c r="AI22" s="63"/>
      <c r="AJ22" s="276" t="s">
        <v>737</v>
      </c>
    </row>
    <row r="23" spans="1:36" s="1" customFormat="1" ht="39.75" customHeight="1" x14ac:dyDescent="0.3">
      <c r="A23" s="213">
        <v>20</v>
      </c>
      <c r="B23" s="212" t="s">
        <v>687</v>
      </c>
      <c r="C23" s="209" t="s">
        <v>636</v>
      </c>
      <c r="D23" s="211" t="s">
        <v>601</v>
      </c>
      <c r="E23" s="259" t="s">
        <v>725</v>
      </c>
      <c r="F23" s="266" t="s">
        <v>163</v>
      </c>
      <c r="G23" s="209">
        <v>1</v>
      </c>
      <c r="H23" s="210" t="s">
        <v>68</v>
      </c>
      <c r="I23" s="209" t="s">
        <v>75</v>
      </c>
      <c r="J23" s="267" t="s">
        <v>44</v>
      </c>
      <c r="K23" s="262" t="s">
        <v>124</v>
      </c>
      <c r="L23" s="210" t="s">
        <v>67</v>
      </c>
      <c r="M23" s="209" t="s">
        <v>456</v>
      </c>
      <c r="N23" s="208" t="s">
        <v>529</v>
      </c>
      <c r="O23" s="209"/>
      <c r="P23" s="208"/>
      <c r="Q23" s="209" t="s">
        <v>67</v>
      </c>
      <c r="R23" s="259" t="s">
        <v>67</v>
      </c>
      <c r="S23" s="272"/>
      <c r="T23" s="209" t="s">
        <v>529</v>
      </c>
      <c r="U23" s="208"/>
      <c r="V23" s="209" t="s">
        <v>529</v>
      </c>
      <c r="W23" s="208" t="s">
        <v>91</v>
      </c>
      <c r="X23" s="209" t="s">
        <v>67</v>
      </c>
      <c r="Y23" s="208" t="s">
        <v>529</v>
      </c>
      <c r="Z23" s="273"/>
      <c r="AA23" s="206" t="s">
        <v>644</v>
      </c>
      <c r="AB23" s="205"/>
      <c r="AC23" s="59"/>
      <c r="AD23" s="59"/>
      <c r="AE23" s="59"/>
      <c r="AF23" s="59"/>
      <c r="AG23" s="59"/>
      <c r="AH23" s="59"/>
      <c r="AI23" s="59"/>
      <c r="AJ23" s="277" t="s">
        <v>760</v>
      </c>
    </row>
    <row r="24" spans="1:36" s="1" customFormat="1" ht="39.75" customHeight="1" x14ac:dyDescent="0.3">
      <c r="A24" s="213">
        <v>21</v>
      </c>
      <c r="B24" s="212" t="s">
        <v>688</v>
      </c>
      <c r="C24" s="209" t="s">
        <v>631</v>
      </c>
      <c r="D24" s="211" t="s">
        <v>601</v>
      </c>
      <c r="E24" s="259" t="s">
        <v>618</v>
      </c>
      <c r="F24" s="266" t="s">
        <v>604</v>
      </c>
      <c r="G24" s="209">
        <v>1</v>
      </c>
      <c r="H24" s="210" t="s">
        <v>68</v>
      </c>
      <c r="I24" s="209" t="s">
        <v>66</v>
      </c>
      <c r="J24" s="267" t="s">
        <v>44</v>
      </c>
      <c r="K24" s="262" t="s">
        <v>155</v>
      </c>
      <c r="L24" s="210" t="s">
        <v>67</v>
      </c>
      <c r="M24" s="209" t="s">
        <v>623</v>
      </c>
      <c r="N24" s="208" t="s">
        <v>529</v>
      </c>
      <c r="O24" s="209"/>
      <c r="P24" s="208"/>
      <c r="Q24" s="209" t="s">
        <v>67</v>
      </c>
      <c r="R24" s="259" t="s">
        <v>67</v>
      </c>
      <c r="S24" s="272" t="s">
        <v>529</v>
      </c>
      <c r="T24" s="209"/>
      <c r="U24" s="208"/>
      <c r="V24" s="209" t="s">
        <v>529</v>
      </c>
      <c r="W24" s="208" t="s">
        <v>92</v>
      </c>
      <c r="X24" s="209" t="s">
        <v>67</v>
      </c>
      <c r="Y24" s="208"/>
      <c r="Z24" s="273"/>
      <c r="AA24" s="206" t="s">
        <v>530</v>
      </c>
      <c r="AB24" s="205">
        <v>1</v>
      </c>
      <c r="AC24" s="59"/>
      <c r="AD24" s="59"/>
      <c r="AE24" s="59"/>
      <c r="AF24" s="59"/>
      <c r="AG24" s="59"/>
      <c r="AH24" s="59"/>
      <c r="AI24" s="59"/>
      <c r="AJ24" s="277" t="s">
        <v>753</v>
      </c>
    </row>
    <row r="25" spans="1:36" s="1" customFormat="1" ht="39.75" customHeight="1" x14ac:dyDescent="0.3">
      <c r="A25" s="213">
        <v>22</v>
      </c>
      <c r="B25" s="212" t="s">
        <v>689</v>
      </c>
      <c r="C25" s="209" t="s">
        <v>631</v>
      </c>
      <c r="D25" s="211" t="s">
        <v>601</v>
      </c>
      <c r="E25" s="259" t="s">
        <v>726</v>
      </c>
      <c r="F25" s="266" t="s">
        <v>604</v>
      </c>
      <c r="G25" s="209">
        <v>1</v>
      </c>
      <c r="H25" s="210" t="s">
        <v>68</v>
      </c>
      <c r="I25" s="209" t="s">
        <v>66</v>
      </c>
      <c r="J25" s="267" t="s">
        <v>77</v>
      </c>
      <c r="K25" s="262" t="s">
        <v>155</v>
      </c>
      <c r="L25" s="210" t="s">
        <v>67</v>
      </c>
      <c r="M25" s="209" t="s">
        <v>623</v>
      </c>
      <c r="N25" s="208" t="s">
        <v>529</v>
      </c>
      <c r="O25" s="209"/>
      <c r="P25" s="208"/>
      <c r="Q25" s="209" t="s">
        <v>67</v>
      </c>
      <c r="R25" s="259" t="s">
        <v>67</v>
      </c>
      <c r="S25" s="272" t="s">
        <v>529</v>
      </c>
      <c r="T25" s="209"/>
      <c r="U25" s="208"/>
      <c r="V25" s="209" t="s">
        <v>529</v>
      </c>
      <c r="W25" s="208" t="s">
        <v>92</v>
      </c>
      <c r="X25" s="209" t="s">
        <v>67</v>
      </c>
      <c r="Y25" s="208"/>
      <c r="Z25" s="273"/>
      <c r="AA25" s="206" t="s">
        <v>530</v>
      </c>
      <c r="AB25" s="205">
        <v>1</v>
      </c>
      <c r="AC25" s="59"/>
      <c r="AD25" s="59"/>
      <c r="AE25" s="59"/>
      <c r="AF25" s="59"/>
      <c r="AG25" s="59"/>
      <c r="AH25" s="59"/>
      <c r="AI25" s="59"/>
      <c r="AJ25" s="277" t="s">
        <v>754</v>
      </c>
    </row>
    <row r="26" spans="1:36" s="1" customFormat="1" ht="39.75" customHeight="1" x14ac:dyDescent="0.3">
      <c r="A26" s="213">
        <v>23</v>
      </c>
      <c r="B26" s="212" t="s">
        <v>690</v>
      </c>
      <c r="C26" s="209" t="s">
        <v>631</v>
      </c>
      <c r="D26" s="211" t="s">
        <v>601</v>
      </c>
      <c r="E26" s="259" t="s">
        <v>727</v>
      </c>
      <c r="F26" s="266" t="s">
        <v>170</v>
      </c>
      <c r="G26" s="209">
        <v>2</v>
      </c>
      <c r="H26" s="210" t="s">
        <v>68</v>
      </c>
      <c r="I26" s="209" t="s">
        <v>633</v>
      </c>
      <c r="J26" s="267" t="s">
        <v>80</v>
      </c>
      <c r="K26" s="262" t="s">
        <v>131</v>
      </c>
      <c r="L26" s="210" t="s">
        <v>600</v>
      </c>
      <c r="M26" s="209" t="s">
        <v>456</v>
      </c>
      <c r="N26" s="208" t="s">
        <v>529</v>
      </c>
      <c r="O26" s="209"/>
      <c r="P26" s="208"/>
      <c r="Q26" s="209" t="s">
        <v>67</v>
      </c>
      <c r="R26" s="259" t="s">
        <v>67</v>
      </c>
      <c r="S26" s="272"/>
      <c r="T26" s="209" t="s">
        <v>529</v>
      </c>
      <c r="U26" s="208"/>
      <c r="V26" s="209" t="s">
        <v>529</v>
      </c>
      <c r="W26" s="208" t="s">
        <v>91</v>
      </c>
      <c r="X26" s="209" t="s">
        <v>67</v>
      </c>
      <c r="Y26" s="208" t="s">
        <v>529</v>
      </c>
      <c r="Z26" s="273"/>
      <c r="AA26" s="206" t="s">
        <v>530</v>
      </c>
      <c r="AB26" s="205"/>
      <c r="AC26" s="59"/>
      <c r="AD26" s="59"/>
      <c r="AE26" s="59">
        <v>1</v>
      </c>
      <c r="AF26" s="59"/>
      <c r="AG26" s="59"/>
      <c r="AH26" s="59"/>
      <c r="AI26" s="59"/>
      <c r="AJ26" s="277" t="s">
        <v>755</v>
      </c>
    </row>
    <row r="27" spans="1:36" s="1" customFormat="1" ht="39.75" customHeight="1" thickBot="1" x14ac:dyDescent="0.35">
      <c r="A27" s="203">
        <v>24</v>
      </c>
      <c r="B27" s="202" t="s">
        <v>691</v>
      </c>
      <c r="C27" s="199" t="s">
        <v>631</v>
      </c>
      <c r="D27" s="201" t="s">
        <v>601</v>
      </c>
      <c r="E27" s="260" t="s">
        <v>727</v>
      </c>
      <c r="F27" s="268" t="s">
        <v>163</v>
      </c>
      <c r="G27" s="199">
        <v>1</v>
      </c>
      <c r="H27" s="200" t="s">
        <v>68</v>
      </c>
      <c r="I27" s="199" t="s">
        <v>75</v>
      </c>
      <c r="J27" s="269" t="s">
        <v>120</v>
      </c>
      <c r="K27" s="263" t="s">
        <v>125</v>
      </c>
      <c r="L27" s="200" t="s">
        <v>67</v>
      </c>
      <c r="M27" s="199" t="s">
        <v>457</v>
      </c>
      <c r="N27" s="198"/>
      <c r="O27" s="199"/>
      <c r="P27" s="198"/>
      <c r="Q27" s="199" t="s">
        <v>67</v>
      </c>
      <c r="R27" s="260" t="s">
        <v>67</v>
      </c>
      <c r="S27" s="274"/>
      <c r="T27" s="199"/>
      <c r="U27" s="198"/>
      <c r="V27" s="199" t="s">
        <v>529</v>
      </c>
      <c r="W27" s="198" t="s">
        <v>92</v>
      </c>
      <c r="X27" s="199" t="s">
        <v>67</v>
      </c>
      <c r="Y27" s="198"/>
      <c r="Z27" s="275"/>
      <c r="AA27" s="206" t="s">
        <v>530</v>
      </c>
      <c r="AB27" s="195"/>
      <c r="AC27" s="66"/>
      <c r="AD27" s="66"/>
      <c r="AE27" s="66"/>
      <c r="AF27" s="66"/>
      <c r="AG27" s="66">
        <v>1</v>
      </c>
      <c r="AH27" s="66"/>
      <c r="AI27" s="66"/>
      <c r="AJ27" s="278" t="s">
        <v>764</v>
      </c>
    </row>
    <row r="28" spans="1:36" s="1" customFormat="1" ht="39.75" customHeight="1" x14ac:dyDescent="0.3">
      <c r="A28" s="226">
        <v>25</v>
      </c>
      <c r="B28" s="225" t="s">
        <v>692</v>
      </c>
      <c r="C28" s="222" t="s">
        <v>631</v>
      </c>
      <c r="D28" s="224" t="s">
        <v>601</v>
      </c>
      <c r="E28" s="258" t="s">
        <v>727</v>
      </c>
      <c r="F28" s="264" t="s">
        <v>163</v>
      </c>
      <c r="G28" s="222">
        <v>1</v>
      </c>
      <c r="H28" s="223" t="s">
        <v>68</v>
      </c>
      <c r="I28" s="222" t="s">
        <v>75</v>
      </c>
      <c r="J28" s="265" t="s">
        <v>120</v>
      </c>
      <c r="K28" s="261" t="s">
        <v>131</v>
      </c>
      <c r="L28" s="223" t="s">
        <v>67</v>
      </c>
      <c r="M28" s="222" t="s">
        <v>457</v>
      </c>
      <c r="N28" s="221" t="s">
        <v>529</v>
      </c>
      <c r="O28" s="222"/>
      <c r="P28" s="221"/>
      <c r="Q28" s="222" t="s">
        <v>67</v>
      </c>
      <c r="R28" s="258" t="s">
        <v>67</v>
      </c>
      <c r="S28" s="270"/>
      <c r="T28" s="222"/>
      <c r="U28" s="221"/>
      <c r="V28" s="222" t="s">
        <v>529</v>
      </c>
      <c r="W28" s="221" t="s">
        <v>91</v>
      </c>
      <c r="X28" s="222" t="s">
        <v>67</v>
      </c>
      <c r="Y28" s="221"/>
      <c r="Z28" s="271"/>
      <c r="AA28" s="206" t="s">
        <v>530</v>
      </c>
      <c r="AB28" s="218"/>
      <c r="AC28" s="63"/>
      <c r="AD28" s="63"/>
      <c r="AE28" s="63"/>
      <c r="AF28" s="63">
        <v>1</v>
      </c>
      <c r="AG28" s="63"/>
      <c r="AH28" s="63"/>
      <c r="AI28" s="63"/>
      <c r="AJ28" s="276" t="s">
        <v>756</v>
      </c>
    </row>
    <row r="29" spans="1:36" s="1" customFormat="1" ht="39.75" customHeight="1" x14ac:dyDescent="0.3">
      <c r="A29" s="213">
        <v>26</v>
      </c>
      <c r="B29" s="212" t="s">
        <v>693</v>
      </c>
      <c r="C29" s="209" t="s">
        <v>626</v>
      </c>
      <c r="D29" s="211" t="s">
        <v>601</v>
      </c>
      <c r="E29" s="259" t="s">
        <v>573</v>
      </c>
      <c r="F29" s="266" t="s">
        <v>163</v>
      </c>
      <c r="G29" s="209">
        <v>1</v>
      </c>
      <c r="H29" s="210" t="s">
        <v>68</v>
      </c>
      <c r="I29" s="209" t="s">
        <v>746</v>
      </c>
      <c r="J29" s="267" t="s">
        <v>77</v>
      </c>
      <c r="K29" s="262" t="s">
        <v>155</v>
      </c>
      <c r="L29" s="210" t="s">
        <v>67</v>
      </c>
      <c r="M29" s="209" t="s">
        <v>454</v>
      </c>
      <c r="N29" s="208" t="s">
        <v>529</v>
      </c>
      <c r="O29" s="209"/>
      <c r="P29" s="208"/>
      <c r="Q29" s="209" t="s">
        <v>67</v>
      </c>
      <c r="R29" s="259" t="s">
        <v>67</v>
      </c>
      <c r="S29" s="272" t="s">
        <v>529</v>
      </c>
      <c r="T29" s="209"/>
      <c r="U29" s="208"/>
      <c r="V29" s="209" t="s">
        <v>529</v>
      </c>
      <c r="W29" s="208" t="s">
        <v>92</v>
      </c>
      <c r="X29" s="209" t="s">
        <v>67</v>
      </c>
      <c r="Y29" s="208"/>
      <c r="Z29" s="273"/>
      <c r="AA29" s="206" t="s">
        <v>530</v>
      </c>
      <c r="AB29" s="205"/>
      <c r="AC29" s="59">
        <v>1</v>
      </c>
      <c r="AD29" s="59"/>
      <c r="AE29" s="59"/>
      <c r="AF29" s="59"/>
      <c r="AG29" s="59"/>
      <c r="AH29" s="59"/>
      <c r="AI29" s="59"/>
      <c r="AJ29" s="277" t="s">
        <v>629</v>
      </c>
    </row>
    <row r="30" spans="1:36" s="1" customFormat="1" ht="39.75" customHeight="1" x14ac:dyDescent="0.3">
      <c r="A30" s="213">
        <v>27</v>
      </c>
      <c r="B30" s="212" t="s">
        <v>694</v>
      </c>
      <c r="C30" s="209" t="s">
        <v>626</v>
      </c>
      <c r="D30" s="211" t="s">
        <v>601</v>
      </c>
      <c r="E30" s="259" t="s">
        <v>728</v>
      </c>
      <c r="F30" s="266" t="s">
        <v>163</v>
      </c>
      <c r="G30" s="209">
        <v>1</v>
      </c>
      <c r="H30" s="210" t="s">
        <v>68</v>
      </c>
      <c r="I30" s="209" t="s">
        <v>66</v>
      </c>
      <c r="J30" s="267" t="s">
        <v>120</v>
      </c>
      <c r="K30" s="262" t="s">
        <v>125</v>
      </c>
      <c r="L30" s="210" t="s">
        <v>67</v>
      </c>
      <c r="M30" s="209" t="s">
        <v>456</v>
      </c>
      <c r="N30" s="208" t="s">
        <v>529</v>
      </c>
      <c r="O30" s="209"/>
      <c r="P30" s="208"/>
      <c r="Q30" s="209" t="s">
        <v>67</v>
      </c>
      <c r="R30" s="259" t="s">
        <v>67</v>
      </c>
      <c r="S30" s="272" t="s">
        <v>529</v>
      </c>
      <c r="T30" s="209"/>
      <c r="U30" s="208"/>
      <c r="V30" s="209" t="s">
        <v>529</v>
      </c>
      <c r="W30" s="208" t="s">
        <v>92</v>
      </c>
      <c r="X30" s="209" t="s">
        <v>67</v>
      </c>
      <c r="Y30" s="208" t="s">
        <v>529</v>
      </c>
      <c r="Z30" s="273"/>
      <c r="AA30" s="206" t="s">
        <v>530</v>
      </c>
      <c r="AB30" s="205"/>
      <c r="AC30" s="59">
        <v>1</v>
      </c>
      <c r="AD30" s="59"/>
      <c r="AE30" s="59"/>
      <c r="AF30" s="59"/>
      <c r="AG30" s="59"/>
      <c r="AH30" s="59"/>
      <c r="AI30" s="59"/>
      <c r="AJ30" s="277" t="s">
        <v>695</v>
      </c>
    </row>
    <row r="31" spans="1:36" s="1" customFormat="1" ht="39.75" customHeight="1" x14ac:dyDescent="0.3">
      <c r="A31" s="213">
        <v>28</v>
      </c>
      <c r="B31" s="212" t="s">
        <v>696</v>
      </c>
      <c r="C31" s="209" t="s">
        <v>626</v>
      </c>
      <c r="D31" s="211" t="s">
        <v>601</v>
      </c>
      <c r="E31" s="259" t="s">
        <v>618</v>
      </c>
      <c r="F31" s="266" t="s">
        <v>604</v>
      </c>
      <c r="G31" s="209">
        <v>1</v>
      </c>
      <c r="H31" s="210" t="s">
        <v>68</v>
      </c>
      <c r="I31" s="209" t="s">
        <v>66</v>
      </c>
      <c r="J31" s="267" t="s">
        <v>121</v>
      </c>
      <c r="K31" s="262" t="s">
        <v>155</v>
      </c>
      <c r="L31" s="210" t="s">
        <v>67</v>
      </c>
      <c r="M31" s="209" t="s">
        <v>457</v>
      </c>
      <c r="N31" s="208" t="s">
        <v>529</v>
      </c>
      <c r="O31" s="209"/>
      <c r="P31" s="208"/>
      <c r="Q31" s="209" t="s">
        <v>67</v>
      </c>
      <c r="R31" s="259" t="s">
        <v>67</v>
      </c>
      <c r="S31" s="272" t="s">
        <v>529</v>
      </c>
      <c r="T31" s="209"/>
      <c r="U31" s="208"/>
      <c r="V31" s="209" t="s">
        <v>529</v>
      </c>
      <c r="W31" s="208" t="s">
        <v>92</v>
      </c>
      <c r="X31" s="209" t="s">
        <v>67</v>
      </c>
      <c r="Y31" s="208"/>
      <c r="Z31" s="273"/>
      <c r="AA31" s="206" t="s">
        <v>530</v>
      </c>
      <c r="AB31" s="205"/>
      <c r="AC31" s="59"/>
      <c r="AD31" s="59">
        <v>1</v>
      </c>
      <c r="AE31" s="59"/>
      <c r="AF31" s="59"/>
      <c r="AG31" s="59"/>
      <c r="AH31" s="59"/>
      <c r="AI31" s="59"/>
      <c r="AJ31" s="277" t="s">
        <v>627</v>
      </c>
    </row>
    <row r="32" spans="1:36" s="1" customFormat="1" ht="39.75" customHeight="1" x14ac:dyDescent="0.3">
      <c r="A32" s="213">
        <v>29</v>
      </c>
      <c r="B32" s="212" t="s">
        <v>697</v>
      </c>
      <c r="C32" s="209" t="s">
        <v>626</v>
      </c>
      <c r="D32" s="211" t="s">
        <v>601</v>
      </c>
      <c r="E32" s="259" t="s">
        <v>612</v>
      </c>
      <c r="F32" s="266" t="s">
        <v>604</v>
      </c>
      <c r="G32" s="209">
        <v>1</v>
      </c>
      <c r="H32" s="210" t="s">
        <v>68</v>
      </c>
      <c r="I32" s="209" t="s">
        <v>746</v>
      </c>
      <c r="J32" s="267" t="s">
        <v>120</v>
      </c>
      <c r="K32" s="262" t="s">
        <v>155</v>
      </c>
      <c r="L32" s="210" t="s">
        <v>67</v>
      </c>
      <c r="M32" s="209" t="s">
        <v>456</v>
      </c>
      <c r="N32" s="208" t="s">
        <v>529</v>
      </c>
      <c r="O32" s="209"/>
      <c r="P32" s="208"/>
      <c r="Q32" s="209" t="s">
        <v>67</v>
      </c>
      <c r="R32" s="259" t="s">
        <v>67</v>
      </c>
      <c r="S32" s="272" t="s">
        <v>529</v>
      </c>
      <c r="T32" s="209" t="s">
        <v>529</v>
      </c>
      <c r="U32" s="208"/>
      <c r="V32" s="209" t="s">
        <v>529</v>
      </c>
      <c r="W32" s="208" t="s">
        <v>92</v>
      </c>
      <c r="X32" s="209" t="s">
        <v>49</v>
      </c>
      <c r="Y32" s="208" t="s">
        <v>529</v>
      </c>
      <c r="Z32" s="273"/>
      <c r="AA32" s="206" t="s">
        <v>530</v>
      </c>
      <c r="AB32" s="205">
        <v>1</v>
      </c>
      <c r="AC32" s="59"/>
      <c r="AD32" s="59"/>
      <c r="AE32" s="59"/>
      <c r="AF32" s="59"/>
      <c r="AG32" s="59"/>
      <c r="AH32" s="59"/>
      <c r="AI32" s="59"/>
      <c r="AJ32" s="277" t="s">
        <v>747</v>
      </c>
    </row>
    <row r="33" spans="1:36" s="1" customFormat="1" ht="39.75" customHeight="1" thickBot="1" x14ac:dyDescent="0.35">
      <c r="A33" s="203">
        <v>30</v>
      </c>
      <c r="B33" s="202" t="s">
        <v>698</v>
      </c>
      <c r="C33" s="199" t="s">
        <v>620</v>
      </c>
      <c r="D33" s="201" t="s">
        <v>621</v>
      </c>
      <c r="E33" s="260" t="s">
        <v>618</v>
      </c>
      <c r="F33" s="268" t="s">
        <v>604</v>
      </c>
      <c r="G33" s="199">
        <v>1</v>
      </c>
      <c r="H33" s="200" t="s">
        <v>68</v>
      </c>
      <c r="I33" s="199" t="s">
        <v>66</v>
      </c>
      <c r="J33" s="269" t="s">
        <v>121</v>
      </c>
      <c r="K33" s="263" t="s">
        <v>155</v>
      </c>
      <c r="L33" s="200" t="s">
        <v>67</v>
      </c>
      <c r="M33" s="199" t="s">
        <v>66</v>
      </c>
      <c r="N33" s="198" t="s">
        <v>529</v>
      </c>
      <c r="O33" s="199"/>
      <c r="P33" s="198"/>
      <c r="Q33" s="199" t="s">
        <v>67</v>
      </c>
      <c r="R33" s="260" t="s">
        <v>67</v>
      </c>
      <c r="S33" s="274"/>
      <c r="T33" s="199"/>
      <c r="U33" s="198"/>
      <c r="V33" s="199"/>
      <c r="W33" s="198" t="s">
        <v>92</v>
      </c>
      <c r="X33" s="199" t="s">
        <v>67</v>
      </c>
      <c r="Y33" s="198"/>
      <c r="Z33" s="275"/>
      <c r="AA33" s="206" t="s">
        <v>530</v>
      </c>
      <c r="AB33" s="195"/>
      <c r="AC33" s="66"/>
      <c r="AD33" s="66">
        <v>1</v>
      </c>
      <c r="AE33" s="66"/>
      <c r="AF33" s="66"/>
      <c r="AG33" s="66"/>
      <c r="AH33" s="66"/>
      <c r="AI33" s="66"/>
      <c r="AJ33" s="278" t="s">
        <v>654</v>
      </c>
    </row>
    <row r="34" spans="1:36" s="1" customFormat="1" ht="39.75" customHeight="1" x14ac:dyDescent="0.3">
      <c r="A34" s="226">
        <v>31</v>
      </c>
      <c r="B34" s="225" t="s">
        <v>699</v>
      </c>
      <c r="C34" s="222" t="s">
        <v>620</v>
      </c>
      <c r="D34" s="224" t="s">
        <v>601</v>
      </c>
      <c r="E34" s="258" t="s">
        <v>612</v>
      </c>
      <c r="F34" s="264" t="s">
        <v>604</v>
      </c>
      <c r="G34" s="222">
        <v>1</v>
      </c>
      <c r="H34" s="223" t="s">
        <v>68</v>
      </c>
      <c r="I34" s="222" t="s">
        <v>66</v>
      </c>
      <c r="J34" s="265" t="s">
        <v>77</v>
      </c>
      <c r="K34" s="261" t="s">
        <v>155</v>
      </c>
      <c r="L34" s="223" t="s">
        <v>67</v>
      </c>
      <c r="M34" s="222" t="s">
        <v>623</v>
      </c>
      <c r="N34" s="221" t="s">
        <v>529</v>
      </c>
      <c r="O34" s="222"/>
      <c r="P34" s="221"/>
      <c r="Q34" s="222" t="s">
        <v>67</v>
      </c>
      <c r="R34" s="258" t="s">
        <v>67</v>
      </c>
      <c r="S34" s="270" t="s">
        <v>529</v>
      </c>
      <c r="T34" s="222" t="s">
        <v>529</v>
      </c>
      <c r="U34" s="221"/>
      <c r="V34" s="222" t="s">
        <v>529</v>
      </c>
      <c r="W34" s="221" t="s">
        <v>91</v>
      </c>
      <c r="X34" s="222" t="s">
        <v>67</v>
      </c>
      <c r="Y34" s="221" t="s">
        <v>529</v>
      </c>
      <c r="Z34" s="271"/>
      <c r="AA34" s="219" t="s">
        <v>530</v>
      </c>
      <c r="AB34" s="218">
        <v>1</v>
      </c>
      <c r="AC34" s="63"/>
      <c r="AD34" s="63"/>
      <c r="AE34" s="63"/>
      <c r="AF34" s="63"/>
      <c r="AG34" s="63"/>
      <c r="AH34" s="63"/>
      <c r="AI34" s="63"/>
      <c r="AJ34" s="276" t="s">
        <v>748</v>
      </c>
    </row>
    <row r="35" spans="1:36" s="1" customFormat="1" ht="39.75" customHeight="1" x14ac:dyDescent="0.3">
      <c r="A35" s="213">
        <v>32</v>
      </c>
      <c r="B35" s="212" t="s">
        <v>700</v>
      </c>
      <c r="C35" s="209" t="s">
        <v>620</v>
      </c>
      <c r="D35" s="211" t="s">
        <v>601</v>
      </c>
      <c r="E35" s="259" t="s">
        <v>621</v>
      </c>
      <c r="F35" s="266" t="s">
        <v>163</v>
      </c>
      <c r="G35" s="209">
        <v>1</v>
      </c>
      <c r="H35" s="210" t="s">
        <v>68</v>
      </c>
      <c r="I35" s="209" t="s">
        <v>197</v>
      </c>
      <c r="J35" s="267" t="s">
        <v>120</v>
      </c>
      <c r="K35" s="262" t="s">
        <v>125</v>
      </c>
      <c r="L35" s="210" t="s">
        <v>67</v>
      </c>
      <c r="M35" s="209" t="s">
        <v>457</v>
      </c>
      <c r="N35" s="208"/>
      <c r="O35" s="209"/>
      <c r="P35" s="208"/>
      <c r="Q35" s="209" t="s">
        <v>67</v>
      </c>
      <c r="R35" s="259" t="s">
        <v>67</v>
      </c>
      <c r="S35" s="272" t="s">
        <v>529</v>
      </c>
      <c r="T35" s="209" t="s">
        <v>529</v>
      </c>
      <c r="U35" s="208"/>
      <c r="V35" s="209" t="s">
        <v>529</v>
      </c>
      <c r="W35" s="208" t="s">
        <v>91</v>
      </c>
      <c r="X35" s="209" t="s">
        <v>67</v>
      </c>
      <c r="Y35" s="208" t="s">
        <v>529</v>
      </c>
      <c r="Z35" s="273"/>
      <c r="AA35" s="206" t="s">
        <v>530</v>
      </c>
      <c r="AB35" s="205"/>
      <c r="AC35" s="59"/>
      <c r="AD35" s="59"/>
      <c r="AE35" s="59"/>
      <c r="AF35" s="59"/>
      <c r="AG35" s="59"/>
      <c r="AH35" s="59">
        <v>1</v>
      </c>
      <c r="AI35" s="59"/>
      <c r="AJ35" s="277"/>
    </row>
    <row r="36" spans="1:36" s="1" customFormat="1" ht="39.75" customHeight="1" x14ac:dyDescent="0.3">
      <c r="A36" s="213">
        <v>33</v>
      </c>
      <c r="B36" s="212" t="s">
        <v>701</v>
      </c>
      <c r="C36" s="209" t="s">
        <v>620</v>
      </c>
      <c r="D36" s="211" t="s">
        <v>601</v>
      </c>
      <c r="E36" s="259" t="s">
        <v>729</v>
      </c>
      <c r="F36" s="266" t="s">
        <v>170</v>
      </c>
      <c r="G36" s="209">
        <v>2</v>
      </c>
      <c r="H36" s="210" t="s">
        <v>39</v>
      </c>
      <c r="I36" s="209" t="s">
        <v>151</v>
      </c>
      <c r="J36" s="267" t="s">
        <v>80</v>
      </c>
      <c r="K36" s="262" t="s">
        <v>139</v>
      </c>
      <c r="L36" s="210" t="s">
        <v>143</v>
      </c>
      <c r="M36" s="209" t="s">
        <v>456</v>
      </c>
      <c r="N36" s="208" t="s">
        <v>529</v>
      </c>
      <c r="O36" s="209"/>
      <c r="P36" s="208"/>
      <c r="Q36" s="209" t="s">
        <v>67</v>
      </c>
      <c r="R36" s="259" t="s">
        <v>67</v>
      </c>
      <c r="S36" s="272" t="s">
        <v>529</v>
      </c>
      <c r="T36" s="209"/>
      <c r="U36" s="208"/>
      <c r="V36" s="209" t="s">
        <v>529</v>
      </c>
      <c r="W36" s="208" t="s">
        <v>92</v>
      </c>
      <c r="X36" s="209" t="s">
        <v>67</v>
      </c>
      <c r="Y36" s="208" t="s">
        <v>529</v>
      </c>
      <c r="Z36" s="273"/>
      <c r="AA36" s="206" t="s">
        <v>530</v>
      </c>
      <c r="AB36" s="205"/>
      <c r="AC36" s="59"/>
      <c r="AD36" s="59"/>
      <c r="AE36" s="59"/>
      <c r="AF36" s="59">
        <v>1</v>
      </c>
      <c r="AG36" s="59"/>
      <c r="AH36" s="59"/>
      <c r="AI36" s="59"/>
      <c r="AJ36" s="277"/>
    </row>
    <row r="37" spans="1:36" s="1" customFormat="1" ht="39.75" customHeight="1" x14ac:dyDescent="0.3">
      <c r="A37" s="213">
        <v>34</v>
      </c>
      <c r="B37" s="212" t="s">
        <v>702</v>
      </c>
      <c r="C37" s="209" t="s">
        <v>568</v>
      </c>
      <c r="D37" s="211" t="s">
        <v>613</v>
      </c>
      <c r="E37" s="259" t="s">
        <v>730</v>
      </c>
      <c r="F37" s="266" t="s">
        <v>162</v>
      </c>
      <c r="G37" s="209">
        <v>1</v>
      </c>
      <c r="H37" s="210" t="s">
        <v>68</v>
      </c>
      <c r="I37" s="209" t="s">
        <v>66</v>
      </c>
      <c r="J37" s="267" t="s">
        <v>121</v>
      </c>
      <c r="K37" s="262" t="s">
        <v>738</v>
      </c>
      <c r="L37" s="210" t="s">
        <v>67</v>
      </c>
      <c r="M37" s="209" t="s">
        <v>739</v>
      </c>
      <c r="N37" s="208"/>
      <c r="O37" s="209"/>
      <c r="P37" s="208"/>
      <c r="Q37" s="209" t="s">
        <v>67</v>
      </c>
      <c r="R37" s="259" t="s">
        <v>67</v>
      </c>
      <c r="S37" s="272" t="s">
        <v>529</v>
      </c>
      <c r="T37" s="209"/>
      <c r="U37" s="208"/>
      <c r="V37" s="209" t="s">
        <v>529</v>
      </c>
      <c r="W37" s="208" t="s">
        <v>92</v>
      </c>
      <c r="X37" s="209" t="s">
        <v>67</v>
      </c>
      <c r="Y37" s="208"/>
      <c r="Z37" s="273"/>
      <c r="AA37" s="206" t="s">
        <v>530</v>
      </c>
      <c r="AB37" s="205">
        <v>1</v>
      </c>
      <c r="AC37" s="59"/>
      <c r="AD37" s="59"/>
      <c r="AE37" s="59"/>
      <c r="AF37" s="59"/>
      <c r="AG37" s="59"/>
      <c r="AH37" s="59"/>
      <c r="AI37" s="59"/>
      <c r="AJ37" s="277" t="s">
        <v>762</v>
      </c>
    </row>
    <row r="38" spans="1:36" s="1" customFormat="1" ht="39.75" customHeight="1" x14ac:dyDescent="0.3">
      <c r="A38" s="213">
        <v>35</v>
      </c>
      <c r="B38" s="212" t="s">
        <v>703</v>
      </c>
      <c r="C38" s="209" t="s">
        <v>568</v>
      </c>
      <c r="D38" s="211" t="s">
        <v>601</v>
      </c>
      <c r="E38" s="259" t="s">
        <v>616</v>
      </c>
      <c r="F38" s="266" t="s">
        <v>162</v>
      </c>
      <c r="G38" s="209">
        <v>1</v>
      </c>
      <c r="H38" s="210" t="s">
        <v>68</v>
      </c>
      <c r="I38" s="209" t="s">
        <v>66</v>
      </c>
      <c r="J38" s="267" t="s">
        <v>120</v>
      </c>
      <c r="K38" s="262" t="s">
        <v>155</v>
      </c>
      <c r="L38" s="210" t="s">
        <v>67</v>
      </c>
      <c r="M38" s="209" t="s">
        <v>615</v>
      </c>
      <c r="N38" s="208" t="s">
        <v>529</v>
      </c>
      <c r="O38" s="209"/>
      <c r="P38" s="208"/>
      <c r="Q38" s="209" t="s">
        <v>67</v>
      </c>
      <c r="R38" s="259" t="s">
        <v>67</v>
      </c>
      <c r="S38" s="272" t="s">
        <v>529</v>
      </c>
      <c r="T38" s="209"/>
      <c r="U38" s="208"/>
      <c r="V38" s="209" t="s">
        <v>529</v>
      </c>
      <c r="W38" s="208" t="s">
        <v>91</v>
      </c>
      <c r="X38" s="209" t="s">
        <v>49</v>
      </c>
      <c r="Y38" s="208"/>
      <c r="Z38" s="273"/>
      <c r="AA38" s="206" t="s">
        <v>530</v>
      </c>
      <c r="AB38" s="205">
        <v>1</v>
      </c>
      <c r="AC38" s="59"/>
      <c r="AD38" s="59"/>
      <c r="AE38" s="59"/>
      <c r="AF38" s="59"/>
      <c r="AG38" s="59"/>
      <c r="AH38" s="59">
        <v>1</v>
      </c>
      <c r="AI38" s="59"/>
      <c r="AJ38" s="277" t="s">
        <v>609</v>
      </c>
    </row>
    <row r="39" spans="1:36" s="1" customFormat="1" ht="39.75" customHeight="1" thickBot="1" x14ac:dyDescent="0.35">
      <c r="A39" s="203">
        <v>36</v>
      </c>
      <c r="B39" s="202" t="s">
        <v>704</v>
      </c>
      <c r="C39" s="199" t="s">
        <v>568</v>
      </c>
      <c r="D39" s="201" t="s">
        <v>613</v>
      </c>
      <c r="E39" s="260" t="s">
        <v>731</v>
      </c>
      <c r="F39" s="268" t="s">
        <v>164</v>
      </c>
      <c r="G39" s="199">
        <v>1</v>
      </c>
      <c r="H39" s="200" t="s">
        <v>68</v>
      </c>
      <c r="I39" s="199" t="s">
        <v>76</v>
      </c>
      <c r="J39" s="269" t="s">
        <v>120</v>
      </c>
      <c r="K39" s="263" t="s">
        <v>153</v>
      </c>
      <c r="L39" s="200" t="s">
        <v>67</v>
      </c>
      <c r="M39" s="199" t="s">
        <v>456</v>
      </c>
      <c r="N39" s="198" t="s">
        <v>529</v>
      </c>
      <c r="O39" s="199"/>
      <c r="P39" s="198"/>
      <c r="Q39" s="199" t="s">
        <v>67</v>
      </c>
      <c r="R39" s="260" t="s">
        <v>67</v>
      </c>
      <c r="S39" s="274" t="s">
        <v>529</v>
      </c>
      <c r="T39" s="199"/>
      <c r="U39" s="198"/>
      <c r="V39" s="199" t="s">
        <v>529</v>
      </c>
      <c r="W39" s="198" t="s">
        <v>91</v>
      </c>
      <c r="X39" s="199" t="s">
        <v>105</v>
      </c>
      <c r="Y39" s="198"/>
      <c r="Z39" s="275"/>
      <c r="AA39" s="196" t="s">
        <v>644</v>
      </c>
      <c r="AB39" s="195"/>
      <c r="AC39" s="66"/>
      <c r="AD39" s="66"/>
      <c r="AE39" s="66"/>
      <c r="AF39" s="66"/>
      <c r="AG39" s="66"/>
      <c r="AH39" s="66"/>
      <c r="AI39" s="66"/>
      <c r="AJ39" s="278"/>
    </row>
    <row r="40" spans="1:36" s="1" customFormat="1" ht="39.75" customHeight="1" x14ac:dyDescent="0.3">
      <c r="A40" s="226">
        <v>37</v>
      </c>
      <c r="B40" s="225" t="s">
        <v>705</v>
      </c>
      <c r="C40" s="222" t="s">
        <v>563</v>
      </c>
      <c r="D40" s="224" t="s">
        <v>601</v>
      </c>
      <c r="E40" s="258" t="s">
        <v>610</v>
      </c>
      <c r="F40" s="264" t="s">
        <v>162</v>
      </c>
      <c r="G40" s="222">
        <v>1</v>
      </c>
      <c r="H40" s="223" t="s">
        <v>68</v>
      </c>
      <c r="I40" s="222" t="s">
        <v>66</v>
      </c>
      <c r="J40" s="265" t="s">
        <v>121</v>
      </c>
      <c r="K40" s="261" t="s">
        <v>125</v>
      </c>
      <c r="L40" s="223" t="s">
        <v>67</v>
      </c>
      <c r="M40" s="222" t="s">
        <v>456</v>
      </c>
      <c r="N40" s="221"/>
      <c r="O40" s="222"/>
      <c r="P40" s="221"/>
      <c r="Q40" s="222" t="s">
        <v>67</v>
      </c>
      <c r="R40" s="258" t="s">
        <v>67</v>
      </c>
      <c r="S40" s="270"/>
      <c r="T40" s="222"/>
      <c r="U40" s="221"/>
      <c r="V40" s="222" t="s">
        <v>529</v>
      </c>
      <c r="W40" s="221" t="s">
        <v>92</v>
      </c>
      <c r="X40" s="222" t="s">
        <v>67</v>
      </c>
      <c r="Y40" s="221"/>
      <c r="Z40" s="271"/>
      <c r="AA40" s="219" t="s">
        <v>530</v>
      </c>
      <c r="AB40" s="218">
        <v>1</v>
      </c>
      <c r="AC40" s="63"/>
      <c r="AD40" s="63"/>
      <c r="AE40" s="63"/>
      <c r="AF40" s="63"/>
      <c r="AG40" s="63"/>
      <c r="AH40" s="63"/>
      <c r="AI40" s="63"/>
      <c r="AJ40" s="276" t="s">
        <v>609</v>
      </c>
    </row>
    <row r="41" spans="1:36" s="1" customFormat="1" ht="39.75" customHeight="1" x14ac:dyDescent="0.3">
      <c r="A41" s="213">
        <v>38</v>
      </c>
      <c r="B41" s="212" t="s">
        <v>706</v>
      </c>
      <c r="C41" s="209" t="s">
        <v>563</v>
      </c>
      <c r="D41" s="211" t="s">
        <v>601</v>
      </c>
      <c r="E41" s="259" t="s">
        <v>66</v>
      </c>
      <c r="F41" s="266" t="s">
        <v>66</v>
      </c>
      <c r="G41" s="209">
        <v>1</v>
      </c>
      <c r="H41" s="210" t="s">
        <v>66</v>
      </c>
      <c r="I41" s="209" t="s">
        <v>66</v>
      </c>
      <c r="J41" s="267" t="s">
        <v>66</v>
      </c>
      <c r="K41" s="262" t="s">
        <v>66</v>
      </c>
      <c r="L41" s="210" t="s">
        <v>66</v>
      </c>
      <c r="M41" s="209" t="s">
        <v>66</v>
      </c>
      <c r="N41" s="208"/>
      <c r="O41" s="209"/>
      <c r="P41" s="208"/>
      <c r="Q41" s="209" t="s">
        <v>67</v>
      </c>
      <c r="R41" s="259" t="s">
        <v>67</v>
      </c>
      <c r="S41" s="272"/>
      <c r="T41" s="209"/>
      <c r="U41" s="208"/>
      <c r="V41" s="209" t="s">
        <v>529</v>
      </c>
      <c r="W41" s="208" t="s">
        <v>92</v>
      </c>
      <c r="X41" s="209" t="s">
        <v>67</v>
      </c>
      <c r="Y41" s="208"/>
      <c r="Z41" s="273"/>
      <c r="AA41" s="206" t="s">
        <v>530</v>
      </c>
      <c r="AB41" s="205"/>
      <c r="AC41" s="59"/>
      <c r="AD41" s="59">
        <v>1</v>
      </c>
      <c r="AE41" s="59"/>
      <c r="AF41" s="59"/>
      <c r="AG41" s="59"/>
      <c r="AH41" s="59"/>
      <c r="AI41" s="59"/>
      <c r="AJ41" s="277"/>
    </row>
    <row r="42" spans="1:36" s="1" customFormat="1" ht="39.75" customHeight="1" x14ac:dyDescent="0.3">
      <c r="A42" s="213">
        <v>39</v>
      </c>
      <c r="B42" s="212" t="s">
        <v>707</v>
      </c>
      <c r="C42" s="209" t="s">
        <v>563</v>
      </c>
      <c r="D42" s="211" t="s">
        <v>601</v>
      </c>
      <c r="E42" s="259" t="s">
        <v>602</v>
      </c>
      <c r="F42" s="266" t="s">
        <v>163</v>
      </c>
      <c r="G42" s="209">
        <v>1</v>
      </c>
      <c r="H42" s="210" t="s">
        <v>68</v>
      </c>
      <c r="I42" s="209" t="s">
        <v>197</v>
      </c>
      <c r="J42" s="267" t="s">
        <v>120</v>
      </c>
      <c r="K42" s="262" t="s">
        <v>125</v>
      </c>
      <c r="L42" s="210" t="s">
        <v>67</v>
      </c>
      <c r="M42" s="209" t="s">
        <v>66</v>
      </c>
      <c r="N42" s="208"/>
      <c r="O42" s="209"/>
      <c r="P42" s="208"/>
      <c r="Q42" s="209" t="s">
        <v>67</v>
      </c>
      <c r="R42" s="259" t="s">
        <v>67</v>
      </c>
      <c r="S42" s="272"/>
      <c r="T42" s="209"/>
      <c r="U42" s="208"/>
      <c r="V42" s="209" t="s">
        <v>529</v>
      </c>
      <c r="W42" s="208" t="s">
        <v>92</v>
      </c>
      <c r="X42" s="209" t="s">
        <v>67</v>
      </c>
      <c r="Y42" s="208"/>
      <c r="Z42" s="273"/>
      <c r="AA42" s="206" t="s">
        <v>530</v>
      </c>
      <c r="AB42" s="205"/>
      <c r="AC42" s="59"/>
      <c r="AD42" s="59"/>
      <c r="AE42" s="59"/>
      <c r="AF42" s="59"/>
      <c r="AG42" s="59">
        <v>1</v>
      </c>
      <c r="AH42" s="59"/>
      <c r="AI42" s="59"/>
      <c r="AJ42" s="277" t="s">
        <v>766</v>
      </c>
    </row>
    <row r="43" spans="1:36" s="1" customFormat="1" ht="39.75" customHeight="1" x14ac:dyDescent="0.3">
      <c r="A43" s="213">
        <v>40</v>
      </c>
      <c r="B43" s="212" t="s">
        <v>708</v>
      </c>
      <c r="C43" s="209" t="s">
        <v>563</v>
      </c>
      <c r="D43" s="211" t="s">
        <v>601</v>
      </c>
      <c r="E43" s="259" t="s">
        <v>602</v>
      </c>
      <c r="F43" s="266" t="s">
        <v>163</v>
      </c>
      <c r="G43" s="209">
        <v>1</v>
      </c>
      <c r="H43" s="210" t="s">
        <v>68</v>
      </c>
      <c r="I43" s="209" t="s">
        <v>197</v>
      </c>
      <c r="J43" s="267" t="s">
        <v>120</v>
      </c>
      <c r="K43" s="262" t="s">
        <v>125</v>
      </c>
      <c r="L43" s="210" t="s">
        <v>67</v>
      </c>
      <c r="M43" s="209" t="s">
        <v>456</v>
      </c>
      <c r="N43" s="208"/>
      <c r="O43" s="209"/>
      <c r="P43" s="208" t="s">
        <v>529</v>
      </c>
      <c r="Q43" s="209" t="s">
        <v>67</v>
      </c>
      <c r="R43" s="259" t="s">
        <v>67</v>
      </c>
      <c r="S43" s="272"/>
      <c r="T43" s="209"/>
      <c r="U43" s="208"/>
      <c r="V43" s="209" t="s">
        <v>529</v>
      </c>
      <c r="W43" s="208" t="s">
        <v>92</v>
      </c>
      <c r="X43" s="209" t="s">
        <v>67</v>
      </c>
      <c r="Y43" s="208"/>
      <c r="Z43" s="273"/>
      <c r="AA43" s="206" t="s">
        <v>644</v>
      </c>
      <c r="AB43" s="205"/>
      <c r="AC43" s="59"/>
      <c r="AD43" s="59"/>
      <c r="AE43" s="59"/>
      <c r="AF43" s="59"/>
      <c r="AG43" s="59"/>
      <c r="AH43" s="59"/>
      <c r="AI43" s="59"/>
      <c r="AJ43" s="277" t="s">
        <v>736</v>
      </c>
    </row>
    <row r="44" spans="1:36" s="1" customFormat="1" ht="39.75" customHeight="1" x14ac:dyDescent="0.3">
      <c r="A44" s="213">
        <v>41</v>
      </c>
      <c r="B44" s="212" t="s">
        <v>709</v>
      </c>
      <c r="C44" s="209" t="s">
        <v>563</v>
      </c>
      <c r="D44" s="211" t="s">
        <v>601</v>
      </c>
      <c r="E44" s="259" t="s">
        <v>606</v>
      </c>
      <c r="F44" s="266" t="s">
        <v>162</v>
      </c>
      <c r="G44" s="209">
        <v>1</v>
      </c>
      <c r="H44" s="210" t="s">
        <v>68</v>
      </c>
      <c r="I44" s="209" t="s">
        <v>66</v>
      </c>
      <c r="J44" s="267" t="s">
        <v>120</v>
      </c>
      <c r="K44" s="262" t="s">
        <v>155</v>
      </c>
      <c r="L44" s="210" t="s">
        <v>67</v>
      </c>
      <c r="M44" s="209" t="s">
        <v>455</v>
      </c>
      <c r="N44" s="208" t="s">
        <v>529</v>
      </c>
      <c r="O44" s="209"/>
      <c r="P44" s="208" t="s">
        <v>529</v>
      </c>
      <c r="Q44" s="209" t="s">
        <v>67</v>
      </c>
      <c r="R44" s="259" t="s">
        <v>67</v>
      </c>
      <c r="S44" s="272" t="s">
        <v>529</v>
      </c>
      <c r="T44" s="209"/>
      <c r="U44" s="208"/>
      <c r="V44" s="209" t="s">
        <v>529</v>
      </c>
      <c r="W44" s="208" t="s">
        <v>91</v>
      </c>
      <c r="X44" s="209" t="s">
        <v>67</v>
      </c>
      <c r="Y44" s="208"/>
      <c r="Z44" s="273"/>
      <c r="AA44" s="293" t="s">
        <v>530</v>
      </c>
      <c r="AB44" s="205">
        <v>1</v>
      </c>
      <c r="AC44" s="59"/>
      <c r="AD44" s="59"/>
      <c r="AE44" s="59"/>
      <c r="AF44" s="59"/>
      <c r="AG44" s="59"/>
      <c r="AH44" s="59">
        <v>1</v>
      </c>
      <c r="AI44" s="59"/>
      <c r="AJ44" s="277" t="s">
        <v>710</v>
      </c>
    </row>
    <row r="45" spans="1:36" s="1" customFormat="1" ht="39.75" customHeight="1" thickBot="1" x14ac:dyDescent="0.35">
      <c r="A45" s="203">
        <v>42</v>
      </c>
      <c r="B45" s="202" t="s">
        <v>711</v>
      </c>
      <c r="C45" s="199" t="s">
        <v>563</v>
      </c>
      <c r="D45" s="201" t="s">
        <v>601</v>
      </c>
      <c r="E45" s="260" t="s">
        <v>605</v>
      </c>
      <c r="F45" s="268" t="s">
        <v>604</v>
      </c>
      <c r="G45" s="199">
        <v>1</v>
      </c>
      <c r="H45" s="200" t="s">
        <v>68</v>
      </c>
      <c r="I45" s="199" t="s">
        <v>66</v>
      </c>
      <c r="J45" s="269" t="s">
        <v>120</v>
      </c>
      <c r="K45" s="263" t="s">
        <v>131</v>
      </c>
      <c r="L45" s="200" t="s">
        <v>67</v>
      </c>
      <c r="M45" s="199" t="s">
        <v>456</v>
      </c>
      <c r="N45" s="198"/>
      <c r="O45" s="199"/>
      <c r="P45" s="198"/>
      <c r="Q45" s="199" t="s">
        <v>67</v>
      </c>
      <c r="R45" s="260" t="s">
        <v>67</v>
      </c>
      <c r="S45" s="274"/>
      <c r="T45" s="199"/>
      <c r="U45" s="198"/>
      <c r="V45" s="199" t="s">
        <v>529</v>
      </c>
      <c r="W45" s="198" t="s">
        <v>91</v>
      </c>
      <c r="X45" s="199" t="s">
        <v>67</v>
      </c>
      <c r="Y45" s="198"/>
      <c r="Z45" s="275"/>
      <c r="AA45" s="292" t="s">
        <v>530</v>
      </c>
      <c r="AB45" s="195"/>
      <c r="AC45" s="66"/>
      <c r="AD45" s="66">
        <v>1</v>
      </c>
      <c r="AE45" s="66"/>
      <c r="AF45" s="66"/>
      <c r="AG45" s="66"/>
      <c r="AH45" s="66"/>
      <c r="AI45" s="66"/>
      <c r="AJ45" s="278" t="s">
        <v>736</v>
      </c>
    </row>
    <row r="46" spans="1:36" s="1" customFormat="1" ht="39.75" customHeight="1" x14ac:dyDescent="0.3">
      <c r="A46" s="226">
        <v>43</v>
      </c>
      <c r="B46" s="225" t="s">
        <v>712</v>
      </c>
      <c r="C46" s="222" t="s">
        <v>563</v>
      </c>
      <c r="D46" s="224" t="s">
        <v>601</v>
      </c>
      <c r="E46" s="258" t="s">
        <v>732</v>
      </c>
      <c r="F46" s="264" t="s">
        <v>66</v>
      </c>
      <c r="G46" s="222">
        <v>1</v>
      </c>
      <c r="H46" s="223" t="s">
        <v>66</v>
      </c>
      <c r="I46" s="222" t="s">
        <v>66</v>
      </c>
      <c r="J46" s="265" t="s">
        <v>66</v>
      </c>
      <c r="K46" s="261" t="s">
        <v>66</v>
      </c>
      <c r="L46" s="223" t="s">
        <v>67</v>
      </c>
      <c r="M46" s="222" t="s">
        <v>66</v>
      </c>
      <c r="N46" s="221"/>
      <c r="O46" s="222"/>
      <c r="P46" s="221"/>
      <c r="Q46" s="222" t="s">
        <v>67</v>
      </c>
      <c r="R46" s="258" t="s">
        <v>67</v>
      </c>
      <c r="S46" s="270"/>
      <c r="T46" s="222"/>
      <c r="U46" s="221"/>
      <c r="V46" s="222" t="s">
        <v>529</v>
      </c>
      <c r="W46" s="221" t="s">
        <v>92</v>
      </c>
      <c r="X46" s="222" t="s">
        <v>67</v>
      </c>
      <c r="Y46" s="221"/>
      <c r="Z46" s="271"/>
      <c r="AA46" s="295" t="s">
        <v>530</v>
      </c>
      <c r="AB46" s="218"/>
      <c r="AC46" s="63"/>
      <c r="AD46" s="63">
        <v>1</v>
      </c>
      <c r="AE46" s="63"/>
      <c r="AF46" s="63"/>
      <c r="AG46" s="63"/>
      <c r="AH46" s="63"/>
      <c r="AI46" s="63"/>
      <c r="AJ46" s="276" t="s">
        <v>599</v>
      </c>
    </row>
    <row r="47" spans="1:36" s="1" customFormat="1" ht="39.75" customHeight="1" x14ac:dyDescent="0.3">
      <c r="A47" s="213">
        <v>44</v>
      </c>
      <c r="B47" s="212" t="s">
        <v>713</v>
      </c>
      <c r="C47" s="209" t="s">
        <v>563</v>
      </c>
      <c r="D47" s="211" t="s">
        <v>601</v>
      </c>
      <c r="E47" s="259" t="s">
        <v>733</v>
      </c>
      <c r="F47" s="266" t="s">
        <v>163</v>
      </c>
      <c r="G47" s="209">
        <v>1</v>
      </c>
      <c r="H47" s="210" t="s">
        <v>68</v>
      </c>
      <c r="I47" s="209" t="s">
        <v>197</v>
      </c>
      <c r="J47" s="267" t="s">
        <v>120</v>
      </c>
      <c r="K47" s="262" t="s">
        <v>125</v>
      </c>
      <c r="L47" s="210" t="s">
        <v>67</v>
      </c>
      <c r="M47" s="209" t="s">
        <v>456</v>
      </c>
      <c r="N47" s="208"/>
      <c r="O47" s="209"/>
      <c r="P47" s="208" t="s">
        <v>529</v>
      </c>
      <c r="Q47" s="209" t="s">
        <v>67</v>
      </c>
      <c r="R47" s="259" t="s">
        <v>67</v>
      </c>
      <c r="S47" s="272"/>
      <c r="T47" s="209"/>
      <c r="U47" s="208"/>
      <c r="V47" s="209" t="s">
        <v>529</v>
      </c>
      <c r="W47" s="208" t="s">
        <v>92</v>
      </c>
      <c r="X47" s="209" t="s">
        <v>67</v>
      </c>
      <c r="Y47" s="208"/>
      <c r="Z47" s="273"/>
      <c r="AA47" s="295" t="s">
        <v>644</v>
      </c>
      <c r="AB47" s="205"/>
      <c r="AC47" s="59"/>
      <c r="AD47" s="59"/>
      <c r="AE47" s="59"/>
      <c r="AF47" s="59"/>
      <c r="AG47" s="59"/>
      <c r="AH47" s="59"/>
      <c r="AI47" s="59"/>
      <c r="AJ47" s="277" t="s">
        <v>737</v>
      </c>
    </row>
    <row r="48" spans="1:36" s="1" customFormat="1" ht="39.75" customHeight="1" x14ac:dyDescent="0.3">
      <c r="A48" s="213">
        <v>45</v>
      </c>
      <c r="B48" s="212" t="s">
        <v>715</v>
      </c>
      <c r="C48" s="209" t="s">
        <v>563</v>
      </c>
      <c r="D48" s="211" t="s">
        <v>601</v>
      </c>
      <c r="E48" s="259" t="s">
        <v>734</v>
      </c>
      <c r="F48" s="266" t="s">
        <v>66</v>
      </c>
      <c r="G48" s="209">
        <v>2</v>
      </c>
      <c r="H48" s="210" t="s">
        <v>66</v>
      </c>
      <c r="I48" s="209" t="s">
        <v>66</v>
      </c>
      <c r="J48" s="267" t="s">
        <v>81</v>
      </c>
      <c r="K48" s="262" t="s">
        <v>131</v>
      </c>
      <c r="L48" s="210" t="s">
        <v>600</v>
      </c>
      <c r="M48" s="209" t="s">
        <v>66</v>
      </c>
      <c r="N48" s="208" t="s">
        <v>529</v>
      </c>
      <c r="O48" s="209"/>
      <c r="P48" s="208" t="s">
        <v>529</v>
      </c>
      <c r="Q48" s="209" t="s">
        <v>67</v>
      </c>
      <c r="R48" s="259" t="s">
        <v>67</v>
      </c>
      <c r="S48" s="272"/>
      <c r="T48" s="209"/>
      <c r="U48" s="208"/>
      <c r="V48" s="209" t="s">
        <v>529</v>
      </c>
      <c r="W48" s="208" t="s">
        <v>92</v>
      </c>
      <c r="X48" s="209" t="s">
        <v>67</v>
      </c>
      <c r="Y48" s="208"/>
      <c r="Z48" s="273"/>
      <c r="AA48" s="295" t="s">
        <v>530</v>
      </c>
      <c r="AB48" s="205"/>
      <c r="AC48" s="59"/>
      <c r="AD48" s="59">
        <v>1</v>
      </c>
      <c r="AE48" s="59"/>
      <c r="AF48" s="59"/>
      <c r="AG48" s="59"/>
      <c r="AH48" s="59"/>
      <c r="AI48" s="59"/>
      <c r="AJ48" s="283" t="s">
        <v>599</v>
      </c>
    </row>
    <row r="49" spans="1:178" s="1" customFormat="1" ht="39.75" customHeight="1" thickBot="1" x14ac:dyDescent="0.35">
      <c r="A49" s="291">
        <v>46</v>
      </c>
      <c r="B49" s="290">
        <v>46</v>
      </c>
      <c r="C49" s="284" t="s">
        <v>651</v>
      </c>
      <c r="D49" s="285" t="s">
        <v>767</v>
      </c>
      <c r="E49" s="288" t="s">
        <v>601</v>
      </c>
      <c r="F49" s="268" t="s">
        <v>163</v>
      </c>
      <c r="G49" s="199">
        <v>1</v>
      </c>
      <c r="H49" s="200" t="s">
        <v>68</v>
      </c>
      <c r="I49" s="199" t="s">
        <v>75</v>
      </c>
      <c r="J49" s="269" t="s">
        <v>120</v>
      </c>
      <c r="K49" s="294" t="s">
        <v>125</v>
      </c>
      <c r="L49" s="286" t="s">
        <v>67</v>
      </c>
      <c r="M49" s="284" t="s">
        <v>456</v>
      </c>
      <c r="N49" s="287"/>
      <c r="O49" s="284"/>
      <c r="P49" s="287"/>
      <c r="Q49" s="284" t="s">
        <v>67</v>
      </c>
      <c r="R49" s="288" t="s">
        <v>67</v>
      </c>
      <c r="S49" s="274"/>
      <c r="T49" s="199"/>
      <c r="U49" s="198"/>
      <c r="V49" s="199" t="s">
        <v>529</v>
      </c>
      <c r="W49" s="198" t="s">
        <v>91</v>
      </c>
      <c r="X49" s="199" t="s">
        <v>67</v>
      </c>
      <c r="Y49" s="198" t="s">
        <v>529</v>
      </c>
      <c r="Z49" s="275"/>
      <c r="AA49" s="296" t="s">
        <v>530</v>
      </c>
      <c r="AB49" s="195"/>
      <c r="AC49" s="66"/>
      <c r="AD49" s="66"/>
      <c r="AE49" s="66"/>
      <c r="AF49" s="66"/>
      <c r="AG49" s="66"/>
      <c r="AH49" s="66"/>
      <c r="AI49" s="66">
        <v>1</v>
      </c>
      <c r="AJ49" s="289"/>
    </row>
    <row r="50" spans="1:178" s="20" customFormat="1" ht="15" thickBot="1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 s="21">
        <f t="shared" ref="AB50:AI50" ca="1" si="0">SUM(INDIRECT(ADDRESS(4,COLUMN(),4) &amp; ":" &amp; ADDRESS(ROW()-1,COLUMN(),4)))</f>
        <v>15</v>
      </c>
      <c r="AC50" s="21">
        <f t="shared" ca="1" si="0"/>
        <v>2</v>
      </c>
      <c r="AD50" s="21">
        <f t="shared" ca="1" si="0"/>
        <v>9</v>
      </c>
      <c r="AE50" s="21">
        <f t="shared" ca="1" si="0"/>
        <v>2</v>
      </c>
      <c r="AF50" s="21">
        <f t="shared" ca="1" si="0"/>
        <v>2</v>
      </c>
      <c r="AG50" s="21">
        <f t="shared" ca="1" si="0"/>
        <v>2</v>
      </c>
      <c r="AH50" s="21">
        <f t="shared" ca="1" si="0"/>
        <v>3</v>
      </c>
      <c r="AI50" s="21">
        <f t="shared" ca="1" si="0"/>
        <v>1</v>
      </c>
      <c r="AJ50" s="22" t="s">
        <v>0</v>
      </c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</row>
  </sheetData>
  <sheetProtection autoFilter="0"/>
  <autoFilter ref="A3:AJ50" xr:uid="{00000000-0009-0000-0000-000000000000}"/>
  <mergeCells count="5">
    <mergeCell ref="S1:AA1"/>
    <mergeCell ref="F2:J2"/>
    <mergeCell ref="K2:R2"/>
    <mergeCell ref="S2:Z2"/>
    <mergeCell ref="AB2:AI2"/>
  </mergeCells>
  <pageMargins left="0.23622047244094491" right="0.23622047244094491" top="0.59055118110236227" bottom="0.39370078740157483" header="0.11811023622047245" footer="0.11811023622047245"/>
  <pageSetup paperSize="8" scale="54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723900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0" r:id="rId6" name="Button 7">
              <controlPr defaultSize="0" print="0" autoFill="0" autoPict="0" macro="[0]!CreateDoor">
                <anchor>
                  <from>
                    <xdr:col>2</xdr:col>
                    <xdr:colOff>83820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1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731520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2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83820</xdr:rowOff>
                  </from>
                  <to>
                    <xdr:col>1</xdr:col>
                    <xdr:colOff>731520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3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83820</xdr:rowOff>
                  </from>
                  <to>
                    <xdr:col>4</xdr:col>
                    <xdr:colOff>754380</xdr:colOff>
                    <xdr:row>1</xdr:row>
                    <xdr:rowOff>579120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0EBB-2B43-4A05-8B27-30F916BA9713}">
  <sheetPr codeName="Tabelle16">
    <pageSetUpPr fitToPage="1"/>
  </sheetPr>
  <dimension ref="A1:FZ49"/>
  <sheetViews>
    <sheetView tabSelected="1" zoomScale="70" zoomScaleNormal="70" workbookViewId="0">
      <pane ySplit="3" topLeftCell="A5" activePane="bottomLeft" state="frozen"/>
      <selection pane="bottomLeft" activeCell="C6" sqref="C6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33203125" customWidth="1"/>
    <col min="12" max="12" width="13.3320312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33203125" customWidth="1"/>
    <col min="28" max="39" width="5.5546875" customWidth="1"/>
    <col min="40" max="40" width="52.33203125" customWidth="1"/>
  </cols>
  <sheetData>
    <row r="1" spans="1:40" ht="18.75" customHeight="1" thickBot="1" x14ac:dyDescent="0.35">
      <c r="A1" s="6" t="s">
        <v>758</v>
      </c>
      <c r="B1" s="7"/>
      <c r="C1" s="8"/>
      <c r="D1" s="8"/>
      <c r="E1" s="8"/>
      <c r="F1" s="8"/>
      <c r="G1" s="44"/>
      <c r="H1" s="44"/>
      <c r="I1" s="44"/>
      <c r="J1" s="7"/>
      <c r="K1" s="44"/>
      <c r="L1" s="44"/>
      <c r="M1" s="44"/>
      <c r="N1" s="44"/>
      <c r="O1" s="44"/>
      <c r="P1" s="44"/>
      <c r="Q1" s="44"/>
      <c r="R1" s="45"/>
      <c r="S1" s="297" t="s">
        <v>757</v>
      </c>
      <c r="T1" s="298"/>
      <c r="U1" s="298"/>
      <c r="V1" s="298"/>
      <c r="W1" s="298"/>
      <c r="X1" s="298"/>
      <c r="Y1" s="298"/>
      <c r="Z1" s="298"/>
      <c r="AA1" s="298"/>
      <c r="AB1" s="256">
        <v>1</v>
      </c>
      <c r="AC1" s="257">
        <v>2</v>
      </c>
      <c r="AD1" s="257">
        <v>3</v>
      </c>
      <c r="AE1" s="256">
        <v>4</v>
      </c>
      <c r="AF1" s="257">
        <v>5</v>
      </c>
      <c r="AG1" s="257">
        <v>6</v>
      </c>
      <c r="AH1" s="256">
        <v>7</v>
      </c>
      <c r="AI1" s="257">
        <v>8</v>
      </c>
      <c r="AJ1" s="257">
        <v>9</v>
      </c>
      <c r="AK1" s="256">
        <v>10</v>
      </c>
      <c r="AL1" s="257">
        <v>11</v>
      </c>
      <c r="AM1" s="257">
        <v>12</v>
      </c>
      <c r="AN1" s="58"/>
    </row>
    <row r="2" spans="1:40" ht="52.5" customHeight="1" thickBot="1" x14ac:dyDescent="0.35">
      <c r="A2" s="68"/>
      <c r="B2" s="69"/>
      <c r="C2" s="70"/>
      <c r="D2" s="19"/>
      <c r="E2" s="71"/>
      <c r="F2" s="299" t="s">
        <v>26</v>
      </c>
      <c r="G2" s="300"/>
      <c r="H2" s="300"/>
      <c r="I2" s="300"/>
      <c r="J2" s="301"/>
      <c r="K2" s="299" t="s">
        <v>25</v>
      </c>
      <c r="L2" s="300"/>
      <c r="M2" s="300"/>
      <c r="N2" s="300"/>
      <c r="O2" s="300"/>
      <c r="P2" s="300"/>
      <c r="Q2" s="300"/>
      <c r="R2" s="300"/>
      <c r="S2" s="299" t="s">
        <v>24</v>
      </c>
      <c r="T2" s="300"/>
      <c r="U2" s="300"/>
      <c r="V2" s="300"/>
      <c r="W2" s="300"/>
      <c r="X2" s="300"/>
      <c r="Y2" s="300"/>
      <c r="Z2" s="301"/>
      <c r="AA2" s="5" t="s">
        <v>23</v>
      </c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72" t="s">
        <v>41</v>
      </c>
    </row>
    <row r="3" spans="1:40" ht="201.75" customHeight="1" thickBot="1" x14ac:dyDescent="0.35">
      <c r="A3" s="73" t="s">
        <v>22</v>
      </c>
      <c r="B3" s="74" t="s">
        <v>21</v>
      </c>
      <c r="C3" s="74" t="s">
        <v>20</v>
      </c>
      <c r="D3" s="74" t="s">
        <v>19</v>
      </c>
      <c r="E3" s="75" t="s">
        <v>18</v>
      </c>
      <c r="F3" s="76" t="s">
        <v>27</v>
      </c>
      <c r="G3" s="77" t="s">
        <v>17</v>
      </c>
      <c r="H3" s="77" t="s">
        <v>123</v>
      </c>
      <c r="I3" s="77" t="s">
        <v>16</v>
      </c>
      <c r="J3" s="75" t="s">
        <v>15</v>
      </c>
      <c r="K3" s="78" t="s">
        <v>28</v>
      </c>
      <c r="L3" s="74" t="s">
        <v>29</v>
      </c>
      <c r="M3" s="74" t="s">
        <v>42</v>
      </c>
      <c r="N3" s="74" t="s">
        <v>14</v>
      </c>
      <c r="O3" s="74" t="s">
        <v>13</v>
      </c>
      <c r="P3" s="74" t="s">
        <v>12</v>
      </c>
      <c r="Q3" s="74" t="s">
        <v>11</v>
      </c>
      <c r="R3" s="79" t="s">
        <v>10</v>
      </c>
      <c r="S3" s="80" t="s">
        <v>9</v>
      </c>
      <c r="T3" s="74" t="s">
        <v>8</v>
      </c>
      <c r="U3" s="81" t="s">
        <v>7</v>
      </c>
      <c r="V3" s="74" t="s">
        <v>6</v>
      </c>
      <c r="W3" s="81" t="s">
        <v>5</v>
      </c>
      <c r="X3" s="74" t="s">
        <v>4</v>
      </c>
      <c r="Y3" s="81" t="s">
        <v>3</v>
      </c>
      <c r="Z3" s="79" t="s">
        <v>2</v>
      </c>
      <c r="AA3" s="17" t="s">
        <v>1</v>
      </c>
      <c r="AB3" s="255" t="s">
        <v>340</v>
      </c>
      <c r="AC3" s="254" t="s">
        <v>205</v>
      </c>
      <c r="AD3" s="254" t="s">
        <v>208</v>
      </c>
      <c r="AE3" s="254" t="s">
        <v>489</v>
      </c>
      <c r="AF3" s="254" t="s">
        <v>203</v>
      </c>
      <c r="AG3" s="254" t="s">
        <v>735</v>
      </c>
      <c r="AH3" s="254" t="s">
        <v>218</v>
      </c>
      <c r="AI3" s="254" t="s">
        <v>207</v>
      </c>
      <c r="AJ3" s="254" t="s">
        <v>280</v>
      </c>
      <c r="AK3" s="254" t="s">
        <v>209</v>
      </c>
      <c r="AL3" s="254" t="s">
        <v>206</v>
      </c>
      <c r="AM3" s="253" t="s">
        <v>285</v>
      </c>
      <c r="AN3" s="227"/>
    </row>
    <row r="4" spans="1:40" s="1" customFormat="1" ht="39.75" customHeight="1" x14ac:dyDescent="0.3">
      <c r="A4" s="226">
        <v>1</v>
      </c>
      <c r="B4" s="225">
        <v>1</v>
      </c>
      <c r="C4" s="222" t="s">
        <v>651</v>
      </c>
      <c r="D4" s="224" t="s">
        <v>656</v>
      </c>
      <c r="E4" s="258" t="s">
        <v>585</v>
      </c>
      <c r="F4" s="264" t="s">
        <v>162</v>
      </c>
      <c r="G4" s="222">
        <v>1</v>
      </c>
      <c r="H4" s="223" t="s">
        <v>68</v>
      </c>
      <c r="I4" s="222" t="s">
        <v>66</v>
      </c>
      <c r="J4" s="265" t="s">
        <v>44</v>
      </c>
      <c r="K4" s="261" t="s">
        <v>125</v>
      </c>
      <c r="L4" s="223" t="s">
        <v>67</v>
      </c>
      <c r="M4" s="222" t="s">
        <v>455</v>
      </c>
      <c r="N4" s="221" t="s">
        <v>529</v>
      </c>
      <c r="O4" s="222"/>
      <c r="P4" s="221"/>
      <c r="Q4" s="222" t="s">
        <v>67</v>
      </c>
      <c r="R4" s="258" t="s">
        <v>67</v>
      </c>
      <c r="S4" s="270"/>
      <c r="T4" s="222"/>
      <c r="U4" s="221"/>
      <c r="V4" s="222" t="s">
        <v>529</v>
      </c>
      <c r="W4" s="221" t="s">
        <v>92</v>
      </c>
      <c r="X4" s="222" t="s">
        <v>67</v>
      </c>
      <c r="Y4" s="221"/>
      <c r="Z4" s="271"/>
      <c r="AA4" s="219" t="s">
        <v>530</v>
      </c>
      <c r="AB4" s="218"/>
      <c r="AC4" s="63"/>
      <c r="AD4" s="63">
        <v>1</v>
      </c>
      <c r="AE4" s="63">
        <v>1</v>
      </c>
      <c r="AF4" s="63"/>
      <c r="AG4" s="63"/>
      <c r="AH4" s="63"/>
      <c r="AI4" s="63"/>
      <c r="AJ4" s="63"/>
      <c r="AK4" s="63"/>
      <c r="AL4" s="63"/>
      <c r="AM4" s="64"/>
      <c r="AN4" s="276"/>
    </row>
    <row r="5" spans="1:40" s="1" customFormat="1" ht="39.75" customHeight="1" x14ac:dyDescent="0.3">
      <c r="A5" s="213">
        <v>2</v>
      </c>
      <c r="B5" s="212">
        <v>2</v>
      </c>
      <c r="C5" s="209" t="s">
        <v>651</v>
      </c>
      <c r="D5" s="211" t="s">
        <v>601</v>
      </c>
      <c r="E5" s="259" t="s">
        <v>655</v>
      </c>
      <c r="F5" s="266" t="s">
        <v>165</v>
      </c>
      <c r="G5" s="209">
        <v>1</v>
      </c>
      <c r="H5" s="210" t="s">
        <v>68</v>
      </c>
      <c r="I5" s="209" t="s">
        <v>75</v>
      </c>
      <c r="J5" s="267" t="s">
        <v>79</v>
      </c>
      <c r="K5" s="262" t="s">
        <v>740</v>
      </c>
      <c r="L5" s="210" t="s">
        <v>67</v>
      </c>
      <c r="M5" s="209" t="s">
        <v>456</v>
      </c>
      <c r="N5" s="208" t="s">
        <v>529</v>
      </c>
      <c r="O5" s="209"/>
      <c r="P5" s="208"/>
      <c r="Q5" s="209" t="s">
        <v>67</v>
      </c>
      <c r="R5" s="259" t="s">
        <v>67</v>
      </c>
      <c r="S5" s="272"/>
      <c r="T5" s="209"/>
      <c r="U5" s="208"/>
      <c r="V5" s="209" t="s">
        <v>529</v>
      </c>
      <c r="W5" s="208" t="s">
        <v>91</v>
      </c>
      <c r="X5" s="209" t="s">
        <v>67</v>
      </c>
      <c r="Y5" s="208" t="s">
        <v>529</v>
      </c>
      <c r="Z5" s="273"/>
      <c r="AA5" s="206" t="s">
        <v>644</v>
      </c>
      <c r="AB5" s="205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65"/>
      <c r="AN5" s="277" t="s">
        <v>741</v>
      </c>
    </row>
    <row r="6" spans="1:40" s="1" customFormat="1" ht="39.75" customHeight="1" x14ac:dyDescent="0.3">
      <c r="A6" s="213">
        <v>3</v>
      </c>
      <c r="B6" s="212">
        <v>3</v>
      </c>
      <c r="C6" s="209" t="s">
        <v>769</v>
      </c>
      <c r="D6" s="211" t="s">
        <v>601</v>
      </c>
      <c r="E6" s="259" t="s">
        <v>721</v>
      </c>
      <c r="F6" s="266" t="s">
        <v>163</v>
      </c>
      <c r="G6" s="209">
        <v>1</v>
      </c>
      <c r="H6" s="210" t="s">
        <v>68</v>
      </c>
      <c r="I6" s="209" t="s">
        <v>66</v>
      </c>
      <c r="J6" s="267" t="s">
        <v>79</v>
      </c>
      <c r="K6" s="262" t="s">
        <v>125</v>
      </c>
      <c r="L6" s="210" t="s">
        <v>67</v>
      </c>
      <c r="M6" s="209" t="s">
        <v>456</v>
      </c>
      <c r="N6" s="208"/>
      <c r="O6" s="209"/>
      <c r="P6" s="208"/>
      <c r="Q6" s="209" t="s">
        <v>67</v>
      </c>
      <c r="R6" s="259" t="s">
        <v>67</v>
      </c>
      <c r="S6" s="272"/>
      <c r="T6" s="209"/>
      <c r="U6" s="208"/>
      <c r="V6" s="209" t="s">
        <v>529</v>
      </c>
      <c r="W6" s="208" t="s">
        <v>91</v>
      </c>
      <c r="X6" s="209" t="s">
        <v>67</v>
      </c>
      <c r="Y6" s="208"/>
      <c r="Z6" s="273"/>
      <c r="AA6" s="206" t="s">
        <v>644</v>
      </c>
      <c r="AB6" s="205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5"/>
      <c r="AN6" s="277"/>
    </row>
    <row r="7" spans="1:40" s="1" customFormat="1" ht="39.75" customHeight="1" x14ac:dyDescent="0.3">
      <c r="A7" s="213">
        <v>4</v>
      </c>
      <c r="B7" s="212">
        <v>4</v>
      </c>
      <c r="C7" s="209" t="s">
        <v>651</v>
      </c>
      <c r="D7" s="211" t="s">
        <v>601</v>
      </c>
      <c r="E7" s="259" t="s">
        <v>612</v>
      </c>
      <c r="F7" s="266" t="s">
        <v>604</v>
      </c>
      <c r="G7" s="209">
        <v>1</v>
      </c>
      <c r="H7" s="210" t="s">
        <v>68</v>
      </c>
      <c r="I7" s="209" t="s">
        <v>66</v>
      </c>
      <c r="J7" s="267" t="s">
        <v>120</v>
      </c>
      <c r="K7" s="262" t="s">
        <v>155</v>
      </c>
      <c r="L7" s="210" t="s">
        <v>67</v>
      </c>
      <c r="M7" s="209" t="s">
        <v>623</v>
      </c>
      <c r="N7" s="208"/>
      <c r="O7" s="209"/>
      <c r="P7" s="208"/>
      <c r="Q7" s="209" t="s">
        <v>67</v>
      </c>
      <c r="R7" s="259" t="s">
        <v>67</v>
      </c>
      <c r="S7" s="272" t="s">
        <v>529</v>
      </c>
      <c r="T7" s="209"/>
      <c r="U7" s="208"/>
      <c r="V7" s="209" t="s">
        <v>529</v>
      </c>
      <c r="W7" s="208" t="s">
        <v>92</v>
      </c>
      <c r="X7" s="209" t="s">
        <v>67</v>
      </c>
      <c r="Y7" s="208"/>
      <c r="Z7" s="273"/>
      <c r="AA7" s="206" t="s">
        <v>530</v>
      </c>
      <c r="AB7" s="205"/>
      <c r="AC7" s="59"/>
      <c r="AD7" s="59"/>
      <c r="AE7" s="59"/>
      <c r="AF7" s="59"/>
      <c r="AG7" s="59"/>
      <c r="AH7" s="59"/>
      <c r="AI7" s="59"/>
      <c r="AJ7" s="59"/>
      <c r="AK7" s="59">
        <v>1</v>
      </c>
      <c r="AL7" s="59"/>
      <c r="AM7" s="65"/>
      <c r="AN7" s="277" t="s">
        <v>652</v>
      </c>
    </row>
    <row r="8" spans="1:40" s="1" customFormat="1" ht="39.75" customHeight="1" x14ac:dyDescent="0.3">
      <c r="A8" s="213">
        <v>5</v>
      </c>
      <c r="B8" s="212">
        <v>5</v>
      </c>
      <c r="C8" s="209" t="s">
        <v>651</v>
      </c>
      <c r="D8" s="211" t="s">
        <v>601</v>
      </c>
      <c r="E8" s="259" t="s">
        <v>618</v>
      </c>
      <c r="F8" s="266" t="s">
        <v>162</v>
      </c>
      <c r="G8" s="209">
        <v>1</v>
      </c>
      <c r="H8" s="210" t="s">
        <v>68</v>
      </c>
      <c r="I8" s="209" t="s">
        <v>66</v>
      </c>
      <c r="J8" s="267" t="s">
        <v>121</v>
      </c>
      <c r="K8" s="262" t="s">
        <v>155</v>
      </c>
      <c r="L8" s="210" t="s">
        <v>67</v>
      </c>
      <c r="M8" s="209" t="s">
        <v>450</v>
      </c>
      <c r="N8" s="208" t="s">
        <v>529</v>
      </c>
      <c r="O8" s="209"/>
      <c r="P8" s="208" t="s">
        <v>529</v>
      </c>
      <c r="Q8" s="209" t="s">
        <v>67</v>
      </c>
      <c r="R8" s="259" t="s">
        <v>67</v>
      </c>
      <c r="S8" s="272" t="s">
        <v>529</v>
      </c>
      <c r="T8" s="209"/>
      <c r="U8" s="208"/>
      <c r="V8" s="209" t="s">
        <v>529</v>
      </c>
      <c r="W8" s="208" t="s">
        <v>92</v>
      </c>
      <c r="X8" s="209" t="s">
        <v>49</v>
      </c>
      <c r="Y8" s="208"/>
      <c r="Z8" s="273"/>
      <c r="AA8" s="206" t="s">
        <v>530</v>
      </c>
      <c r="AB8" s="205">
        <v>1</v>
      </c>
      <c r="AC8" s="59"/>
      <c r="AD8" s="59">
        <v>1</v>
      </c>
      <c r="AE8" s="59">
        <v>1</v>
      </c>
      <c r="AF8" s="59"/>
      <c r="AG8" s="59"/>
      <c r="AH8" s="59"/>
      <c r="AI8" s="59"/>
      <c r="AJ8" s="59"/>
      <c r="AK8" s="59"/>
      <c r="AL8" s="59"/>
      <c r="AM8" s="65"/>
      <c r="AN8" s="277" t="s">
        <v>650</v>
      </c>
    </row>
    <row r="9" spans="1:40" s="1" customFormat="1" ht="39.75" customHeight="1" thickBot="1" x14ac:dyDescent="0.35">
      <c r="A9" s="203">
        <v>6</v>
      </c>
      <c r="B9" s="202">
        <v>6</v>
      </c>
      <c r="C9" s="199" t="s">
        <v>643</v>
      </c>
      <c r="D9" s="201" t="s">
        <v>601</v>
      </c>
      <c r="E9" s="260" t="s">
        <v>722</v>
      </c>
      <c r="F9" s="268" t="s">
        <v>163</v>
      </c>
      <c r="G9" s="199">
        <v>1</v>
      </c>
      <c r="H9" s="200" t="s">
        <v>68</v>
      </c>
      <c r="I9" s="199" t="s">
        <v>75</v>
      </c>
      <c r="J9" s="269" t="s">
        <v>121</v>
      </c>
      <c r="K9" s="263" t="s">
        <v>125</v>
      </c>
      <c r="L9" s="200" t="s">
        <v>67</v>
      </c>
      <c r="M9" s="199" t="s">
        <v>456</v>
      </c>
      <c r="N9" s="198" t="s">
        <v>529</v>
      </c>
      <c r="O9" s="199"/>
      <c r="P9" s="198"/>
      <c r="Q9" s="199" t="s">
        <v>67</v>
      </c>
      <c r="R9" s="260" t="s">
        <v>67</v>
      </c>
      <c r="S9" s="274" t="s">
        <v>529</v>
      </c>
      <c r="T9" s="199" t="s">
        <v>529</v>
      </c>
      <c r="U9" s="198"/>
      <c r="V9" s="199" t="s">
        <v>529</v>
      </c>
      <c r="W9" s="198" t="s">
        <v>92</v>
      </c>
      <c r="X9" s="199" t="s">
        <v>49</v>
      </c>
      <c r="Y9" s="198" t="s">
        <v>529</v>
      </c>
      <c r="Z9" s="275"/>
      <c r="AA9" s="196" t="s">
        <v>644</v>
      </c>
      <c r="AB9" s="195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7"/>
      <c r="AN9" s="278" t="s">
        <v>737</v>
      </c>
    </row>
    <row r="10" spans="1:40" s="1" customFormat="1" ht="39.75" customHeight="1" x14ac:dyDescent="0.3">
      <c r="A10" s="226">
        <v>7</v>
      </c>
      <c r="B10" s="225">
        <v>7</v>
      </c>
      <c r="C10" s="222" t="s">
        <v>643</v>
      </c>
      <c r="D10" s="224" t="s">
        <v>601</v>
      </c>
      <c r="E10" s="258" t="s">
        <v>580</v>
      </c>
      <c r="F10" s="264" t="s">
        <v>163</v>
      </c>
      <c r="G10" s="222">
        <v>1</v>
      </c>
      <c r="H10" s="223" t="s">
        <v>68</v>
      </c>
      <c r="I10" s="222" t="s">
        <v>75</v>
      </c>
      <c r="J10" s="265" t="s">
        <v>121</v>
      </c>
      <c r="K10" s="261" t="s">
        <v>125</v>
      </c>
      <c r="L10" s="223" t="s">
        <v>67</v>
      </c>
      <c r="M10" s="222" t="s">
        <v>456</v>
      </c>
      <c r="N10" s="221" t="s">
        <v>529</v>
      </c>
      <c r="O10" s="222"/>
      <c r="P10" s="221"/>
      <c r="Q10" s="222" t="s">
        <v>67</v>
      </c>
      <c r="R10" s="258" t="s">
        <v>67</v>
      </c>
      <c r="S10" s="270"/>
      <c r="T10" s="222"/>
      <c r="U10" s="221"/>
      <c r="V10" s="222" t="s">
        <v>529</v>
      </c>
      <c r="W10" s="221" t="s">
        <v>92</v>
      </c>
      <c r="X10" s="222" t="s">
        <v>67</v>
      </c>
      <c r="Y10" s="221"/>
      <c r="Z10" s="271"/>
      <c r="AA10" s="219" t="s">
        <v>644</v>
      </c>
      <c r="AB10" s="218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4"/>
      <c r="AN10" s="276" t="s">
        <v>737</v>
      </c>
    </row>
    <row r="11" spans="1:40" s="1" customFormat="1" ht="39.75" customHeight="1" x14ac:dyDescent="0.3">
      <c r="A11" s="213">
        <v>8</v>
      </c>
      <c r="B11" s="212">
        <v>8</v>
      </c>
      <c r="C11" s="209" t="s">
        <v>643</v>
      </c>
      <c r="D11" s="211" t="s">
        <v>601</v>
      </c>
      <c r="E11" s="259" t="s">
        <v>645</v>
      </c>
      <c r="F11" s="266" t="s">
        <v>163</v>
      </c>
      <c r="G11" s="209">
        <v>1</v>
      </c>
      <c r="H11" s="210" t="s">
        <v>68</v>
      </c>
      <c r="I11" s="209" t="s">
        <v>66</v>
      </c>
      <c r="J11" s="267" t="s">
        <v>121</v>
      </c>
      <c r="K11" s="262" t="s">
        <v>125</v>
      </c>
      <c r="L11" s="210" t="s">
        <v>67</v>
      </c>
      <c r="M11" s="209" t="s">
        <v>623</v>
      </c>
      <c r="N11" s="208"/>
      <c r="O11" s="209"/>
      <c r="P11" s="208"/>
      <c r="Q11" s="209" t="s">
        <v>67</v>
      </c>
      <c r="R11" s="259" t="s">
        <v>67</v>
      </c>
      <c r="S11" s="272" t="s">
        <v>529</v>
      </c>
      <c r="T11" s="209"/>
      <c r="U11" s="208"/>
      <c r="V11" s="209" t="s">
        <v>529</v>
      </c>
      <c r="W11" s="208" t="s">
        <v>92</v>
      </c>
      <c r="X11" s="209" t="s">
        <v>67</v>
      </c>
      <c r="Y11" s="208"/>
      <c r="Z11" s="273"/>
      <c r="AA11" s="206" t="s">
        <v>530</v>
      </c>
      <c r="AB11" s="205">
        <v>1</v>
      </c>
      <c r="AC11" s="59">
        <v>1</v>
      </c>
      <c r="AD11" s="59"/>
      <c r="AE11" s="59"/>
      <c r="AF11" s="59"/>
      <c r="AG11" s="59"/>
      <c r="AH11" s="59"/>
      <c r="AI11" s="59"/>
      <c r="AJ11" s="59"/>
      <c r="AK11" s="59"/>
      <c r="AL11" s="59"/>
      <c r="AM11" s="65"/>
      <c r="AN11" s="277" t="s">
        <v>648</v>
      </c>
    </row>
    <row r="12" spans="1:40" s="1" customFormat="1" ht="39.75" customHeight="1" x14ac:dyDescent="0.3">
      <c r="A12" s="213">
        <v>9</v>
      </c>
      <c r="B12" s="212">
        <v>9</v>
      </c>
      <c r="C12" s="209" t="s">
        <v>643</v>
      </c>
      <c r="D12" s="211" t="s">
        <v>601</v>
      </c>
      <c r="E12" s="259" t="s">
        <v>647</v>
      </c>
      <c r="F12" s="266" t="s">
        <v>163</v>
      </c>
      <c r="G12" s="209">
        <v>1</v>
      </c>
      <c r="H12" s="210" t="s">
        <v>68</v>
      </c>
      <c r="I12" s="209" t="s">
        <v>66</v>
      </c>
      <c r="J12" s="267" t="s">
        <v>44</v>
      </c>
      <c r="K12" s="262" t="s">
        <v>125</v>
      </c>
      <c r="L12" s="210" t="s">
        <v>67</v>
      </c>
      <c r="M12" s="209" t="s">
        <v>457</v>
      </c>
      <c r="N12" s="208"/>
      <c r="O12" s="209"/>
      <c r="P12" s="208"/>
      <c r="Q12" s="209" t="s">
        <v>67</v>
      </c>
      <c r="R12" s="259" t="s">
        <v>67</v>
      </c>
      <c r="S12" s="272" t="s">
        <v>529</v>
      </c>
      <c r="T12" s="209"/>
      <c r="U12" s="208"/>
      <c r="V12" s="209" t="s">
        <v>529</v>
      </c>
      <c r="W12" s="208" t="s">
        <v>91</v>
      </c>
      <c r="X12" s="209" t="s">
        <v>67</v>
      </c>
      <c r="Y12" s="208"/>
      <c r="Z12" s="273"/>
      <c r="AA12" s="206" t="s">
        <v>530</v>
      </c>
      <c r="AB12" s="205"/>
      <c r="AC12" s="59"/>
      <c r="AD12" s="59"/>
      <c r="AE12" s="59"/>
      <c r="AF12" s="59">
        <v>1</v>
      </c>
      <c r="AG12" s="59"/>
      <c r="AH12" s="59"/>
      <c r="AI12" s="59"/>
      <c r="AJ12" s="59"/>
      <c r="AK12" s="59"/>
      <c r="AL12" s="59"/>
      <c r="AM12" s="65"/>
      <c r="AN12" s="277" t="s">
        <v>749</v>
      </c>
    </row>
    <row r="13" spans="1:40" s="1" customFormat="1" ht="39.75" customHeight="1" x14ac:dyDescent="0.3">
      <c r="A13" s="213">
        <v>10</v>
      </c>
      <c r="B13" s="212">
        <v>10</v>
      </c>
      <c r="C13" s="209" t="s">
        <v>643</v>
      </c>
      <c r="D13" s="211" t="s">
        <v>646</v>
      </c>
      <c r="E13" s="259" t="s">
        <v>645</v>
      </c>
      <c r="F13" s="266" t="s">
        <v>163</v>
      </c>
      <c r="G13" s="209">
        <v>1</v>
      </c>
      <c r="H13" s="210" t="s">
        <v>68</v>
      </c>
      <c r="I13" s="209" t="s">
        <v>66</v>
      </c>
      <c r="J13" s="267" t="s">
        <v>44</v>
      </c>
      <c r="K13" s="262" t="s">
        <v>125</v>
      </c>
      <c r="L13" s="210" t="s">
        <v>67</v>
      </c>
      <c r="M13" s="209" t="s">
        <v>454</v>
      </c>
      <c r="N13" s="208"/>
      <c r="O13" s="209"/>
      <c r="P13" s="208"/>
      <c r="Q13" s="209" t="s">
        <v>67</v>
      </c>
      <c r="R13" s="259" t="s">
        <v>67</v>
      </c>
      <c r="S13" s="272" t="s">
        <v>529</v>
      </c>
      <c r="T13" s="209"/>
      <c r="U13" s="208"/>
      <c r="V13" s="209" t="s">
        <v>529</v>
      </c>
      <c r="W13" s="208" t="s">
        <v>92</v>
      </c>
      <c r="X13" s="209" t="s">
        <v>49</v>
      </c>
      <c r="Y13" s="208" t="s">
        <v>529</v>
      </c>
      <c r="Z13" s="273"/>
      <c r="AA13" s="206" t="s">
        <v>644</v>
      </c>
      <c r="AB13" s="205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5"/>
      <c r="AN13" s="277"/>
    </row>
    <row r="14" spans="1:40" s="1" customFormat="1" ht="39.75" customHeight="1" x14ac:dyDescent="0.3">
      <c r="A14" s="213">
        <v>11</v>
      </c>
      <c r="B14" s="212">
        <v>11</v>
      </c>
      <c r="C14" s="209" t="s">
        <v>643</v>
      </c>
      <c r="D14" s="211" t="s">
        <v>601</v>
      </c>
      <c r="E14" s="259" t="s">
        <v>618</v>
      </c>
      <c r="F14" s="266" t="s">
        <v>604</v>
      </c>
      <c r="G14" s="209">
        <v>1</v>
      </c>
      <c r="H14" s="210" t="s">
        <v>68</v>
      </c>
      <c r="I14" s="209" t="s">
        <v>746</v>
      </c>
      <c r="J14" s="267" t="s">
        <v>121</v>
      </c>
      <c r="K14" s="262" t="s">
        <v>155</v>
      </c>
      <c r="L14" s="210" t="s">
        <v>67</v>
      </c>
      <c r="M14" s="209" t="s">
        <v>456</v>
      </c>
      <c r="N14" s="208" t="s">
        <v>529</v>
      </c>
      <c r="O14" s="209"/>
      <c r="P14" s="208"/>
      <c r="Q14" s="209" t="s">
        <v>67</v>
      </c>
      <c r="R14" s="259" t="s">
        <v>67</v>
      </c>
      <c r="S14" s="272" t="s">
        <v>529</v>
      </c>
      <c r="T14" s="209"/>
      <c r="U14" s="208"/>
      <c r="V14" s="209" t="s">
        <v>529</v>
      </c>
      <c r="W14" s="208" t="s">
        <v>92</v>
      </c>
      <c r="X14" s="209" t="s">
        <v>49</v>
      </c>
      <c r="Y14" s="208" t="s">
        <v>529</v>
      </c>
      <c r="Z14" s="273"/>
      <c r="AA14" s="206" t="s">
        <v>644</v>
      </c>
      <c r="AB14" s="205"/>
      <c r="AC14" s="59"/>
      <c r="AD14" s="59"/>
      <c r="AE14" s="59">
        <v>1</v>
      </c>
      <c r="AF14" s="59"/>
      <c r="AG14" s="59"/>
      <c r="AH14" s="59"/>
      <c r="AI14" s="59"/>
      <c r="AJ14" s="59"/>
      <c r="AK14" s="59"/>
      <c r="AL14" s="59"/>
      <c r="AM14" s="65"/>
      <c r="AN14" s="277" t="s">
        <v>751</v>
      </c>
    </row>
    <row r="15" spans="1:40" s="1" customFormat="1" ht="39.75" customHeight="1" thickBot="1" x14ac:dyDescent="0.35">
      <c r="A15" s="203">
        <v>12</v>
      </c>
      <c r="B15" s="202">
        <v>12</v>
      </c>
      <c r="C15" s="199" t="s">
        <v>643</v>
      </c>
      <c r="D15" s="201" t="s">
        <v>601</v>
      </c>
      <c r="E15" s="260" t="s">
        <v>612</v>
      </c>
      <c r="F15" s="268" t="s">
        <v>604</v>
      </c>
      <c r="G15" s="199">
        <v>1</v>
      </c>
      <c r="H15" s="200" t="s">
        <v>68</v>
      </c>
      <c r="I15" s="199" t="s">
        <v>66</v>
      </c>
      <c r="J15" s="269" t="s">
        <v>120</v>
      </c>
      <c r="K15" s="263" t="s">
        <v>155</v>
      </c>
      <c r="L15" s="200" t="s">
        <v>67</v>
      </c>
      <c r="M15" s="199" t="s">
        <v>456</v>
      </c>
      <c r="N15" s="198" t="s">
        <v>529</v>
      </c>
      <c r="O15" s="199"/>
      <c r="P15" s="198"/>
      <c r="Q15" s="199" t="s">
        <v>67</v>
      </c>
      <c r="R15" s="260" t="s">
        <v>67</v>
      </c>
      <c r="S15" s="274" t="s">
        <v>529</v>
      </c>
      <c r="T15" s="199"/>
      <c r="U15" s="198"/>
      <c r="V15" s="199" t="s">
        <v>529</v>
      </c>
      <c r="W15" s="198" t="s">
        <v>92</v>
      </c>
      <c r="X15" s="199" t="s">
        <v>48</v>
      </c>
      <c r="Y15" s="198" t="s">
        <v>529</v>
      </c>
      <c r="Z15" s="275"/>
      <c r="AA15" s="196" t="s">
        <v>644</v>
      </c>
      <c r="AB15" s="195"/>
      <c r="AC15" s="66"/>
      <c r="AD15" s="66"/>
      <c r="AE15" s="66">
        <v>1</v>
      </c>
      <c r="AF15" s="66"/>
      <c r="AG15" s="66"/>
      <c r="AH15" s="66"/>
      <c r="AI15" s="66"/>
      <c r="AJ15" s="66">
        <v>0</v>
      </c>
      <c r="AK15" s="66"/>
      <c r="AL15" s="66"/>
      <c r="AM15" s="67"/>
      <c r="AN15" s="278" t="s">
        <v>742</v>
      </c>
    </row>
    <row r="16" spans="1:40" s="1" customFormat="1" ht="39.75" customHeight="1" x14ac:dyDescent="0.3">
      <c r="A16" s="226">
        <v>13</v>
      </c>
      <c r="B16" s="225">
        <v>13</v>
      </c>
      <c r="C16" s="222" t="s">
        <v>640</v>
      </c>
      <c r="D16" s="224" t="s">
        <v>601</v>
      </c>
      <c r="E16" s="258" t="s">
        <v>723</v>
      </c>
      <c r="F16" s="264" t="s">
        <v>604</v>
      </c>
      <c r="G16" s="222">
        <v>1</v>
      </c>
      <c r="H16" s="223" t="s">
        <v>38</v>
      </c>
      <c r="I16" s="222" t="s">
        <v>66</v>
      </c>
      <c r="J16" s="265" t="s">
        <v>44</v>
      </c>
      <c r="K16" s="261" t="s">
        <v>155</v>
      </c>
      <c r="L16" s="223" t="s">
        <v>67</v>
      </c>
      <c r="M16" s="222" t="s">
        <v>456</v>
      </c>
      <c r="N16" s="221" t="s">
        <v>529</v>
      </c>
      <c r="O16" s="222"/>
      <c r="P16" s="221"/>
      <c r="Q16" s="222" t="s">
        <v>67</v>
      </c>
      <c r="R16" s="258" t="s">
        <v>67</v>
      </c>
      <c r="S16" s="270"/>
      <c r="T16" s="222"/>
      <c r="U16" s="221"/>
      <c r="V16" s="222" t="s">
        <v>529</v>
      </c>
      <c r="W16" s="221" t="s">
        <v>92</v>
      </c>
      <c r="X16" s="222" t="s">
        <v>67</v>
      </c>
      <c r="Y16" s="221"/>
      <c r="Z16" s="271"/>
      <c r="AA16" s="219" t="s">
        <v>644</v>
      </c>
      <c r="AB16" s="218"/>
      <c r="AC16" s="63"/>
      <c r="AD16" s="63"/>
      <c r="AE16" s="63">
        <v>1</v>
      </c>
      <c r="AF16" s="63"/>
      <c r="AG16" s="63"/>
      <c r="AH16" s="63"/>
      <c r="AI16" s="63"/>
      <c r="AJ16" s="63"/>
      <c r="AK16" s="63"/>
      <c r="AL16" s="63"/>
      <c r="AM16" s="64"/>
      <c r="AN16" s="276" t="s">
        <v>743</v>
      </c>
    </row>
    <row r="17" spans="1:40" s="1" customFormat="1" ht="39.75" customHeight="1" x14ac:dyDescent="0.3">
      <c r="A17" s="213">
        <v>14</v>
      </c>
      <c r="B17" s="212">
        <v>14</v>
      </c>
      <c r="C17" s="209" t="s">
        <v>640</v>
      </c>
      <c r="D17" s="211" t="s">
        <v>601</v>
      </c>
      <c r="E17" s="259" t="s">
        <v>612</v>
      </c>
      <c r="F17" s="266" t="s">
        <v>604</v>
      </c>
      <c r="G17" s="209">
        <v>1</v>
      </c>
      <c r="H17" s="210" t="s">
        <v>68</v>
      </c>
      <c r="I17" s="209" t="s">
        <v>66</v>
      </c>
      <c r="J17" s="267" t="s">
        <v>77</v>
      </c>
      <c r="K17" s="262" t="s">
        <v>155</v>
      </c>
      <c r="L17" s="210" t="s">
        <v>67</v>
      </c>
      <c r="M17" s="209" t="s">
        <v>456</v>
      </c>
      <c r="N17" s="208" t="s">
        <v>529</v>
      </c>
      <c r="O17" s="209"/>
      <c r="P17" s="208"/>
      <c r="Q17" s="209" t="s">
        <v>67</v>
      </c>
      <c r="R17" s="259" t="s">
        <v>67</v>
      </c>
      <c r="S17" s="272" t="s">
        <v>529</v>
      </c>
      <c r="T17" s="209"/>
      <c r="U17" s="208"/>
      <c r="V17" s="209" t="s">
        <v>529</v>
      </c>
      <c r="W17" s="208" t="s">
        <v>91</v>
      </c>
      <c r="X17" s="209" t="s">
        <v>49</v>
      </c>
      <c r="Y17" s="208" t="s">
        <v>529</v>
      </c>
      <c r="Z17" s="273"/>
      <c r="AA17" s="206" t="s">
        <v>530</v>
      </c>
      <c r="AB17" s="205"/>
      <c r="AC17" s="59">
        <v>1</v>
      </c>
      <c r="AD17" s="59"/>
      <c r="AE17" s="59">
        <v>1</v>
      </c>
      <c r="AF17" s="59"/>
      <c r="AG17" s="59"/>
      <c r="AH17" s="59"/>
      <c r="AI17" s="59"/>
      <c r="AJ17" s="59"/>
      <c r="AK17" s="59"/>
      <c r="AL17" s="59"/>
      <c r="AM17" s="65"/>
      <c r="AN17" s="277" t="s">
        <v>744</v>
      </c>
    </row>
    <row r="18" spans="1:40" s="1" customFormat="1" ht="39.75" customHeight="1" x14ac:dyDescent="0.3">
      <c r="A18" s="213">
        <v>15</v>
      </c>
      <c r="B18" s="212">
        <v>15</v>
      </c>
      <c r="C18" s="209" t="s">
        <v>640</v>
      </c>
      <c r="D18" s="211" t="s">
        <v>601</v>
      </c>
      <c r="E18" s="259" t="s">
        <v>641</v>
      </c>
      <c r="F18" s="266" t="s">
        <v>163</v>
      </c>
      <c r="G18" s="209">
        <v>1</v>
      </c>
      <c r="H18" s="210" t="s">
        <v>68</v>
      </c>
      <c r="I18" s="209" t="s">
        <v>75</v>
      </c>
      <c r="J18" s="267" t="s">
        <v>44</v>
      </c>
      <c r="K18" s="262" t="s">
        <v>139</v>
      </c>
      <c r="L18" s="210" t="s">
        <v>67</v>
      </c>
      <c r="M18" s="209" t="s">
        <v>457</v>
      </c>
      <c r="N18" s="208" t="s">
        <v>529</v>
      </c>
      <c r="O18" s="209"/>
      <c r="P18" s="208"/>
      <c r="Q18" s="209" t="s">
        <v>67</v>
      </c>
      <c r="R18" s="259" t="s">
        <v>67</v>
      </c>
      <c r="S18" s="272"/>
      <c r="T18" s="209"/>
      <c r="U18" s="208"/>
      <c r="V18" s="209" t="s">
        <v>529</v>
      </c>
      <c r="W18" s="208" t="s">
        <v>91</v>
      </c>
      <c r="X18" s="209" t="s">
        <v>67</v>
      </c>
      <c r="Y18" s="208"/>
      <c r="Z18" s="273"/>
      <c r="AA18" s="206" t="s">
        <v>530</v>
      </c>
      <c r="AB18" s="205"/>
      <c r="AC18" s="59"/>
      <c r="AD18" s="59"/>
      <c r="AE18" s="59"/>
      <c r="AF18" s="59">
        <v>1</v>
      </c>
      <c r="AG18" s="59"/>
      <c r="AH18" s="59"/>
      <c r="AI18" s="59"/>
      <c r="AJ18" s="59"/>
      <c r="AK18" s="59"/>
      <c r="AL18" s="59"/>
      <c r="AM18" s="65"/>
      <c r="AN18" s="277" t="s">
        <v>750</v>
      </c>
    </row>
    <row r="19" spans="1:40" s="1" customFormat="1" ht="39.75" customHeight="1" x14ac:dyDescent="0.3">
      <c r="A19" s="213">
        <v>16</v>
      </c>
      <c r="B19" s="212">
        <v>16</v>
      </c>
      <c r="C19" s="209" t="s">
        <v>640</v>
      </c>
      <c r="D19" s="211" t="s">
        <v>601</v>
      </c>
      <c r="E19" s="259" t="s">
        <v>639</v>
      </c>
      <c r="F19" s="266" t="s">
        <v>170</v>
      </c>
      <c r="G19" s="209">
        <v>2</v>
      </c>
      <c r="H19" s="210" t="s">
        <v>68</v>
      </c>
      <c r="I19" s="209" t="s">
        <v>66</v>
      </c>
      <c r="J19" s="267" t="s">
        <v>81</v>
      </c>
      <c r="K19" s="262" t="s">
        <v>127</v>
      </c>
      <c r="L19" s="210" t="s">
        <v>600</v>
      </c>
      <c r="M19" s="209" t="s">
        <v>456</v>
      </c>
      <c r="N19" s="208" t="s">
        <v>529</v>
      </c>
      <c r="O19" s="209"/>
      <c r="P19" s="208"/>
      <c r="Q19" s="209" t="s">
        <v>67</v>
      </c>
      <c r="R19" s="259" t="s">
        <v>67</v>
      </c>
      <c r="S19" s="272"/>
      <c r="T19" s="209"/>
      <c r="U19" s="208"/>
      <c r="V19" s="209" t="s">
        <v>529</v>
      </c>
      <c r="W19" s="208" t="s">
        <v>91</v>
      </c>
      <c r="X19" s="209" t="s">
        <v>67</v>
      </c>
      <c r="Y19" s="208"/>
      <c r="Z19" s="273"/>
      <c r="AA19" s="206" t="s">
        <v>644</v>
      </c>
      <c r="AB19" s="205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65"/>
      <c r="AN19" s="277"/>
    </row>
    <row r="20" spans="1:40" s="1" customFormat="1" ht="39.75" customHeight="1" x14ac:dyDescent="0.3">
      <c r="A20" s="213">
        <v>17</v>
      </c>
      <c r="B20" s="212">
        <v>17</v>
      </c>
      <c r="C20" s="209" t="s">
        <v>636</v>
      </c>
      <c r="D20" s="211" t="s">
        <v>601</v>
      </c>
      <c r="E20" s="259" t="s">
        <v>724</v>
      </c>
      <c r="F20" s="266" t="s">
        <v>163</v>
      </c>
      <c r="G20" s="209">
        <v>1</v>
      </c>
      <c r="H20" s="210" t="s">
        <v>68</v>
      </c>
      <c r="I20" s="209" t="s">
        <v>66</v>
      </c>
      <c r="J20" s="267" t="s">
        <v>44</v>
      </c>
      <c r="K20" s="262" t="s">
        <v>155</v>
      </c>
      <c r="L20" s="210" t="s">
        <v>67</v>
      </c>
      <c r="M20" s="209" t="s">
        <v>623</v>
      </c>
      <c r="N20" s="208" t="s">
        <v>529</v>
      </c>
      <c r="O20" s="209"/>
      <c r="P20" s="208"/>
      <c r="Q20" s="209" t="s">
        <v>67</v>
      </c>
      <c r="R20" s="259" t="s">
        <v>67</v>
      </c>
      <c r="S20" s="272" t="s">
        <v>529</v>
      </c>
      <c r="T20" s="209"/>
      <c r="U20" s="208"/>
      <c r="V20" s="209" t="s">
        <v>529</v>
      </c>
      <c r="W20" s="208" t="s">
        <v>91</v>
      </c>
      <c r="X20" s="209" t="s">
        <v>67</v>
      </c>
      <c r="Y20" s="208"/>
      <c r="Z20" s="273"/>
      <c r="AA20" s="206" t="s">
        <v>530</v>
      </c>
      <c r="AB20" s="205"/>
      <c r="AC20" s="59"/>
      <c r="AD20" s="59"/>
      <c r="AE20" s="59"/>
      <c r="AF20" s="59">
        <v>1</v>
      </c>
      <c r="AG20" s="59"/>
      <c r="AH20" s="59"/>
      <c r="AI20" s="59"/>
      <c r="AJ20" s="59"/>
      <c r="AK20" s="59"/>
      <c r="AL20" s="59"/>
      <c r="AM20" s="65"/>
      <c r="AN20" s="277" t="s">
        <v>750</v>
      </c>
    </row>
    <row r="21" spans="1:40" s="1" customFormat="1" ht="39.75" customHeight="1" thickBot="1" x14ac:dyDescent="0.35">
      <c r="A21" s="203">
        <v>18</v>
      </c>
      <c r="B21" s="202">
        <v>18</v>
      </c>
      <c r="C21" s="199" t="s">
        <v>636</v>
      </c>
      <c r="D21" s="201" t="s">
        <v>601</v>
      </c>
      <c r="E21" s="260" t="s">
        <v>612</v>
      </c>
      <c r="F21" s="268" t="s">
        <v>604</v>
      </c>
      <c r="G21" s="199">
        <v>1</v>
      </c>
      <c r="H21" s="200" t="s">
        <v>68</v>
      </c>
      <c r="I21" s="199" t="s">
        <v>66</v>
      </c>
      <c r="J21" s="269" t="s">
        <v>120</v>
      </c>
      <c r="K21" s="263" t="s">
        <v>155</v>
      </c>
      <c r="L21" s="200" t="s">
        <v>67</v>
      </c>
      <c r="M21" s="199" t="s">
        <v>456</v>
      </c>
      <c r="N21" s="198" t="s">
        <v>529</v>
      </c>
      <c r="O21" s="199"/>
      <c r="P21" s="198"/>
      <c r="Q21" s="199" t="s">
        <v>67</v>
      </c>
      <c r="R21" s="260" t="s">
        <v>67</v>
      </c>
      <c r="S21" s="274" t="s">
        <v>529</v>
      </c>
      <c r="T21" s="199" t="s">
        <v>529</v>
      </c>
      <c r="U21" s="198"/>
      <c r="V21" s="199" t="s">
        <v>529</v>
      </c>
      <c r="W21" s="198" t="s">
        <v>92</v>
      </c>
      <c r="X21" s="199" t="s">
        <v>49</v>
      </c>
      <c r="Y21" s="198" t="s">
        <v>529</v>
      </c>
      <c r="Z21" s="275"/>
      <c r="AA21" s="196" t="s">
        <v>644</v>
      </c>
      <c r="AB21" s="195"/>
      <c r="AC21" s="66"/>
      <c r="AD21" s="66"/>
      <c r="AE21" s="66">
        <v>1</v>
      </c>
      <c r="AF21" s="66"/>
      <c r="AG21" s="66"/>
      <c r="AH21" s="66"/>
      <c r="AI21" s="66"/>
      <c r="AJ21" s="66"/>
      <c r="AK21" s="66"/>
      <c r="AL21" s="66"/>
      <c r="AM21" s="67"/>
      <c r="AN21" s="278" t="s">
        <v>745</v>
      </c>
    </row>
    <row r="22" spans="1:40" s="1" customFormat="1" ht="39.75" customHeight="1" x14ac:dyDescent="0.3">
      <c r="A22" s="226">
        <v>19</v>
      </c>
      <c r="B22" s="225">
        <v>19</v>
      </c>
      <c r="C22" s="222" t="s">
        <v>636</v>
      </c>
      <c r="D22" s="224" t="s">
        <v>601</v>
      </c>
      <c r="E22" s="258" t="s">
        <v>637</v>
      </c>
      <c r="F22" s="264" t="s">
        <v>163</v>
      </c>
      <c r="G22" s="222">
        <v>1</v>
      </c>
      <c r="H22" s="223" t="s">
        <v>68</v>
      </c>
      <c r="I22" s="222" t="s">
        <v>75</v>
      </c>
      <c r="J22" s="265" t="s">
        <v>77</v>
      </c>
      <c r="K22" s="261" t="s">
        <v>131</v>
      </c>
      <c r="L22" s="223" t="s">
        <v>67</v>
      </c>
      <c r="M22" s="222" t="s">
        <v>456</v>
      </c>
      <c r="N22" s="221" t="s">
        <v>529</v>
      </c>
      <c r="O22" s="222"/>
      <c r="P22" s="221"/>
      <c r="Q22" s="222" t="s">
        <v>67</v>
      </c>
      <c r="R22" s="258" t="s">
        <v>67</v>
      </c>
      <c r="S22" s="270" t="s">
        <v>529</v>
      </c>
      <c r="T22" s="222"/>
      <c r="U22" s="221"/>
      <c r="V22" s="222" t="s">
        <v>529</v>
      </c>
      <c r="W22" s="221" t="s">
        <v>91</v>
      </c>
      <c r="X22" s="222" t="s">
        <v>49</v>
      </c>
      <c r="Y22" s="221" t="s">
        <v>529</v>
      </c>
      <c r="Z22" s="271"/>
      <c r="AA22" s="219" t="s">
        <v>644</v>
      </c>
      <c r="AB22" s="218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4"/>
      <c r="AN22" s="276" t="s">
        <v>737</v>
      </c>
    </row>
    <row r="23" spans="1:40" s="1" customFormat="1" ht="39.75" customHeight="1" x14ac:dyDescent="0.3">
      <c r="A23" s="213">
        <v>20</v>
      </c>
      <c r="B23" s="212">
        <v>20</v>
      </c>
      <c r="C23" s="209" t="s">
        <v>636</v>
      </c>
      <c r="D23" s="211" t="s">
        <v>601</v>
      </c>
      <c r="E23" s="259" t="s">
        <v>725</v>
      </c>
      <c r="F23" s="266" t="s">
        <v>163</v>
      </c>
      <c r="G23" s="209">
        <v>1</v>
      </c>
      <c r="H23" s="210" t="s">
        <v>68</v>
      </c>
      <c r="I23" s="209" t="s">
        <v>75</v>
      </c>
      <c r="J23" s="267" t="s">
        <v>44</v>
      </c>
      <c r="K23" s="262" t="s">
        <v>124</v>
      </c>
      <c r="L23" s="210" t="s">
        <v>67</v>
      </c>
      <c r="M23" s="209" t="s">
        <v>456</v>
      </c>
      <c r="N23" s="208" t="s">
        <v>529</v>
      </c>
      <c r="O23" s="209"/>
      <c r="P23" s="208"/>
      <c r="Q23" s="209" t="s">
        <v>67</v>
      </c>
      <c r="R23" s="259" t="s">
        <v>67</v>
      </c>
      <c r="S23" s="272"/>
      <c r="T23" s="209"/>
      <c r="U23" s="208"/>
      <c r="V23" s="209"/>
      <c r="W23" s="208" t="s">
        <v>91</v>
      </c>
      <c r="X23" s="209" t="s">
        <v>67</v>
      </c>
      <c r="Y23" s="208"/>
      <c r="Z23" s="273"/>
      <c r="AA23" s="206" t="s">
        <v>530</v>
      </c>
      <c r="AB23" s="205"/>
      <c r="AC23" s="59"/>
      <c r="AD23" s="59"/>
      <c r="AE23" s="59"/>
      <c r="AF23" s="59">
        <v>1</v>
      </c>
      <c r="AG23" s="59"/>
      <c r="AH23" s="59"/>
      <c r="AI23" s="59"/>
      <c r="AJ23" s="59"/>
      <c r="AK23" s="59"/>
      <c r="AL23" s="59"/>
      <c r="AM23" s="65"/>
      <c r="AN23" s="277" t="s">
        <v>752</v>
      </c>
    </row>
    <row r="24" spans="1:40" s="1" customFormat="1" ht="39.75" customHeight="1" x14ac:dyDescent="0.3">
      <c r="A24" s="213">
        <v>21</v>
      </c>
      <c r="B24" s="212">
        <v>21</v>
      </c>
      <c r="C24" s="209" t="s">
        <v>631</v>
      </c>
      <c r="D24" s="211" t="s">
        <v>601</v>
      </c>
      <c r="E24" s="259" t="s">
        <v>618</v>
      </c>
      <c r="F24" s="266" t="s">
        <v>604</v>
      </c>
      <c r="G24" s="209">
        <v>1</v>
      </c>
      <c r="H24" s="210" t="s">
        <v>68</v>
      </c>
      <c r="I24" s="209" t="s">
        <v>66</v>
      </c>
      <c r="J24" s="267" t="s">
        <v>44</v>
      </c>
      <c r="K24" s="262" t="s">
        <v>155</v>
      </c>
      <c r="L24" s="210" t="s">
        <v>67</v>
      </c>
      <c r="M24" s="209" t="s">
        <v>623</v>
      </c>
      <c r="N24" s="208" t="s">
        <v>529</v>
      </c>
      <c r="O24" s="209"/>
      <c r="P24" s="208"/>
      <c r="Q24" s="209" t="s">
        <v>67</v>
      </c>
      <c r="R24" s="259" t="s">
        <v>67</v>
      </c>
      <c r="S24" s="272" t="s">
        <v>529</v>
      </c>
      <c r="T24" s="209"/>
      <c r="U24" s="208"/>
      <c r="V24" s="209" t="s">
        <v>529</v>
      </c>
      <c r="W24" s="208" t="s">
        <v>92</v>
      </c>
      <c r="X24" s="209" t="s">
        <v>67</v>
      </c>
      <c r="Y24" s="208"/>
      <c r="Z24" s="273"/>
      <c r="AA24" s="206" t="s">
        <v>530</v>
      </c>
      <c r="AB24" s="205"/>
      <c r="AC24" s="59"/>
      <c r="AD24" s="59"/>
      <c r="AE24" s="59"/>
      <c r="AF24" s="59">
        <v>1</v>
      </c>
      <c r="AG24" s="59"/>
      <c r="AH24" s="59"/>
      <c r="AI24" s="59"/>
      <c r="AJ24" s="59"/>
      <c r="AK24" s="59"/>
      <c r="AL24" s="59"/>
      <c r="AM24" s="65"/>
      <c r="AN24" s="277" t="s">
        <v>753</v>
      </c>
    </row>
    <row r="25" spans="1:40" s="1" customFormat="1" ht="39.75" customHeight="1" x14ac:dyDescent="0.3">
      <c r="A25" s="213">
        <v>22</v>
      </c>
      <c r="B25" s="212">
        <v>22</v>
      </c>
      <c r="C25" s="209" t="s">
        <v>631</v>
      </c>
      <c r="D25" s="211" t="s">
        <v>601</v>
      </c>
      <c r="E25" s="259" t="s">
        <v>726</v>
      </c>
      <c r="F25" s="266" t="s">
        <v>604</v>
      </c>
      <c r="G25" s="209">
        <v>1</v>
      </c>
      <c r="H25" s="210" t="s">
        <v>68</v>
      </c>
      <c r="I25" s="209" t="s">
        <v>66</v>
      </c>
      <c r="J25" s="267" t="s">
        <v>77</v>
      </c>
      <c r="K25" s="262" t="s">
        <v>155</v>
      </c>
      <c r="L25" s="210" t="s">
        <v>67</v>
      </c>
      <c r="M25" s="209" t="s">
        <v>623</v>
      </c>
      <c r="N25" s="208" t="s">
        <v>529</v>
      </c>
      <c r="O25" s="209"/>
      <c r="P25" s="208"/>
      <c r="Q25" s="209" t="s">
        <v>67</v>
      </c>
      <c r="R25" s="259" t="s">
        <v>67</v>
      </c>
      <c r="S25" s="272" t="s">
        <v>529</v>
      </c>
      <c r="T25" s="209"/>
      <c r="U25" s="208"/>
      <c r="V25" s="209" t="s">
        <v>529</v>
      </c>
      <c r="W25" s="208" t="s">
        <v>92</v>
      </c>
      <c r="X25" s="209" t="s">
        <v>67</v>
      </c>
      <c r="Y25" s="208"/>
      <c r="Z25" s="273"/>
      <c r="AA25" s="206" t="s">
        <v>530</v>
      </c>
      <c r="AB25" s="205"/>
      <c r="AC25" s="59"/>
      <c r="AD25" s="59"/>
      <c r="AE25" s="59"/>
      <c r="AF25" s="59">
        <v>1</v>
      </c>
      <c r="AG25" s="59"/>
      <c r="AH25" s="59"/>
      <c r="AI25" s="59"/>
      <c r="AJ25" s="59"/>
      <c r="AK25" s="59"/>
      <c r="AL25" s="59"/>
      <c r="AM25" s="65"/>
      <c r="AN25" s="277" t="s">
        <v>754</v>
      </c>
    </row>
    <row r="26" spans="1:40" s="1" customFormat="1" ht="39.75" customHeight="1" x14ac:dyDescent="0.3">
      <c r="A26" s="213">
        <v>23</v>
      </c>
      <c r="B26" s="212">
        <v>23</v>
      </c>
      <c r="C26" s="209" t="s">
        <v>631</v>
      </c>
      <c r="D26" s="211" t="s">
        <v>601</v>
      </c>
      <c r="E26" s="259" t="s">
        <v>727</v>
      </c>
      <c r="F26" s="266" t="s">
        <v>170</v>
      </c>
      <c r="G26" s="209">
        <v>2</v>
      </c>
      <c r="H26" s="210" t="s">
        <v>68</v>
      </c>
      <c r="I26" s="209" t="s">
        <v>633</v>
      </c>
      <c r="J26" s="267" t="s">
        <v>80</v>
      </c>
      <c r="K26" s="262" t="s">
        <v>131</v>
      </c>
      <c r="L26" s="210" t="s">
        <v>600</v>
      </c>
      <c r="M26" s="209" t="s">
        <v>456</v>
      </c>
      <c r="N26" s="208" t="s">
        <v>529</v>
      </c>
      <c r="O26" s="209"/>
      <c r="P26" s="208"/>
      <c r="Q26" s="209" t="s">
        <v>67</v>
      </c>
      <c r="R26" s="259" t="s">
        <v>67</v>
      </c>
      <c r="S26" s="272"/>
      <c r="T26" s="209"/>
      <c r="U26" s="208"/>
      <c r="V26" s="209" t="s">
        <v>529</v>
      </c>
      <c r="W26" s="208" t="s">
        <v>91</v>
      </c>
      <c r="X26" s="209" t="s">
        <v>67</v>
      </c>
      <c r="Y26" s="208"/>
      <c r="Z26" s="273"/>
      <c r="AA26" s="206" t="s">
        <v>530</v>
      </c>
      <c r="AB26" s="205"/>
      <c r="AC26" s="59"/>
      <c r="AD26" s="59"/>
      <c r="AE26" s="59"/>
      <c r="AF26" s="59">
        <v>1</v>
      </c>
      <c r="AG26" s="59"/>
      <c r="AH26" s="59"/>
      <c r="AI26" s="59"/>
      <c r="AJ26" s="59"/>
      <c r="AK26" s="59"/>
      <c r="AL26" s="59"/>
      <c r="AM26" s="65"/>
      <c r="AN26" s="277" t="s">
        <v>755</v>
      </c>
    </row>
    <row r="27" spans="1:40" s="1" customFormat="1" ht="39.75" customHeight="1" thickBot="1" x14ac:dyDescent="0.35">
      <c r="A27" s="203">
        <v>24</v>
      </c>
      <c r="B27" s="202">
        <v>24</v>
      </c>
      <c r="C27" s="199" t="s">
        <v>631</v>
      </c>
      <c r="D27" s="201" t="s">
        <v>601</v>
      </c>
      <c r="E27" s="260" t="s">
        <v>727</v>
      </c>
      <c r="F27" s="268" t="s">
        <v>163</v>
      </c>
      <c r="G27" s="199">
        <v>1</v>
      </c>
      <c r="H27" s="200" t="s">
        <v>68</v>
      </c>
      <c r="I27" s="199" t="s">
        <v>75</v>
      </c>
      <c r="J27" s="269" t="s">
        <v>120</v>
      </c>
      <c r="K27" s="263" t="s">
        <v>125</v>
      </c>
      <c r="L27" s="200" t="s">
        <v>67</v>
      </c>
      <c r="M27" s="199" t="s">
        <v>457</v>
      </c>
      <c r="N27" s="198"/>
      <c r="O27" s="199"/>
      <c r="P27" s="198"/>
      <c r="Q27" s="199" t="s">
        <v>67</v>
      </c>
      <c r="R27" s="260" t="s">
        <v>67</v>
      </c>
      <c r="S27" s="274"/>
      <c r="T27" s="199"/>
      <c r="U27" s="198"/>
      <c r="V27" s="199" t="s">
        <v>529</v>
      </c>
      <c r="W27" s="198" t="s">
        <v>92</v>
      </c>
      <c r="X27" s="199" t="s">
        <v>67</v>
      </c>
      <c r="Y27" s="198"/>
      <c r="Z27" s="275"/>
      <c r="AA27" s="206" t="s">
        <v>530</v>
      </c>
      <c r="AB27" s="195"/>
      <c r="AC27" s="66"/>
      <c r="AD27" s="66"/>
      <c r="AE27" s="66"/>
      <c r="AF27" s="66">
        <v>1</v>
      </c>
      <c r="AG27" s="66"/>
      <c r="AH27" s="66"/>
      <c r="AI27" s="66"/>
      <c r="AJ27" s="66"/>
      <c r="AK27" s="66"/>
      <c r="AL27" s="66"/>
      <c r="AM27" s="67"/>
      <c r="AN27" s="278" t="s">
        <v>756</v>
      </c>
    </row>
    <row r="28" spans="1:40" s="1" customFormat="1" ht="39.75" customHeight="1" x14ac:dyDescent="0.3">
      <c r="A28" s="226">
        <v>25</v>
      </c>
      <c r="B28" s="225">
        <v>25</v>
      </c>
      <c r="C28" s="222" t="s">
        <v>631</v>
      </c>
      <c r="D28" s="224" t="s">
        <v>601</v>
      </c>
      <c r="E28" s="258" t="s">
        <v>727</v>
      </c>
      <c r="F28" s="264" t="s">
        <v>163</v>
      </c>
      <c r="G28" s="222">
        <v>1</v>
      </c>
      <c r="H28" s="223" t="s">
        <v>68</v>
      </c>
      <c r="I28" s="222" t="s">
        <v>75</v>
      </c>
      <c r="J28" s="265" t="s">
        <v>120</v>
      </c>
      <c r="K28" s="261" t="s">
        <v>131</v>
      </c>
      <c r="L28" s="223" t="s">
        <v>67</v>
      </c>
      <c r="M28" s="222" t="s">
        <v>457</v>
      </c>
      <c r="N28" s="221" t="s">
        <v>529</v>
      </c>
      <c r="O28" s="222"/>
      <c r="P28" s="221"/>
      <c r="Q28" s="222" t="s">
        <v>67</v>
      </c>
      <c r="R28" s="258" t="s">
        <v>67</v>
      </c>
      <c r="S28" s="270"/>
      <c r="T28" s="222"/>
      <c r="U28" s="221"/>
      <c r="V28" s="222" t="s">
        <v>529</v>
      </c>
      <c r="W28" s="221" t="s">
        <v>91</v>
      </c>
      <c r="X28" s="222" t="s">
        <v>67</v>
      </c>
      <c r="Y28" s="221"/>
      <c r="Z28" s="271"/>
      <c r="AA28" s="206" t="s">
        <v>530</v>
      </c>
      <c r="AB28" s="218"/>
      <c r="AC28" s="63"/>
      <c r="AD28" s="63"/>
      <c r="AE28" s="63"/>
      <c r="AF28" s="63">
        <v>1</v>
      </c>
      <c r="AG28" s="63"/>
      <c r="AH28" s="63"/>
      <c r="AI28" s="63"/>
      <c r="AJ28" s="63"/>
      <c r="AK28" s="63"/>
      <c r="AL28" s="63"/>
      <c r="AM28" s="64"/>
      <c r="AN28" s="276" t="s">
        <v>756</v>
      </c>
    </row>
    <row r="29" spans="1:40" s="1" customFormat="1" ht="39.75" customHeight="1" x14ac:dyDescent="0.3">
      <c r="A29" s="213">
        <v>26</v>
      </c>
      <c r="B29" s="212">
        <v>26</v>
      </c>
      <c r="C29" s="209" t="s">
        <v>626</v>
      </c>
      <c r="D29" s="211" t="s">
        <v>601</v>
      </c>
      <c r="E29" s="259" t="s">
        <v>573</v>
      </c>
      <c r="F29" s="266" t="s">
        <v>163</v>
      </c>
      <c r="G29" s="209">
        <v>1</v>
      </c>
      <c r="H29" s="210" t="s">
        <v>68</v>
      </c>
      <c r="I29" s="209" t="s">
        <v>746</v>
      </c>
      <c r="J29" s="267" t="s">
        <v>77</v>
      </c>
      <c r="K29" s="262" t="s">
        <v>155</v>
      </c>
      <c r="L29" s="210" t="s">
        <v>67</v>
      </c>
      <c r="M29" s="209" t="s">
        <v>454</v>
      </c>
      <c r="N29" s="208" t="s">
        <v>529</v>
      </c>
      <c r="O29" s="209"/>
      <c r="P29" s="208"/>
      <c r="Q29" s="209" t="s">
        <v>67</v>
      </c>
      <c r="R29" s="259" t="s">
        <v>67</v>
      </c>
      <c r="S29" s="272" t="s">
        <v>529</v>
      </c>
      <c r="T29" s="209"/>
      <c r="U29" s="208"/>
      <c r="V29" s="209" t="s">
        <v>529</v>
      </c>
      <c r="W29" s="208" t="s">
        <v>92</v>
      </c>
      <c r="X29" s="209" t="s">
        <v>67</v>
      </c>
      <c r="Y29" s="208"/>
      <c r="Z29" s="273"/>
      <c r="AA29" s="206" t="s">
        <v>530</v>
      </c>
      <c r="AB29" s="205"/>
      <c r="AC29" s="59"/>
      <c r="AD29" s="59"/>
      <c r="AE29" s="59"/>
      <c r="AF29" s="59"/>
      <c r="AG29" s="59"/>
      <c r="AH29" s="59"/>
      <c r="AI29" s="59"/>
      <c r="AJ29" s="59"/>
      <c r="AK29" s="59"/>
      <c r="AL29" s="59">
        <v>1</v>
      </c>
      <c r="AM29" s="65"/>
      <c r="AN29" s="277" t="s">
        <v>629</v>
      </c>
    </row>
    <row r="30" spans="1:40" s="1" customFormat="1" ht="39.75" customHeight="1" x14ac:dyDescent="0.3">
      <c r="A30" s="213">
        <v>27</v>
      </c>
      <c r="B30" s="212">
        <v>27</v>
      </c>
      <c r="C30" s="209" t="s">
        <v>626</v>
      </c>
      <c r="D30" s="211" t="s">
        <v>601</v>
      </c>
      <c r="E30" s="259" t="s">
        <v>728</v>
      </c>
      <c r="F30" s="266" t="s">
        <v>163</v>
      </c>
      <c r="G30" s="209">
        <v>1</v>
      </c>
      <c r="H30" s="210" t="s">
        <v>68</v>
      </c>
      <c r="I30" s="209" t="s">
        <v>66</v>
      </c>
      <c r="J30" s="267" t="s">
        <v>120</v>
      </c>
      <c r="K30" s="262" t="s">
        <v>125</v>
      </c>
      <c r="L30" s="210" t="s">
        <v>67</v>
      </c>
      <c r="M30" s="209" t="s">
        <v>456</v>
      </c>
      <c r="N30" s="208" t="s">
        <v>529</v>
      </c>
      <c r="O30" s="209"/>
      <c r="P30" s="208"/>
      <c r="Q30" s="209" t="s">
        <v>67</v>
      </c>
      <c r="R30" s="259" t="s">
        <v>67</v>
      </c>
      <c r="S30" s="272" t="s">
        <v>529</v>
      </c>
      <c r="T30" s="209"/>
      <c r="U30" s="208"/>
      <c r="V30" s="209" t="s">
        <v>529</v>
      </c>
      <c r="W30" s="208" t="s">
        <v>92</v>
      </c>
      <c r="X30" s="209" t="s">
        <v>67</v>
      </c>
      <c r="Y30" s="208" t="s">
        <v>529</v>
      </c>
      <c r="Z30" s="273"/>
      <c r="AA30" s="206" t="s">
        <v>530</v>
      </c>
      <c r="AB30" s="205"/>
      <c r="AC30" s="59"/>
      <c r="AD30" s="59"/>
      <c r="AE30" s="59"/>
      <c r="AF30" s="59"/>
      <c r="AG30" s="59"/>
      <c r="AH30" s="59"/>
      <c r="AI30" s="59"/>
      <c r="AJ30" s="59"/>
      <c r="AK30" s="59"/>
      <c r="AL30" s="59">
        <v>1</v>
      </c>
      <c r="AM30" s="65">
        <v>0</v>
      </c>
      <c r="AN30" s="277" t="s">
        <v>695</v>
      </c>
    </row>
    <row r="31" spans="1:40" s="1" customFormat="1" ht="39.75" customHeight="1" x14ac:dyDescent="0.3">
      <c r="A31" s="213">
        <v>28</v>
      </c>
      <c r="B31" s="212">
        <v>28</v>
      </c>
      <c r="C31" s="209" t="s">
        <v>626</v>
      </c>
      <c r="D31" s="211" t="s">
        <v>601</v>
      </c>
      <c r="E31" s="259" t="s">
        <v>618</v>
      </c>
      <c r="F31" s="266" t="s">
        <v>604</v>
      </c>
      <c r="G31" s="209">
        <v>1</v>
      </c>
      <c r="H31" s="210" t="s">
        <v>68</v>
      </c>
      <c r="I31" s="209" t="s">
        <v>66</v>
      </c>
      <c r="J31" s="267" t="s">
        <v>121</v>
      </c>
      <c r="K31" s="262" t="s">
        <v>155</v>
      </c>
      <c r="L31" s="210" t="s">
        <v>67</v>
      </c>
      <c r="M31" s="209" t="s">
        <v>457</v>
      </c>
      <c r="N31" s="208" t="s">
        <v>529</v>
      </c>
      <c r="O31" s="209"/>
      <c r="P31" s="208"/>
      <c r="Q31" s="209" t="s">
        <v>67</v>
      </c>
      <c r="R31" s="259" t="s">
        <v>67</v>
      </c>
      <c r="S31" s="272" t="s">
        <v>529</v>
      </c>
      <c r="T31" s="209"/>
      <c r="U31" s="208"/>
      <c r="V31" s="209" t="s">
        <v>529</v>
      </c>
      <c r="W31" s="208" t="s">
        <v>92</v>
      </c>
      <c r="X31" s="209" t="s">
        <v>67</v>
      </c>
      <c r="Y31" s="208"/>
      <c r="Z31" s="273"/>
      <c r="AA31" s="206" t="s">
        <v>530</v>
      </c>
      <c r="AB31" s="205"/>
      <c r="AC31" s="59"/>
      <c r="AD31" s="59"/>
      <c r="AE31" s="59"/>
      <c r="AF31" s="59">
        <v>1</v>
      </c>
      <c r="AG31" s="59"/>
      <c r="AH31" s="59"/>
      <c r="AI31" s="59"/>
      <c r="AJ31" s="59"/>
      <c r="AK31" s="59"/>
      <c r="AL31" s="59"/>
      <c r="AM31" s="65"/>
      <c r="AN31" s="277" t="s">
        <v>627</v>
      </c>
    </row>
    <row r="32" spans="1:40" s="1" customFormat="1" ht="39.75" customHeight="1" x14ac:dyDescent="0.3">
      <c r="A32" s="213">
        <v>29</v>
      </c>
      <c r="B32" s="212">
        <v>29</v>
      </c>
      <c r="C32" s="209" t="s">
        <v>626</v>
      </c>
      <c r="D32" s="211" t="s">
        <v>601</v>
      </c>
      <c r="E32" s="259" t="s">
        <v>612</v>
      </c>
      <c r="F32" s="266" t="s">
        <v>604</v>
      </c>
      <c r="G32" s="209">
        <v>1</v>
      </c>
      <c r="H32" s="210" t="s">
        <v>68</v>
      </c>
      <c r="I32" s="209" t="s">
        <v>746</v>
      </c>
      <c r="J32" s="267" t="s">
        <v>120</v>
      </c>
      <c r="K32" s="262" t="s">
        <v>155</v>
      </c>
      <c r="L32" s="210" t="s">
        <v>67</v>
      </c>
      <c r="M32" s="209" t="s">
        <v>456</v>
      </c>
      <c r="N32" s="208" t="s">
        <v>529</v>
      </c>
      <c r="O32" s="209"/>
      <c r="P32" s="208"/>
      <c r="Q32" s="209" t="s">
        <v>67</v>
      </c>
      <c r="R32" s="259" t="s">
        <v>67</v>
      </c>
      <c r="S32" s="272" t="s">
        <v>529</v>
      </c>
      <c r="T32" s="209" t="s">
        <v>529</v>
      </c>
      <c r="U32" s="208"/>
      <c r="V32" s="209" t="s">
        <v>529</v>
      </c>
      <c r="W32" s="208" t="s">
        <v>92</v>
      </c>
      <c r="X32" s="209" t="s">
        <v>49</v>
      </c>
      <c r="Y32" s="208" t="s">
        <v>529</v>
      </c>
      <c r="Z32" s="273"/>
      <c r="AA32" s="206" t="s">
        <v>644</v>
      </c>
      <c r="AB32" s="205"/>
      <c r="AC32" s="59"/>
      <c r="AD32" s="59"/>
      <c r="AE32" s="59">
        <v>1</v>
      </c>
      <c r="AF32" s="59"/>
      <c r="AG32" s="59"/>
      <c r="AH32" s="59"/>
      <c r="AI32" s="59"/>
      <c r="AJ32" s="59"/>
      <c r="AK32" s="59"/>
      <c r="AL32" s="59"/>
      <c r="AM32" s="65"/>
      <c r="AN32" s="277" t="s">
        <v>747</v>
      </c>
    </row>
    <row r="33" spans="1:40" s="1" customFormat="1" ht="39.75" customHeight="1" thickBot="1" x14ac:dyDescent="0.35">
      <c r="A33" s="203">
        <v>30</v>
      </c>
      <c r="B33" s="202">
        <v>30</v>
      </c>
      <c r="C33" s="199" t="s">
        <v>620</v>
      </c>
      <c r="D33" s="201" t="s">
        <v>621</v>
      </c>
      <c r="E33" s="260" t="s">
        <v>618</v>
      </c>
      <c r="F33" s="268" t="s">
        <v>604</v>
      </c>
      <c r="G33" s="199">
        <v>1</v>
      </c>
      <c r="H33" s="200" t="s">
        <v>68</v>
      </c>
      <c r="I33" s="199" t="s">
        <v>66</v>
      </c>
      <c r="J33" s="269" t="s">
        <v>121</v>
      </c>
      <c r="K33" s="263" t="s">
        <v>155</v>
      </c>
      <c r="L33" s="200" t="s">
        <v>67</v>
      </c>
      <c r="M33" s="199" t="s">
        <v>66</v>
      </c>
      <c r="N33" s="198" t="s">
        <v>529</v>
      </c>
      <c r="O33" s="199"/>
      <c r="P33" s="198"/>
      <c r="Q33" s="199" t="s">
        <v>67</v>
      </c>
      <c r="R33" s="260" t="s">
        <v>67</v>
      </c>
      <c r="S33" s="274"/>
      <c r="T33" s="199"/>
      <c r="U33" s="198"/>
      <c r="V33" s="199"/>
      <c r="W33" s="198" t="s">
        <v>92</v>
      </c>
      <c r="X33" s="199" t="s">
        <v>67</v>
      </c>
      <c r="Y33" s="198"/>
      <c r="Z33" s="275"/>
      <c r="AA33" s="206" t="s">
        <v>530</v>
      </c>
      <c r="AB33" s="195"/>
      <c r="AC33" s="66"/>
      <c r="AD33" s="66"/>
      <c r="AE33" s="66"/>
      <c r="AF33" s="66">
        <v>1</v>
      </c>
      <c r="AG33" s="66"/>
      <c r="AH33" s="66"/>
      <c r="AI33" s="66"/>
      <c r="AJ33" s="66"/>
      <c r="AK33" s="66"/>
      <c r="AL33" s="66"/>
      <c r="AM33" s="67"/>
      <c r="AN33" s="278" t="s">
        <v>654</v>
      </c>
    </row>
    <row r="34" spans="1:40" s="1" customFormat="1" ht="39.75" customHeight="1" x14ac:dyDescent="0.3">
      <c r="A34" s="226">
        <v>31</v>
      </c>
      <c r="B34" s="225">
        <v>31</v>
      </c>
      <c r="C34" s="222" t="s">
        <v>620</v>
      </c>
      <c r="D34" s="224" t="s">
        <v>601</v>
      </c>
      <c r="E34" s="258" t="s">
        <v>612</v>
      </c>
      <c r="F34" s="264" t="s">
        <v>604</v>
      </c>
      <c r="G34" s="222">
        <v>1</v>
      </c>
      <c r="H34" s="223" t="s">
        <v>68</v>
      </c>
      <c r="I34" s="222" t="s">
        <v>66</v>
      </c>
      <c r="J34" s="265" t="s">
        <v>77</v>
      </c>
      <c r="K34" s="261" t="s">
        <v>155</v>
      </c>
      <c r="L34" s="223" t="s">
        <v>67</v>
      </c>
      <c r="M34" s="222" t="s">
        <v>623</v>
      </c>
      <c r="N34" s="221" t="s">
        <v>529</v>
      </c>
      <c r="O34" s="222"/>
      <c r="P34" s="221"/>
      <c r="Q34" s="222" t="s">
        <v>67</v>
      </c>
      <c r="R34" s="258" t="s">
        <v>67</v>
      </c>
      <c r="S34" s="270" t="s">
        <v>529</v>
      </c>
      <c r="T34" s="222" t="s">
        <v>529</v>
      </c>
      <c r="U34" s="221"/>
      <c r="V34" s="222" t="s">
        <v>529</v>
      </c>
      <c r="W34" s="221" t="s">
        <v>91</v>
      </c>
      <c r="X34" s="222" t="s">
        <v>67</v>
      </c>
      <c r="Y34" s="221" t="s">
        <v>529</v>
      </c>
      <c r="Z34" s="271"/>
      <c r="AA34" s="219" t="s">
        <v>644</v>
      </c>
      <c r="AB34" s="218"/>
      <c r="AC34" s="63"/>
      <c r="AD34" s="63"/>
      <c r="AE34" s="63">
        <v>1</v>
      </c>
      <c r="AF34" s="63"/>
      <c r="AG34" s="63"/>
      <c r="AH34" s="63"/>
      <c r="AI34" s="63"/>
      <c r="AJ34" s="63"/>
      <c r="AK34" s="63"/>
      <c r="AL34" s="63"/>
      <c r="AM34" s="64"/>
      <c r="AN34" s="276" t="s">
        <v>748</v>
      </c>
    </row>
    <row r="35" spans="1:40" s="1" customFormat="1" ht="39.75" customHeight="1" x14ac:dyDescent="0.3">
      <c r="A35" s="213">
        <v>32</v>
      </c>
      <c r="B35" s="212">
        <v>32</v>
      </c>
      <c r="C35" s="209" t="s">
        <v>620</v>
      </c>
      <c r="D35" s="211" t="s">
        <v>601</v>
      </c>
      <c r="E35" s="259" t="s">
        <v>621</v>
      </c>
      <c r="F35" s="266" t="s">
        <v>163</v>
      </c>
      <c r="G35" s="209">
        <v>1</v>
      </c>
      <c r="H35" s="210" t="s">
        <v>68</v>
      </c>
      <c r="I35" s="209" t="s">
        <v>197</v>
      </c>
      <c r="J35" s="267" t="s">
        <v>120</v>
      </c>
      <c r="K35" s="262" t="s">
        <v>125</v>
      </c>
      <c r="L35" s="210" t="s">
        <v>67</v>
      </c>
      <c r="M35" s="209" t="s">
        <v>457</v>
      </c>
      <c r="N35" s="208"/>
      <c r="O35" s="209"/>
      <c r="P35" s="208"/>
      <c r="Q35" s="209" t="s">
        <v>67</v>
      </c>
      <c r="R35" s="259" t="s">
        <v>67</v>
      </c>
      <c r="S35" s="272" t="s">
        <v>529</v>
      </c>
      <c r="T35" s="209" t="s">
        <v>529</v>
      </c>
      <c r="U35" s="208"/>
      <c r="V35" s="209" t="s">
        <v>529</v>
      </c>
      <c r="W35" s="208" t="s">
        <v>91</v>
      </c>
      <c r="X35" s="209" t="s">
        <v>67</v>
      </c>
      <c r="Y35" s="208" t="s">
        <v>529</v>
      </c>
      <c r="Z35" s="273"/>
      <c r="AA35" s="206" t="s">
        <v>644</v>
      </c>
      <c r="AB35" s="205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65"/>
      <c r="AN35" s="277"/>
    </row>
    <row r="36" spans="1:40" s="1" customFormat="1" ht="39.75" customHeight="1" x14ac:dyDescent="0.3">
      <c r="A36" s="213">
        <v>33</v>
      </c>
      <c r="B36" s="212">
        <v>33</v>
      </c>
      <c r="C36" s="209" t="s">
        <v>620</v>
      </c>
      <c r="D36" s="211" t="s">
        <v>601</v>
      </c>
      <c r="E36" s="259" t="s">
        <v>729</v>
      </c>
      <c r="F36" s="266" t="s">
        <v>170</v>
      </c>
      <c r="G36" s="209">
        <v>2</v>
      </c>
      <c r="H36" s="210" t="s">
        <v>39</v>
      </c>
      <c r="I36" s="209" t="s">
        <v>151</v>
      </c>
      <c r="J36" s="267" t="s">
        <v>80</v>
      </c>
      <c r="K36" s="262" t="s">
        <v>139</v>
      </c>
      <c r="L36" s="210" t="s">
        <v>143</v>
      </c>
      <c r="M36" s="209" t="s">
        <v>456</v>
      </c>
      <c r="N36" s="208" t="s">
        <v>529</v>
      </c>
      <c r="O36" s="209"/>
      <c r="P36" s="208"/>
      <c r="Q36" s="209" t="s">
        <v>67</v>
      </c>
      <c r="R36" s="259" t="s">
        <v>67</v>
      </c>
      <c r="S36" s="272" t="s">
        <v>529</v>
      </c>
      <c r="T36" s="209"/>
      <c r="U36" s="208"/>
      <c r="V36" s="209" t="s">
        <v>529</v>
      </c>
      <c r="W36" s="208" t="s">
        <v>92</v>
      </c>
      <c r="X36" s="209" t="s">
        <v>67</v>
      </c>
      <c r="Y36" s="208" t="s">
        <v>529</v>
      </c>
      <c r="Z36" s="273"/>
      <c r="AA36" s="206" t="s">
        <v>530</v>
      </c>
      <c r="AB36" s="205">
        <v>1</v>
      </c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65"/>
      <c r="AN36" s="277"/>
    </row>
    <row r="37" spans="1:40" s="1" customFormat="1" ht="39.75" customHeight="1" x14ac:dyDescent="0.3">
      <c r="A37" s="213">
        <v>34</v>
      </c>
      <c r="B37" s="212">
        <v>34</v>
      </c>
      <c r="C37" s="209" t="s">
        <v>568</v>
      </c>
      <c r="D37" s="211" t="s">
        <v>613</v>
      </c>
      <c r="E37" s="259" t="s">
        <v>730</v>
      </c>
      <c r="F37" s="266" t="s">
        <v>162</v>
      </c>
      <c r="G37" s="209">
        <v>1</v>
      </c>
      <c r="H37" s="210" t="s">
        <v>68</v>
      </c>
      <c r="I37" s="209" t="s">
        <v>66</v>
      </c>
      <c r="J37" s="267" t="s">
        <v>121</v>
      </c>
      <c r="K37" s="262" t="s">
        <v>738</v>
      </c>
      <c r="L37" s="210" t="s">
        <v>67</v>
      </c>
      <c r="M37" s="209" t="s">
        <v>739</v>
      </c>
      <c r="N37" s="208"/>
      <c r="O37" s="209"/>
      <c r="P37" s="208"/>
      <c r="Q37" s="209" t="s">
        <v>67</v>
      </c>
      <c r="R37" s="259" t="s">
        <v>67</v>
      </c>
      <c r="S37" s="272" t="s">
        <v>529</v>
      </c>
      <c r="T37" s="209"/>
      <c r="U37" s="208"/>
      <c r="V37" s="209" t="s">
        <v>529</v>
      </c>
      <c r="W37" s="208" t="s">
        <v>92</v>
      </c>
      <c r="X37" s="209" t="s">
        <v>67</v>
      </c>
      <c r="Y37" s="208"/>
      <c r="Z37" s="273"/>
      <c r="AA37" s="206" t="s">
        <v>530</v>
      </c>
      <c r="AB37" s="205">
        <v>1</v>
      </c>
      <c r="AC37" s="59"/>
      <c r="AD37" s="59">
        <v>1</v>
      </c>
      <c r="AE37" s="59">
        <v>1</v>
      </c>
      <c r="AF37" s="59"/>
      <c r="AG37" s="59"/>
      <c r="AH37" s="59"/>
      <c r="AI37" s="59">
        <v>1</v>
      </c>
      <c r="AJ37" s="59"/>
      <c r="AK37" s="59"/>
      <c r="AL37" s="59"/>
      <c r="AM37" s="65"/>
      <c r="AN37" s="277"/>
    </row>
    <row r="38" spans="1:40" s="1" customFormat="1" ht="39.75" customHeight="1" x14ac:dyDescent="0.3">
      <c r="A38" s="213">
        <v>35</v>
      </c>
      <c r="B38" s="212">
        <v>35</v>
      </c>
      <c r="C38" s="209" t="s">
        <v>568</v>
      </c>
      <c r="D38" s="211" t="s">
        <v>601</v>
      </c>
      <c r="E38" s="259" t="s">
        <v>616</v>
      </c>
      <c r="F38" s="266" t="s">
        <v>162</v>
      </c>
      <c r="G38" s="209">
        <v>1</v>
      </c>
      <c r="H38" s="210" t="s">
        <v>68</v>
      </c>
      <c r="I38" s="209" t="s">
        <v>66</v>
      </c>
      <c r="J38" s="267" t="s">
        <v>120</v>
      </c>
      <c r="K38" s="262" t="s">
        <v>155</v>
      </c>
      <c r="L38" s="210" t="s">
        <v>67</v>
      </c>
      <c r="M38" s="209" t="s">
        <v>615</v>
      </c>
      <c r="N38" s="208" t="s">
        <v>529</v>
      </c>
      <c r="O38" s="209"/>
      <c r="P38" s="208"/>
      <c r="Q38" s="209" t="s">
        <v>67</v>
      </c>
      <c r="R38" s="259" t="s">
        <v>67</v>
      </c>
      <c r="S38" s="272" t="s">
        <v>529</v>
      </c>
      <c r="T38" s="209"/>
      <c r="U38" s="208"/>
      <c r="V38" s="209"/>
      <c r="W38" s="208" t="s">
        <v>91</v>
      </c>
      <c r="X38" s="209" t="s">
        <v>49</v>
      </c>
      <c r="Y38" s="208"/>
      <c r="Z38" s="273"/>
      <c r="AA38" s="206" t="s">
        <v>530</v>
      </c>
      <c r="AB38" s="205">
        <v>1</v>
      </c>
      <c r="AC38" s="59">
        <v>1</v>
      </c>
      <c r="AD38" s="59">
        <v>1</v>
      </c>
      <c r="AE38" s="59">
        <v>1</v>
      </c>
      <c r="AF38" s="59"/>
      <c r="AG38" s="59"/>
      <c r="AH38" s="59"/>
      <c r="AI38" s="59"/>
      <c r="AJ38" s="59"/>
      <c r="AK38" s="59"/>
      <c r="AL38" s="59"/>
      <c r="AM38" s="65"/>
      <c r="AN38" s="277" t="s">
        <v>614</v>
      </c>
    </row>
    <row r="39" spans="1:40" s="1" customFormat="1" ht="39.75" customHeight="1" thickBot="1" x14ac:dyDescent="0.35">
      <c r="A39" s="203">
        <v>36</v>
      </c>
      <c r="B39" s="202">
        <v>36</v>
      </c>
      <c r="C39" s="199" t="s">
        <v>568</v>
      </c>
      <c r="D39" s="201" t="s">
        <v>613</v>
      </c>
      <c r="E39" s="260" t="s">
        <v>731</v>
      </c>
      <c r="F39" s="268" t="s">
        <v>164</v>
      </c>
      <c r="G39" s="199">
        <v>1</v>
      </c>
      <c r="H39" s="200" t="s">
        <v>68</v>
      </c>
      <c r="I39" s="199" t="s">
        <v>76</v>
      </c>
      <c r="J39" s="269" t="s">
        <v>120</v>
      </c>
      <c r="K39" s="263" t="s">
        <v>153</v>
      </c>
      <c r="L39" s="200" t="s">
        <v>67</v>
      </c>
      <c r="M39" s="199" t="s">
        <v>456</v>
      </c>
      <c r="N39" s="198" t="s">
        <v>529</v>
      </c>
      <c r="O39" s="199"/>
      <c r="P39" s="198"/>
      <c r="Q39" s="199" t="s">
        <v>67</v>
      </c>
      <c r="R39" s="260" t="s">
        <v>67</v>
      </c>
      <c r="S39" s="274" t="s">
        <v>529</v>
      </c>
      <c r="T39" s="199"/>
      <c r="U39" s="198"/>
      <c r="V39" s="199" t="s">
        <v>529</v>
      </c>
      <c r="W39" s="198" t="s">
        <v>91</v>
      </c>
      <c r="X39" s="199" t="s">
        <v>105</v>
      </c>
      <c r="Y39" s="198"/>
      <c r="Z39" s="275"/>
      <c r="AA39" s="196" t="s">
        <v>530</v>
      </c>
      <c r="AB39" s="195">
        <v>1</v>
      </c>
      <c r="AC39" s="66">
        <v>1</v>
      </c>
      <c r="AD39" s="66"/>
      <c r="AE39" s="66"/>
      <c r="AF39" s="66"/>
      <c r="AG39" s="66"/>
      <c r="AH39" s="66"/>
      <c r="AI39" s="66">
        <v>1</v>
      </c>
      <c r="AJ39" s="66"/>
      <c r="AK39" s="66"/>
      <c r="AL39" s="66"/>
      <c r="AM39" s="67"/>
      <c r="AN39" s="278"/>
    </row>
    <row r="40" spans="1:40" s="1" customFormat="1" ht="39.75" customHeight="1" x14ac:dyDescent="0.3">
      <c r="A40" s="226">
        <v>37</v>
      </c>
      <c r="B40" s="225">
        <v>37</v>
      </c>
      <c r="C40" s="222" t="s">
        <v>563</v>
      </c>
      <c r="D40" s="224" t="s">
        <v>601</v>
      </c>
      <c r="E40" s="258" t="s">
        <v>610</v>
      </c>
      <c r="F40" s="264" t="s">
        <v>162</v>
      </c>
      <c r="G40" s="222">
        <v>1</v>
      </c>
      <c r="H40" s="223" t="s">
        <v>68</v>
      </c>
      <c r="I40" s="222" t="s">
        <v>66</v>
      </c>
      <c r="J40" s="265" t="s">
        <v>121</v>
      </c>
      <c r="K40" s="261" t="s">
        <v>125</v>
      </c>
      <c r="L40" s="223" t="s">
        <v>67</v>
      </c>
      <c r="M40" s="222" t="s">
        <v>456</v>
      </c>
      <c r="N40" s="221"/>
      <c r="O40" s="222"/>
      <c r="P40" s="221"/>
      <c r="Q40" s="222" t="s">
        <v>67</v>
      </c>
      <c r="R40" s="258" t="s">
        <v>67</v>
      </c>
      <c r="S40" s="270"/>
      <c r="T40" s="222"/>
      <c r="U40" s="221"/>
      <c r="V40" s="222" t="s">
        <v>529</v>
      </c>
      <c r="W40" s="221" t="s">
        <v>92</v>
      </c>
      <c r="X40" s="222" t="s">
        <v>67</v>
      </c>
      <c r="Y40" s="221"/>
      <c r="Z40" s="271"/>
      <c r="AA40" s="219" t="s">
        <v>530</v>
      </c>
      <c r="AB40" s="218"/>
      <c r="AC40" s="63">
        <v>1</v>
      </c>
      <c r="AD40" s="63">
        <v>1</v>
      </c>
      <c r="AE40" s="63">
        <v>1</v>
      </c>
      <c r="AF40" s="63"/>
      <c r="AG40" s="63"/>
      <c r="AH40" s="63"/>
      <c r="AI40" s="63"/>
      <c r="AJ40" s="63"/>
      <c r="AK40" s="63"/>
      <c r="AL40" s="63"/>
      <c r="AM40" s="64"/>
      <c r="AN40" s="276" t="s">
        <v>609</v>
      </c>
    </row>
    <row r="41" spans="1:40" s="1" customFormat="1" ht="39.75" customHeight="1" x14ac:dyDescent="0.3">
      <c r="A41" s="213">
        <v>38</v>
      </c>
      <c r="B41" s="212">
        <v>38</v>
      </c>
      <c r="C41" s="209" t="s">
        <v>563</v>
      </c>
      <c r="D41" s="211" t="s">
        <v>601</v>
      </c>
      <c r="E41" s="259" t="s">
        <v>66</v>
      </c>
      <c r="F41" s="266" t="s">
        <v>66</v>
      </c>
      <c r="G41" s="209">
        <v>1</v>
      </c>
      <c r="H41" s="210" t="s">
        <v>66</v>
      </c>
      <c r="I41" s="209" t="s">
        <v>66</v>
      </c>
      <c r="J41" s="267" t="s">
        <v>66</v>
      </c>
      <c r="K41" s="262" t="s">
        <v>66</v>
      </c>
      <c r="L41" s="210" t="s">
        <v>66</v>
      </c>
      <c r="M41" s="209" t="s">
        <v>66</v>
      </c>
      <c r="N41" s="208"/>
      <c r="O41" s="209"/>
      <c r="P41" s="208"/>
      <c r="Q41" s="209" t="s">
        <v>67</v>
      </c>
      <c r="R41" s="259" t="s">
        <v>67</v>
      </c>
      <c r="S41" s="272"/>
      <c r="T41" s="209"/>
      <c r="U41" s="208"/>
      <c r="V41" s="209" t="s">
        <v>529</v>
      </c>
      <c r="W41" s="208" t="s">
        <v>92</v>
      </c>
      <c r="X41" s="209" t="s">
        <v>67</v>
      </c>
      <c r="Y41" s="208"/>
      <c r="Z41" s="273"/>
      <c r="AA41" s="206" t="s">
        <v>530</v>
      </c>
      <c r="AB41" s="205"/>
      <c r="AC41" s="59"/>
      <c r="AD41" s="59"/>
      <c r="AE41" s="59"/>
      <c r="AF41" s="59">
        <v>1</v>
      </c>
      <c r="AG41" s="59"/>
      <c r="AH41" s="59"/>
      <c r="AI41" s="59"/>
      <c r="AJ41" s="59"/>
      <c r="AK41" s="59"/>
      <c r="AL41" s="59"/>
      <c r="AM41" s="65"/>
      <c r="AN41" s="277"/>
    </row>
    <row r="42" spans="1:40" s="1" customFormat="1" ht="39.75" customHeight="1" x14ac:dyDescent="0.3">
      <c r="A42" s="213">
        <v>39</v>
      </c>
      <c r="B42" s="212">
        <v>39</v>
      </c>
      <c r="C42" s="209" t="s">
        <v>563</v>
      </c>
      <c r="D42" s="211" t="s">
        <v>601</v>
      </c>
      <c r="E42" s="259" t="s">
        <v>602</v>
      </c>
      <c r="F42" s="266" t="s">
        <v>163</v>
      </c>
      <c r="G42" s="209">
        <v>1</v>
      </c>
      <c r="H42" s="210" t="s">
        <v>68</v>
      </c>
      <c r="I42" s="209" t="s">
        <v>197</v>
      </c>
      <c r="J42" s="267" t="s">
        <v>120</v>
      </c>
      <c r="K42" s="262" t="s">
        <v>125</v>
      </c>
      <c r="L42" s="210" t="s">
        <v>67</v>
      </c>
      <c r="M42" s="209" t="s">
        <v>66</v>
      </c>
      <c r="N42" s="208"/>
      <c r="O42" s="209"/>
      <c r="P42" s="208"/>
      <c r="Q42" s="209" t="s">
        <v>67</v>
      </c>
      <c r="R42" s="259" t="s">
        <v>67</v>
      </c>
      <c r="S42" s="272"/>
      <c r="T42" s="209"/>
      <c r="U42" s="208"/>
      <c r="V42" s="209" t="s">
        <v>529</v>
      </c>
      <c r="W42" s="208" t="s">
        <v>92</v>
      </c>
      <c r="X42" s="209" t="s">
        <v>67</v>
      </c>
      <c r="Y42" s="208"/>
      <c r="Z42" s="273"/>
      <c r="AA42" s="206" t="s">
        <v>530</v>
      </c>
      <c r="AB42" s="205"/>
      <c r="AC42" s="59"/>
      <c r="AD42" s="59"/>
      <c r="AE42" s="59"/>
      <c r="AF42" s="59">
        <v>1</v>
      </c>
      <c r="AG42" s="59"/>
      <c r="AH42" s="59"/>
      <c r="AI42" s="59"/>
      <c r="AJ42" s="59"/>
      <c r="AK42" s="59"/>
      <c r="AL42" s="59"/>
      <c r="AM42" s="65"/>
      <c r="AN42" s="277" t="s">
        <v>608</v>
      </c>
    </row>
    <row r="43" spans="1:40" s="1" customFormat="1" ht="39.75" customHeight="1" x14ac:dyDescent="0.3">
      <c r="A43" s="213">
        <v>40</v>
      </c>
      <c r="B43" s="212">
        <v>40</v>
      </c>
      <c r="C43" s="209" t="s">
        <v>563</v>
      </c>
      <c r="D43" s="211" t="s">
        <v>601</v>
      </c>
      <c r="E43" s="259" t="s">
        <v>602</v>
      </c>
      <c r="F43" s="266" t="s">
        <v>163</v>
      </c>
      <c r="G43" s="209">
        <v>1</v>
      </c>
      <c r="H43" s="210" t="s">
        <v>68</v>
      </c>
      <c r="I43" s="209" t="s">
        <v>197</v>
      </c>
      <c r="J43" s="267" t="s">
        <v>120</v>
      </c>
      <c r="K43" s="262" t="s">
        <v>125</v>
      </c>
      <c r="L43" s="210" t="s">
        <v>67</v>
      </c>
      <c r="M43" s="209" t="s">
        <v>456</v>
      </c>
      <c r="N43" s="208"/>
      <c r="O43" s="209"/>
      <c r="P43" s="208" t="s">
        <v>529</v>
      </c>
      <c r="Q43" s="209" t="s">
        <v>67</v>
      </c>
      <c r="R43" s="259" t="s">
        <v>67</v>
      </c>
      <c r="S43" s="272"/>
      <c r="T43" s="209"/>
      <c r="U43" s="208"/>
      <c r="V43" s="209" t="s">
        <v>529</v>
      </c>
      <c r="W43" s="208" t="s">
        <v>92</v>
      </c>
      <c r="X43" s="209" t="s">
        <v>67</v>
      </c>
      <c r="Y43" s="208"/>
      <c r="Z43" s="273"/>
      <c r="AA43" s="206" t="s">
        <v>644</v>
      </c>
      <c r="AB43" s="205"/>
      <c r="AC43" s="59"/>
      <c r="AD43" s="59"/>
      <c r="AE43" s="59"/>
      <c r="AF43" s="59"/>
      <c r="AG43" s="59">
        <v>0</v>
      </c>
      <c r="AH43" s="59">
        <v>0</v>
      </c>
      <c r="AI43" s="59"/>
      <c r="AJ43" s="59"/>
      <c r="AK43" s="59"/>
      <c r="AL43" s="59"/>
      <c r="AM43" s="65"/>
      <c r="AN43" s="277" t="s">
        <v>736</v>
      </c>
    </row>
    <row r="44" spans="1:40" s="1" customFormat="1" ht="39.75" customHeight="1" thickBot="1" x14ac:dyDescent="0.35">
      <c r="A44" s="213">
        <v>41</v>
      </c>
      <c r="B44" s="212">
        <v>41</v>
      </c>
      <c r="C44" s="209" t="s">
        <v>563</v>
      </c>
      <c r="D44" s="211" t="s">
        <v>601</v>
      </c>
      <c r="E44" s="259" t="s">
        <v>606</v>
      </c>
      <c r="F44" s="266" t="s">
        <v>162</v>
      </c>
      <c r="G44" s="209">
        <v>1</v>
      </c>
      <c r="H44" s="210" t="s">
        <v>68</v>
      </c>
      <c r="I44" s="209" t="s">
        <v>66</v>
      </c>
      <c r="J44" s="267" t="s">
        <v>120</v>
      </c>
      <c r="K44" s="262" t="s">
        <v>155</v>
      </c>
      <c r="L44" s="210" t="s">
        <v>67</v>
      </c>
      <c r="M44" s="209" t="s">
        <v>455</v>
      </c>
      <c r="N44" s="208" t="s">
        <v>529</v>
      </c>
      <c r="O44" s="209"/>
      <c r="P44" s="208" t="s">
        <v>529</v>
      </c>
      <c r="Q44" s="209" t="s">
        <v>67</v>
      </c>
      <c r="R44" s="259" t="s">
        <v>67</v>
      </c>
      <c r="S44" s="272" t="s">
        <v>529</v>
      </c>
      <c r="T44" s="209"/>
      <c r="U44" s="208"/>
      <c r="V44" s="209" t="s">
        <v>529</v>
      </c>
      <c r="W44" s="208" t="s">
        <v>91</v>
      </c>
      <c r="X44" s="209" t="s">
        <v>67</v>
      </c>
      <c r="Y44" s="208"/>
      <c r="Z44" s="273"/>
      <c r="AA44" s="206" t="s">
        <v>530</v>
      </c>
      <c r="AB44" s="205">
        <v>1</v>
      </c>
      <c r="AC44" s="59"/>
      <c r="AD44" s="59">
        <v>1</v>
      </c>
      <c r="AE44" s="59">
        <v>1</v>
      </c>
      <c r="AF44" s="59"/>
      <c r="AG44" s="59"/>
      <c r="AH44" s="59"/>
      <c r="AI44" s="59">
        <v>1</v>
      </c>
      <c r="AJ44" s="59"/>
      <c r="AK44" s="59"/>
      <c r="AL44" s="59"/>
      <c r="AM44" s="65"/>
      <c r="AN44" s="277" t="s">
        <v>710</v>
      </c>
    </row>
    <row r="45" spans="1:40" s="1" customFormat="1" ht="39.75" customHeight="1" thickBot="1" x14ac:dyDescent="0.35">
      <c r="A45" s="203">
        <v>42</v>
      </c>
      <c r="B45" s="202">
        <v>42</v>
      </c>
      <c r="C45" s="199" t="s">
        <v>563</v>
      </c>
      <c r="D45" s="201" t="s">
        <v>601</v>
      </c>
      <c r="E45" s="260" t="s">
        <v>605</v>
      </c>
      <c r="F45" s="268" t="s">
        <v>604</v>
      </c>
      <c r="G45" s="199">
        <v>1</v>
      </c>
      <c r="H45" s="200" t="s">
        <v>68</v>
      </c>
      <c r="I45" s="199" t="s">
        <v>66</v>
      </c>
      <c r="J45" s="269" t="s">
        <v>120</v>
      </c>
      <c r="K45" s="263" t="s">
        <v>131</v>
      </c>
      <c r="L45" s="200" t="s">
        <v>67</v>
      </c>
      <c r="M45" s="199" t="s">
        <v>456</v>
      </c>
      <c r="N45" s="198"/>
      <c r="O45" s="199"/>
      <c r="P45" s="198"/>
      <c r="Q45" s="199" t="s">
        <v>67</v>
      </c>
      <c r="R45" s="260" t="s">
        <v>67</v>
      </c>
      <c r="S45" s="274"/>
      <c r="T45" s="199"/>
      <c r="U45" s="198"/>
      <c r="V45" s="199" t="s">
        <v>529</v>
      </c>
      <c r="W45" s="198" t="s">
        <v>91</v>
      </c>
      <c r="X45" s="199" t="s">
        <v>67</v>
      </c>
      <c r="Y45" s="198"/>
      <c r="Z45" s="275"/>
      <c r="AA45" s="279" t="s">
        <v>644</v>
      </c>
      <c r="AB45" s="195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7"/>
      <c r="AN45" s="278" t="s">
        <v>736</v>
      </c>
    </row>
    <row r="46" spans="1:40" s="1" customFormat="1" ht="39.75" customHeight="1" x14ac:dyDescent="0.3">
      <c r="A46" s="226">
        <v>43</v>
      </c>
      <c r="B46" s="225">
        <v>43</v>
      </c>
      <c r="C46" s="222" t="s">
        <v>563</v>
      </c>
      <c r="D46" s="224" t="s">
        <v>601</v>
      </c>
      <c r="E46" s="258" t="s">
        <v>732</v>
      </c>
      <c r="F46" s="264" t="s">
        <v>66</v>
      </c>
      <c r="G46" s="222">
        <v>1</v>
      </c>
      <c r="H46" s="223" t="s">
        <v>66</v>
      </c>
      <c r="I46" s="222" t="s">
        <v>66</v>
      </c>
      <c r="J46" s="265" t="s">
        <v>66</v>
      </c>
      <c r="K46" s="261" t="s">
        <v>66</v>
      </c>
      <c r="L46" s="223" t="s">
        <v>67</v>
      </c>
      <c r="M46" s="222" t="s">
        <v>66</v>
      </c>
      <c r="N46" s="221"/>
      <c r="O46" s="222"/>
      <c r="P46" s="221"/>
      <c r="Q46" s="222" t="s">
        <v>67</v>
      </c>
      <c r="R46" s="258" t="s">
        <v>67</v>
      </c>
      <c r="S46" s="270"/>
      <c r="T46" s="222"/>
      <c r="U46" s="221"/>
      <c r="V46" s="222" t="s">
        <v>529</v>
      </c>
      <c r="W46" s="221" t="s">
        <v>92</v>
      </c>
      <c r="X46" s="222" t="s">
        <v>67</v>
      </c>
      <c r="Y46" s="221"/>
      <c r="Z46" s="271"/>
      <c r="AA46" s="280" t="s">
        <v>530</v>
      </c>
      <c r="AB46" s="218"/>
      <c r="AC46" s="63"/>
      <c r="AD46" s="63"/>
      <c r="AE46" s="63"/>
      <c r="AF46" s="63">
        <v>1</v>
      </c>
      <c r="AG46" s="63"/>
      <c r="AH46" s="63"/>
      <c r="AI46" s="63"/>
      <c r="AJ46" s="63"/>
      <c r="AK46" s="63"/>
      <c r="AL46" s="63"/>
      <c r="AM46" s="64"/>
      <c r="AN46" s="276" t="s">
        <v>599</v>
      </c>
    </row>
    <row r="47" spans="1:40" s="1" customFormat="1" ht="39.75" customHeight="1" x14ac:dyDescent="0.3">
      <c r="A47" s="213">
        <v>44</v>
      </c>
      <c r="B47" s="212">
        <v>44</v>
      </c>
      <c r="C47" s="209" t="s">
        <v>563</v>
      </c>
      <c r="D47" s="211" t="s">
        <v>601</v>
      </c>
      <c r="E47" s="259" t="s">
        <v>733</v>
      </c>
      <c r="F47" s="266" t="s">
        <v>163</v>
      </c>
      <c r="G47" s="209">
        <v>1</v>
      </c>
      <c r="H47" s="210" t="s">
        <v>68</v>
      </c>
      <c r="I47" s="209" t="s">
        <v>197</v>
      </c>
      <c r="J47" s="267" t="s">
        <v>120</v>
      </c>
      <c r="K47" s="262" t="s">
        <v>125</v>
      </c>
      <c r="L47" s="210" t="s">
        <v>67</v>
      </c>
      <c r="M47" s="209" t="s">
        <v>456</v>
      </c>
      <c r="N47" s="208"/>
      <c r="O47" s="209"/>
      <c r="P47" s="208" t="s">
        <v>529</v>
      </c>
      <c r="Q47" s="209" t="s">
        <v>67</v>
      </c>
      <c r="R47" s="259" t="s">
        <v>67</v>
      </c>
      <c r="S47" s="272"/>
      <c r="T47" s="209"/>
      <c r="U47" s="208"/>
      <c r="V47" s="209" t="s">
        <v>529</v>
      </c>
      <c r="W47" s="208" t="s">
        <v>92</v>
      </c>
      <c r="X47" s="209" t="s">
        <v>67</v>
      </c>
      <c r="Y47" s="208"/>
      <c r="Z47" s="273"/>
      <c r="AA47" s="280" t="s">
        <v>644</v>
      </c>
      <c r="AB47" s="205"/>
      <c r="AC47" s="59"/>
      <c r="AD47" s="59"/>
      <c r="AE47" s="59"/>
      <c r="AF47" s="59"/>
      <c r="AG47" s="59"/>
      <c r="AH47" s="59">
        <v>0</v>
      </c>
      <c r="AI47" s="59"/>
      <c r="AJ47" s="59">
        <v>0</v>
      </c>
      <c r="AK47" s="59"/>
      <c r="AL47" s="59"/>
      <c r="AM47" s="65"/>
      <c r="AN47" s="277" t="s">
        <v>737</v>
      </c>
    </row>
    <row r="48" spans="1:40" s="1" customFormat="1" ht="39.75" customHeight="1" thickBot="1" x14ac:dyDescent="0.35">
      <c r="A48" s="203">
        <v>45</v>
      </c>
      <c r="B48" s="202">
        <v>45</v>
      </c>
      <c r="C48" s="199" t="s">
        <v>563</v>
      </c>
      <c r="D48" s="201" t="s">
        <v>601</v>
      </c>
      <c r="E48" s="260" t="s">
        <v>734</v>
      </c>
      <c r="F48" s="268" t="s">
        <v>66</v>
      </c>
      <c r="G48" s="199">
        <v>2</v>
      </c>
      <c r="H48" s="200" t="s">
        <v>66</v>
      </c>
      <c r="I48" s="199" t="s">
        <v>66</v>
      </c>
      <c r="J48" s="269" t="s">
        <v>81</v>
      </c>
      <c r="K48" s="263" t="s">
        <v>131</v>
      </c>
      <c r="L48" s="200" t="s">
        <v>600</v>
      </c>
      <c r="M48" s="199" t="s">
        <v>66</v>
      </c>
      <c r="N48" s="198" t="s">
        <v>529</v>
      </c>
      <c r="O48" s="199"/>
      <c r="P48" s="198" t="s">
        <v>529</v>
      </c>
      <c r="Q48" s="199" t="s">
        <v>67</v>
      </c>
      <c r="R48" s="260" t="s">
        <v>67</v>
      </c>
      <c r="S48" s="274"/>
      <c r="T48" s="199"/>
      <c r="U48" s="198"/>
      <c r="V48" s="199" t="s">
        <v>529</v>
      </c>
      <c r="W48" s="198" t="s">
        <v>92</v>
      </c>
      <c r="X48" s="199" t="s">
        <v>67</v>
      </c>
      <c r="Y48" s="198"/>
      <c r="Z48" s="275"/>
      <c r="AA48" s="281" t="s">
        <v>530</v>
      </c>
      <c r="AB48" s="195"/>
      <c r="AC48" s="66"/>
      <c r="AD48" s="66"/>
      <c r="AE48" s="66"/>
      <c r="AF48" s="66">
        <v>1</v>
      </c>
      <c r="AG48" s="66"/>
      <c r="AH48" s="66"/>
      <c r="AI48" s="66"/>
      <c r="AJ48" s="66"/>
      <c r="AK48" s="66"/>
      <c r="AL48" s="66"/>
      <c r="AM48" s="67"/>
      <c r="AN48" s="278" t="s">
        <v>599</v>
      </c>
    </row>
    <row r="49" spans="1:182" s="20" customFormat="1" ht="15" thickBot="1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 s="21">
        <f t="shared" ref="AB49:AM49" ca="1" si="0">SUM(INDIRECT(ADDRESS(4,COLUMN(),4) &amp; ":" &amp; ADDRESS(ROW()-1,COLUMN(),4)))</f>
        <v>7</v>
      </c>
      <c r="AC49" s="21">
        <f t="shared" ca="1" si="0"/>
        <v>5</v>
      </c>
      <c r="AD49" s="21">
        <f t="shared" ca="1" si="0"/>
        <v>6</v>
      </c>
      <c r="AE49" s="21">
        <f t="shared" ca="1" si="0"/>
        <v>13</v>
      </c>
      <c r="AF49" s="21">
        <f t="shared" ca="1" si="0"/>
        <v>15</v>
      </c>
      <c r="AG49" s="21">
        <f t="shared" ca="1" si="0"/>
        <v>0</v>
      </c>
      <c r="AH49" s="21">
        <f t="shared" ca="1" si="0"/>
        <v>0</v>
      </c>
      <c r="AI49" s="21">
        <f t="shared" ca="1" si="0"/>
        <v>3</v>
      </c>
      <c r="AJ49" s="21">
        <f t="shared" ca="1" si="0"/>
        <v>0</v>
      </c>
      <c r="AK49" s="21">
        <f t="shared" ca="1" si="0"/>
        <v>1</v>
      </c>
      <c r="AL49" s="21">
        <f t="shared" ca="1" si="0"/>
        <v>2</v>
      </c>
      <c r="AM49" s="21">
        <f t="shared" ca="1" si="0"/>
        <v>0</v>
      </c>
      <c r="AN49" s="22" t="s">
        <v>0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</row>
  </sheetData>
  <sheetProtection autoFilter="0"/>
  <autoFilter ref="A3:AN49" xr:uid="{00000000-0009-0000-0000-000000000000}"/>
  <mergeCells count="5">
    <mergeCell ref="S1:AA1"/>
    <mergeCell ref="F2:J2"/>
    <mergeCell ref="K2:R2"/>
    <mergeCell ref="S2:Z2"/>
    <mergeCell ref="AB2:AM2"/>
  </mergeCells>
  <pageMargins left="0.23622047244094491" right="0.23622047244094491" top="0.59055118110236227" bottom="0.39370078740157483" header="0.11811023622047245" footer="0.11811023622047245"/>
  <pageSetup paperSize="8" scale="52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723900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0" r:id="rId6" name="Button 7">
              <controlPr defaultSize="0" print="0" autoFill="0" autoPict="0" macro="[0]!CreateDoor">
                <anchor>
                  <from>
                    <xdr:col>2</xdr:col>
                    <xdr:colOff>83820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1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731520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2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83820</xdr:rowOff>
                  </from>
                  <to>
                    <xdr:col>1</xdr:col>
                    <xdr:colOff>731520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3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83820</xdr:rowOff>
                  </from>
                  <to>
                    <xdr:col>4</xdr:col>
                    <xdr:colOff>754380</xdr:colOff>
                    <xdr:row>1</xdr:row>
                    <xdr:rowOff>579120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56A3-65F3-4112-8140-91155F6BB024}">
  <sheetPr codeName="Tabelle15">
    <pageSetUpPr fitToPage="1"/>
  </sheetPr>
  <dimension ref="A1:GD49"/>
  <sheetViews>
    <sheetView topLeftCell="M1" zoomScale="70" zoomScaleNormal="70" workbookViewId="0">
      <pane ySplit="3" topLeftCell="A4" activePane="bottomLeft" state="frozen"/>
      <selection pane="bottomLeft" activeCell="AR6" sqref="AR6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33203125" customWidth="1"/>
    <col min="12" max="12" width="13.3320312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33203125" customWidth="1"/>
    <col min="28" max="43" width="7.5546875" customWidth="1"/>
    <col min="44" max="44" width="52.33203125" customWidth="1"/>
  </cols>
  <sheetData>
    <row r="1" spans="1:44" ht="18.75" customHeight="1" thickBot="1" x14ac:dyDescent="0.35">
      <c r="A1" s="6" t="s">
        <v>720</v>
      </c>
      <c r="B1" s="7"/>
      <c r="C1" s="8"/>
      <c r="D1" s="8"/>
      <c r="E1" s="8"/>
      <c r="F1" s="8"/>
      <c r="G1" s="44"/>
      <c r="H1" s="44"/>
      <c r="I1" s="44"/>
      <c r="J1" s="7"/>
      <c r="K1" s="44"/>
      <c r="L1" s="44"/>
      <c r="M1" s="44"/>
      <c r="N1" s="44"/>
      <c r="O1" s="44"/>
      <c r="P1" s="44"/>
      <c r="Q1" s="44"/>
      <c r="R1" s="45"/>
      <c r="S1" s="304" t="s">
        <v>719</v>
      </c>
      <c r="T1" s="305"/>
      <c r="U1" s="305"/>
      <c r="V1" s="305"/>
      <c r="W1" s="305"/>
      <c r="X1" s="305"/>
      <c r="Y1" s="305"/>
      <c r="Z1" s="305"/>
      <c r="AA1" s="305"/>
      <c r="AB1" s="252">
        <v>1</v>
      </c>
      <c r="AC1" s="252">
        <v>2</v>
      </c>
      <c r="AD1" s="252">
        <v>3</v>
      </c>
      <c r="AE1" s="252">
        <v>4</v>
      </c>
      <c r="AF1" s="252">
        <v>5</v>
      </c>
      <c r="AG1" s="252">
        <v>6</v>
      </c>
      <c r="AH1" s="252">
        <v>7</v>
      </c>
      <c r="AI1" s="252">
        <v>8</v>
      </c>
      <c r="AJ1" s="252">
        <v>9</v>
      </c>
      <c r="AK1" s="252">
        <v>10</v>
      </c>
      <c r="AL1" s="252">
        <v>11</v>
      </c>
      <c r="AM1" s="252">
        <v>12</v>
      </c>
      <c r="AN1" s="252">
        <v>13</v>
      </c>
      <c r="AO1" s="252">
        <v>14</v>
      </c>
      <c r="AP1" s="252">
        <v>15</v>
      </c>
      <c r="AQ1" s="252">
        <v>16</v>
      </c>
      <c r="AR1" s="58"/>
    </row>
    <row r="2" spans="1:44" ht="52.5" customHeight="1" thickBot="1" x14ac:dyDescent="0.35">
      <c r="A2" s="68"/>
      <c r="B2" s="69"/>
      <c r="C2" s="70"/>
      <c r="D2" s="19"/>
      <c r="E2" s="71"/>
      <c r="F2" s="299" t="s">
        <v>26</v>
      </c>
      <c r="G2" s="300"/>
      <c r="H2" s="300"/>
      <c r="I2" s="300"/>
      <c r="J2" s="301"/>
      <c r="K2" s="299" t="s">
        <v>25</v>
      </c>
      <c r="L2" s="300"/>
      <c r="M2" s="300"/>
      <c r="N2" s="300"/>
      <c r="O2" s="300"/>
      <c r="P2" s="300"/>
      <c r="Q2" s="300"/>
      <c r="R2" s="300"/>
      <c r="S2" s="299" t="s">
        <v>24</v>
      </c>
      <c r="T2" s="300"/>
      <c r="U2" s="300"/>
      <c r="V2" s="300"/>
      <c r="W2" s="300"/>
      <c r="X2" s="300"/>
      <c r="Y2" s="300"/>
      <c r="Z2" s="301"/>
      <c r="AA2" s="5" t="s">
        <v>23</v>
      </c>
      <c r="AB2" s="303"/>
      <c r="AC2" s="303"/>
      <c r="AD2" s="303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72" t="s">
        <v>41</v>
      </c>
    </row>
    <row r="3" spans="1:44" ht="201.75" customHeight="1" thickBot="1" x14ac:dyDescent="0.35">
      <c r="A3" s="73" t="s">
        <v>22</v>
      </c>
      <c r="B3" s="74" t="s">
        <v>21</v>
      </c>
      <c r="C3" s="74" t="s">
        <v>20</v>
      </c>
      <c r="D3" s="74" t="s">
        <v>19</v>
      </c>
      <c r="E3" s="75" t="s">
        <v>18</v>
      </c>
      <c r="F3" s="76" t="s">
        <v>27</v>
      </c>
      <c r="G3" s="77" t="s">
        <v>17</v>
      </c>
      <c r="H3" s="77" t="s">
        <v>123</v>
      </c>
      <c r="I3" s="77" t="s">
        <v>16</v>
      </c>
      <c r="J3" s="75" t="s">
        <v>15</v>
      </c>
      <c r="K3" s="78" t="s">
        <v>28</v>
      </c>
      <c r="L3" s="74" t="s">
        <v>29</v>
      </c>
      <c r="M3" s="74" t="s">
        <v>42</v>
      </c>
      <c r="N3" s="74" t="s">
        <v>14</v>
      </c>
      <c r="O3" s="74" t="s">
        <v>13</v>
      </c>
      <c r="P3" s="74" t="s">
        <v>12</v>
      </c>
      <c r="Q3" s="74" t="s">
        <v>11</v>
      </c>
      <c r="R3" s="79" t="s">
        <v>10</v>
      </c>
      <c r="S3" s="80" t="s">
        <v>9</v>
      </c>
      <c r="T3" s="74" t="s">
        <v>8</v>
      </c>
      <c r="U3" s="81" t="s">
        <v>7</v>
      </c>
      <c r="V3" s="74" t="s">
        <v>6</v>
      </c>
      <c r="W3" s="81" t="s">
        <v>5</v>
      </c>
      <c r="X3" s="74" t="s">
        <v>4</v>
      </c>
      <c r="Y3" s="81" t="s">
        <v>3</v>
      </c>
      <c r="Z3" s="79" t="s">
        <v>2</v>
      </c>
      <c r="AA3" s="17" t="s">
        <v>1</v>
      </c>
      <c r="AB3" s="255" t="s">
        <v>205</v>
      </c>
      <c r="AC3" s="254" t="s">
        <v>489</v>
      </c>
      <c r="AD3" s="254" t="s">
        <v>208</v>
      </c>
      <c r="AE3" s="254" t="s">
        <v>203</v>
      </c>
      <c r="AF3" s="254" t="s">
        <v>225</v>
      </c>
      <c r="AG3" s="254" t="s">
        <v>218</v>
      </c>
      <c r="AH3" s="254" t="s">
        <v>341</v>
      </c>
      <c r="AI3" s="254" t="s">
        <v>340</v>
      </c>
      <c r="AJ3" s="254" t="s">
        <v>207</v>
      </c>
      <c r="AK3" s="254" t="s">
        <v>268</v>
      </c>
      <c r="AL3" s="254" t="s">
        <v>297</v>
      </c>
      <c r="AM3" s="254" t="s">
        <v>215</v>
      </c>
      <c r="AN3" s="254" t="s">
        <v>206</v>
      </c>
      <c r="AO3" s="254" t="s">
        <v>286</v>
      </c>
      <c r="AP3" s="254" t="s">
        <v>420</v>
      </c>
      <c r="AQ3" s="253" t="s">
        <v>280</v>
      </c>
      <c r="AR3" s="227"/>
    </row>
    <row r="4" spans="1:44" s="1" customFormat="1" ht="39.75" customHeight="1" x14ac:dyDescent="0.3">
      <c r="A4" s="226">
        <v>1</v>
      </c>
      <c r="B4" s="225" t="s">
        <v>667</v>
      </c>
      <c r="C4" s="222" t="s">
        <v>651</v>
      </c>
      <c r="D4" s="224" t="s">
        <v>656</v>
      </c>
      <c r="E4" s="222" t="s">
        <v>585</v>
      </c>
      <c r="F4" s="223" t="s">
        <v>162</v>
      </c>
      <c r="G4" s="222">
        <v>1</v>
      </c>
      <c r="H4" s="223" t="s">
        <v>68</v>
      </c>
      <c r="I4" s="222" t="s">
        <v>66</v>
      </c>
      <c r="J4" s="222" t="s">
        <v>44</v>
      </c>
      <c r="K4" s="223" t="s">
        <v>125</v>
      </c>
      <c r="L4" s="223" t="s">
        <v>67</v>
      </c>
      <c r="M4" s="222" t="s">
        <v>455</v>
      </c>
      <c r="N4" s="221" t="s">
        <v>529</v>
      </c>
      <c r="O4" s="222"/>
      <c r="P4" s="221"/>
      <c r="Q4" s="222" t="s">
        <v>67</v>
      </c>
      <c r="R4" s="222" t="s">
        <v>67</v>
      </c>
      <c r="S4" s="221"/>
      <c r="T4" s="222"/>
      <c r="U4" s="221"/>
      <c r="V4" s="222" t="s">
        <v>529</v>
      </c>
      <c r="W4" s="221" t="s">
        <v>92</v>
      </c>
      <c r="X4" s="222" t="s">
        <v>67</v>
      </c>
      <c r="Y4" s="221"/>
      <c r="Z4" s="220"/>
      <c r="AA4" s="219" t="s">
        <v>530</v>
      </c>
      <c r="AB4" s="250"/>
      <c r="AC4" s="250">
        <v>1</v>
      </c>
      <c r="AD4" s="250">
        <v>1</v>
      </c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60"/>
    </row>
    <row r="5" spans="1:44" s="1" customFormat="1" ht="39.75" customHeight="1" x14ac:dyDescent="0.3">
      <c r="A5" s="213">
        <v>2</v>
      </c>
      <c r="B5" s="212" t="s">
        <v>668</v>
      </c>
      <c r="C5" s="209" t="s">
        <v>651</v>
      </c>
      <c r="D5" s="211" t="s">
        <v>601</v>
      </c>
      <c r="E5" s="209" t="s">
        <v>655</v>
      </c>
      <c r="F5" s="210" t="s">
        <v>165</v>
      </c>
      <c r="G5" s="209">
        <v>1</v>
      </c>
      <c r="H5" s="210" t="s">
        <v>66</v>
      </c>
      <c r="I5" s="209" t="s">
        <v>66</v>
      </c>
      <c r="J5" s="209" t="s">
        <v>79</v>
      </c>
      <c r="K5" s="210" t="s">
        <v>66</v>
      </c>
      <c r="L5" s="210" t="s">
        <v>66</v>
      </c>
      <c r="M5" s="209" t="s">
        <v>66</v>
      </c>
      <c r="N5" s="208"/>
      <c r="O5" s="209"/>
      <c r="P5" s="208"/>
      <c r="Q5" s="209" t="s">
        <v>67</v>
      </c>
      <c r="R5" s="209" t="s">
        <v>67</v>
      </c>
      <c r="S5" s="208"/>
      <c r="T5" s="209"/>
      <c r="U5" s="208"/>
      <c r="V5" s="209"/>
      <c r="W5" s="208" t="s">
        <v>91</v>
      </c>
      <c r="X5" s="209" t="s">
        <v>67</v>
      </c>
      <c r="Y5" s="208"/>
      <c r="Z5" s="207"/>
      <c r="AA5" s="206" t="s">
        <v>530</v>
      </c>
      <c r="AB5" s="248"/>
      <c r="AC5" s="248"/>
      <c r="AD5" s="248"/>
      <c r="AE5" s="248">
        <v>1</v>
      </c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61" t="s">
        <v>669</v>
      </c>
    </row>
    <row r="6" spans="1:44" s="1" customFormat="1" ht="39.75" customHeight="1" x14ac:dyDescent="0.3">
      <c r="A6" s="213">
        <v>3</v>
      </c>
      <c r="B6" s="212" t="s">
        <v>670</v>
      </c>
      <c r="C6" s="209" t="s">
        <v>651</v>
      </c>
      <c r="D6" s="211" t="s">
        <v>601</v>
      </c>
      <c r="E6" s="209" t="s">
        <v>582</v>
      </c>
      <c r="F6" s="210" t="s">
        <v>163</v>
      </c>
      <c r="G6" s="209">
        <v>1</v>
      </c>
      <c r="H6" s="210" t="s">
        <v>68</v>
      </c>
      <c r="I6" s="209" t="s">
        <v>66</v>
      </c>
      <c r="J6" s="209" t="s">
        <v>79</v>
      </c>
      <c r="K6" s="210" t="s">
        <v>125</v>
      </c>
      <c r="L6" s="210" t="s">
        <v>67</v>
      </c>
      <c r="M6" s="209" t="s">
        <v>456</v>
      </c>
      <c r="N6" s="208"/>
      <c r="O6" s="209"/>
      <c r="P6" s="208"/>
      <c r="Q6" s="209" t="s">
        <v>67</v>
      </c>
      <c r="R6" s="209" t="s">
        <v>67</v>
      </c>
      <c r="S6" s="208"/>
      <c r="T6" s="209"/>
      <c r="U6" s="208"/>
      <c r="V6" s="209" t="s">
        <v>529</v>
      </c>
      <c r="W6" s="208" t="s">
        <v>91</v>
      </c>
      <c r="X6" s="209" t="s">
        <v>67</v>
      </c>
      <c r="Y6" s="208"/>
      <c r="Z6" s="207"/>
      <c r="AA6" s="206" t="s">
        <v>530</v>
      </c>
      <c r="AB6" s="248"/>
      <c r="AC6" s="248"/>
      <c r="AD6" s="248"/>
      <c r="AE6" s="248"/>
      <c r="AF6" s="248">
        <v>0</v>
      </c>
      <c r="AG6" s="248">
        <v>0</v>
      </c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61"/>
    </row>
    <row r="7" spans="1:44" s="1" customFormat="1" ht="39.75" customHeight="1" x14ac:dyDescent="0.3">
      <c r="A7" s="213">
        <v>4</v>
      </c>
      <c r="B7" s="212" t="s">
        <v>671</v>
      </c>
      <c r="C7" s="209" t="s">
        <v>651</v>
      </c>
      <c r="D7" s="211" t="s">
        <v>601</v>
      </c>
      <c r="E7" s="209" t="s">
        <v>612</v>
      </c>
      <c r="F7" s="210" t="s">
        <v>604</v>
      </c>
      <c r="G7" s="209">
        <v>1</v>
      </c>
      <c r="H7" s="210" t="s">
        <v>68</v>
      </c>
      <c r="I7" s="209" t="s">
        <v>66</v>
      </c>
      <c r="J7" s="209" t="s">
        <v>120</v>
      </c>
      <c r="K7" s="210" t="s">
        <v>155</v>
      </c>
      <c r="L7" s="210" t="s">
        <v>67</v>
      </c>
      <c r="M7" s="209" t="s">
        <v>623</v>
      </c>
      <c r="N7" s="208"/>
      <c r="O7" s="209"/>
      <c r="P7" s="208"/>
      <c r="Q7" s="209" t="s">
        <v>67</v>
      </c>
      <c r="R7" s="209" t="s">
        <v>67</v>
      </c>
      <c r="S7" s="208" t="s">
        <v>529</v>
      </c>
      <c r="T7" s="209"/>
      <c r="U7" s="208"/>
      <c r="V7" s="209" t="s">
        <v>529</v>
      </c>
      <c r="W7" s="208" t="s">
        <v>92</v>
      </c>
      <c r="X7" s="209" t="s">
        <v>67</v>
      </c>
      <c r="Y7" s="208"/>
      <c r="Z7" s="207"/>
      <c r="AA7" s="206" t="s">
        <v>530</v>
      </c>
      <c r="AB7" s="248"/>
      <c r="AC7" s="248"/>
      <c r="AD7" s="248"/>
      <c r="AE7" s="248"/>
      <c r="AF7" s="248"/>
      <c r="AG7" s="248"/>
      <c r="AH7" s="248">
        <v>0</v>
      </c>
      <c r="AI7" s="248"/>
      <c r="AJ7" s="248"/>
      <c r="AK7" s="248"/>
      <c r="AL7" s="248"/>
      <c r="AM7" s="248"/>
      <c r="AN7" s="248"/>
      <c r="AO7" s="248"/>
      <c r="AP7" s="248"/>
      <c r="AQ7" s="248"/>
      <c r="AR7" s="61" t="s">
        <v>652</v>
      </c>
    </row>
    <row r="8" spans="1:44" s="1" customFormat="1" ht="39.75" customHeight="1" x14ac:dyDescent="0.3">
      <c r="A8" s="213">
        <v>5</v>
      </c>
      <c r="B8" s="212" t="s">
        <v>672</v>
      </c>
      <c r="C8" s="209" t="s">
        <v>651</v>
      </c>
      <c r="D8" s="211" t="s">
        <v>601</v>
      </c>
      <c r="E8" s="209" t="s">
        <v>618</v>
      </c>
      <c r="F8" s="210" t="s">
        <v>162</v>
      </c>
      <c r="G8" s="209">
        <v>1</v>
      </c>
      <c r="H8" s="210" t="s">
        <v>68</v>
      </c>
      <c r="I8" s="209" t="s">
        <v>66</v>
      </c>
      <c r="J8" s="209" t="s">
        <v>121</v>
      </c>
      <c r="K8" s="210" t="s">
        <v>155</v>
      </c>
      <c r="L8" s="210" t="s">
        <v>67</v>
      </c>
      <c r="M8" s="209" t="s">
        <v>450</v>
      </c>
      <c r="N8" s="208" t="s">
        <v>529</v>
      </c>
      <c r="O8" s="209"/>
      <c r="P8" s="208" t="s">
        <v>529</v>
      </c>
      <c r="Q8" s="209" t="s">
        <v>67</v>
      </c>
      <c r="R8" s="209" t="s">
        <v>67</v>
      </c>
      <c r="S8" s="208" t="s">
        <v>529</v>
      </c>
      <c r="T8" s="209"/>
      <c r="U8" s="208"/>
      <c r="V8" s="209" t="s">
        <v>529</v>
      </c>
      <c r="W8" s="208" t="s">
        <v>92</v>
      </c>
      <c r="X8" s="209" t="s">
        <v>67</v>
      </c>
      <c r="Y8" s="208"/>
      <c r="Z8" s="207"/>
      <c r="AA8" s="206" t="s">
        <v>530</v>
      </c>
      <c r="AB8" s="248">
        <v>1</v>
      </c>
      <c r="AC8" s="248">
        <v>1</v>
      </c>
      <c r="AD8" s="248">
        <v>1</v>
      </c>
      <c r="AE8" s="248"/>
      <c r="AF8" s="248"/>
      <c r="AG8" s="248"/>
      <c r="AH8" s="248">
        <v>0</v>
      </c>
      <c r="AI8" s="248">
        <v>1</v>
      </c>
      <c r="AJ8" s="248"/>
      <c r="AK8" s="248"/>
      <c r="AL8" s="248"/>
      <c r="AM8" s="248"/>
      <c r="AN8" s="248"/>
      <c r="AO8" s="248"/>
      <c r="AP8" s="248"/>
      <c r="AQ8" s="248"/>
      <c r="AR8" s="61" t="s">
        <v>650</v>
      </c>
    </row>
    <row r="9" spans="1:44" s="1" customFormat="1" ht="39.75" customHeight="1" x14ac:dyDescent="0.3">
      <c r="A9" s="213">
        <v>6</v>
      </c>
      <c r="B9" s="212" t="s">
        <v>673</v>
      </c>
      <c r="C9" s="209" t="s">
        <v>643</v>
      </c>
      <c r="D9" s="211" t="s">
        <v>601</v>
      </c>
      <c r="E9" s="209" t="s">
        <v>649</v>
      </c>
      <c r="F9" s="210" t="s">
        <v>163</v>
      </c>
      <c r="G9" s="209">
        <v>1</v>
      </c>
      <c r="H9" s="210" t="s">
        <v>68</v>
      </c>
      <c r="I9" s="209" t="s">
        <v>66</v>
      </c>
      <c r="J9" s="209" t="s">
        <v>121</v>
      </c>
      <c r="K9" s="210" t="s">
        <v>125</v>
      </c>
      <c r="L9" s="210" t="s">
        <v>67</v>
      </c>
      <c r="M9" s="209" t="s">
        <v>623</v>
      </c>
      <c r="N9" s="208"/>
      <c r="O9" s="209"/>
      <c r="P9" s="208"/>
      <c r="Q9" s="209" t="s">
        <v>67</v>
      </c>
      <c r="R9" s="209" t="s">
        <v>67</v>
      </c>
      <c r="S9" s="208" t="s">
        <v>529</v>
      </c>
      <c r="T9" s="209"/>
      <c r="U9" s="208"/>
      <c r="V9" s="209" t="s">
        <v>529</v>
      </c>
      <c r="W9" s="208" t="s">
        <v>92</v>
      </c>
      <c r="X9" s="209" t="s">
        <v>67</v>
      </c>
      <c r="Y9" s="208" t="s">
        <v>529</v>
      </c>
      <c r="Z9" s="207"/>
      <c r="AA9" s="206" t="s">
        <v>530</v>
      </c>
      <c r="AB9" s="248">
        <v>1</v>
      </c>
      <c r="AC9" s="248"/>
      <c r="AD9" s="248"/>
      <c r="AE9" s="248"/>
      <c r="AF9" s="248"/>
      <c r="AG9" s="248"/>
      <c r="AH9" s="248">
        <v>0</v>
      </c>
      <c r="AI9" s="248">
        <v>1</v>
      </c>
      <c r="AJ9" s="248"/>
      <c r="AK9" s="248"/>
      <c r="AL9" s="248"/>
      <c r="AM9" s="248"/>
      <c r="AN9" s="248"/>
      <c r="AO9" s="248"/>
      <c r="AP9" s="248"/>
      <c r="AQ9" s="248"/>
      <c r="AR9" s="61"/>
    </row>
    <row r="10" spans="1:44" s="1" customFormat="1" ht="39.75" customHeight="1" x14ac:dyDescent="0.3">
      <c r="A10" s="213">
        <v>7</v>
      </c>
      <c r="B10" s="212" t="s">
        <v>674</v>
      </c>
      <c r="C10" s="209" t="s">
        <v>643</v>
      </c>
      <c r="D10" s="211" t="s">
        <v>601</v>
      </c>
      <c r="E10" s="209" t="s">
        <v>580</v>
      </c>
      <c r="F10" s="210" t="s">
        <v>163</v>
      </c>
      <c r="G10" s="209">
        <v>1</v>
      </c>
      <c r="H10" s="210" t="s">
        <v>68</v>
      </c>
      <c r="I10" s="209" t="s">
        <v>66</v>
      </c>
      <c r="J10" s="209" t="s">
        <v>121</v>
      </c>
      <c r="K10" s="210" t="s">
        <v>125</v>
      </c>
      <c r="L10" s="210" t="s">
        <v>67</v>
      </c>
      <c r="M10" s="209" t="s">
        <v>66</v>
      </c>
      <c r="N10" s="208"/>
      <c r="O10" s="209"/>
      <c r="P10" s="208"/>
      <c r="Q10" s="209" t="s">
        <v>67</v>
      </c>
      <c r="R10" s="209" t="s">
        <v>67</v>
      </c>
      <c r="S10" s="208"/>
      <c r="T10" s="209"/>
      <c r="U10" s="208"/>
      <c r="V10" s="209" t="s">
        <v>529</v>
      </c>
      <c r="W10" s="208" t="s">
        <v>92</v>
      </c>
      <c r="X10" s="209" t="s">
        <v>67</v>
      </c>
      <c r="Y10" s="208"/>
      <c r="Z10" s="207"/>
      <c r="AA10" s="206" t="s">
        <v>530</v>
      </c>
      <c r="AB10" s="248"/>
      <c r="AC10" s="248"/>
      <c r="AD10" s="248"/>
      <c r="AE10" s="248">
        <v>1</v>
      </c>
      <c r="AF10" s="248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61"/>
    </row>
    <row r="11" spans="1:44" s="1" customFormat="1" ht="39.75" customHeight="1" x14ac:dyDescent="0.3">
      <c r="A11" s="213">
        <v>8</v>
      </c>
      <c r="B11" s="212" t="s">
        <v>675</v>
      </c>
      <c r="C11" s="209" t="s">
        <v>643</v>
      </c>
      <c r="D11" s="211" t="s">
        <v>601</v>
      </c>
      <c r="E11" s="209" t="s">
        <v>645</v>
      </c>
      <c r="F11" s="210" t="s">
        <v>163</v>
      </c>
      <c r="G11" s="209">
        <v>1</v>
      </c>
      <c r="H11" s="210" t="s">
        <v>68</v>
      </c>
      <c r="I11" s="209" t="s">
        <v>66</v>
      </c>
      <c r="J11" s="209" t="s">
        <v>121</v>
      </c>
      <c r="K11" s="210" t="s">
        <v>125</v>
      </c>
      <c r="L11" s="210" t="s">
        <v>67</v>
      </c>
      <c r="M11" s="209" t="s">
        <v>623</v>
      </c>
      <c r="N11" s="208"/>
      <c r="O11" s="209"/>
      <c r="P11" s="208"/>
      <c r="Q11" s="209" t="s">
        <v>67</v>
      </c>
      <c r="R11" s="209" t="s">
        <v>67</v>
      </c>
      <c r="S11" s="208" t="s">
        <v>529</v>
      </c>
      <c r="T11" s="209"/>
      <c r="U11" s="208"/>
      <c r="V11" s="209" t="s">
        <v>529</v>
      </c>
      <c r="W11" s="208" t="s">
        <v>92</v>
      </c>
      <c r="X11" s="209" t="s">
        <v>67</v>
      </c>
      <c r="Y11" s="208"/>
      <c r="Z11" s="207"/>
      <c r="AA11" s="206" t="s">
        <v>530</v>
      </c>
      <c r="AB11" s="248">
        <v>1</v>
      </c>
      <c r="AC11" s="248"/>
      <c r="AD11" s="248"/>
      <c r="AE11" s="248"/>
      <c r="AF11" s="248"/>
      <c r="AG11" s="248"/>
      <c r="AH11" s="248"/>
      <c r="AI11" s="248">
        <v>1</v>
      </c>
      <c r="AJ11" s="248"/>
      <c r="AK11" s="248"/>
      <c r="AL11" s="248"/>
      <c r="AM11" s="248"/>
      <c r="AN11" s="248"/>
      <c r="AO11" s="248"/>
      <c r="AP11" s="248"/>
      <c r="AQ11" s="248"/>
      <c r="AR11" s="61" t="s">
        <v>648</v>
      </c>
    </row>
    <row r="12" spans="1:44" s="1" customFormat="1" ht="39.75" customHeight="1" x14ac:dyDescent="0.3">
      <c r="A12" s="213">
        <v>9</v>
      </c>
      <c r="B12" s="212" t="s">
        <v>676</v>
      </c>
      <c r="C12" s="209" t="s">
        <v>643</v>
      </c>
      <c r="D12" s="211" t="s">
        <v>601</v>
      </c>
      <c r="E12" s="209" t="s">
        <v>647</v>
      </c>
      <c r="F12" s="210" t="s">
        <v>163</v>
      </c>
      <c r="G12" s="209">
        <v>1</v>
      </c>
      <c r="H12" s="210" t="s">
        <v>68</v>
      </c>
      <c r="I12" s="209" t="s">
        <v>66</v>
      </c>
      <c r="J12" s="209" t="s">
        <v>44</v>
      </c>
      <c r="K12" s="210" t="s">
        <v>125</v>
      </c>
      <c r="L12" s="210" t="s">
        <v>67</v>
      </c>
      <c r="M12" s="209" t="s">
        <v>457</v>
      </c>
      <c r="N12" s="208"/>
      <c r="O12" s="209"/>
      <c r="P12" s="208"/>
      <c r="Q12" s="209" t="s">
        <v>67</v>
      </c>
      <c r="R12" s="209" t="s">
        <v>67</v>
      </c>
      <c r="S12" s="208" t="s">
        <v>529</v>
      </c>
      <c r="T12" s="209"/>
      <c r="U12" s="208"/>
      <c r="V12" s="209" t="s">
        <v>529</v>
      </c>
      <c r="W12" s="208" t="s">
        <v>91</v>
      </c>
      <c r="X12" s="209" t="s">
        <v>67</v>
      </c>
      <c r="Y12" s="208"/>
      <c r="Z12" s="207"/>
      <c r="AA12" s="206" t="s">
        <v>530</v>
      </c>
      <c r="AB12" s="248">
        <v>1</v>
      </c>
      <c r="AC12" s="248"/>
      <c r="AD12" s="248"/>
      <c r="AE12" s="248"/>
      <c r="AF12" s="248"/>
      <c r="AG12" s="248"/>
      <c r="AH12" s="248"/>
      <c r="AI12" s="248">
        <v>1</v>
      </c>
      <c r="AJ12" s="248"/>
      <c r="AK12" s="248"/>
      <c r="AL12" s="248"/>
      <c r="AM12" s="248"/>
      <c r="AN12" s="248"/>
      <c r="AO12" s="248"/>
      <c r="AP12" s="248"/>
      <c r="AQ12" s="248"/>
      <c r="AR12" s="61"/>
    </row>
    <row r="13" spans="1:44" s="1" customFormat="1" ht="39.75" customHeight="1" x14ac:dyDescent="0.3">
      <c r="A13" s="213">
        <v>10</v>
      </c>
      <c r="B13" s="212" t="s">
        <v>677</v>
      </c>
      <c r="C13" s="209" t="s">
        <v>643</v>
      </c>
      <c r="D13" s="211" t="s">
        <v>646</v>
      </c>
      <c r="E13" s="209" t="s">
        <v>645</v>
      </c>
      <c r="F13" s="210" t="s">
        <v>163</v>
      </c>
      <c r="G13" s="209">
        <v>1</v>
      </c>
      <c r="H13" s="210" t="s">
        <v>68</v>
      </c>
      <c r="I13" s="209" t="s">
        <v>66</v>
      </c>
      <c r="J13" s="209" t="s">
        <v>44</v>
      </c>
      <c r="K13" s="210" t="s">
        <v>125</v>
      </c>
      <c r="L13" s="210" t="s">
        <v>67</v>
      </c>
      <c r="M13" s="209" t="s">
        <v>454</v>
      </c>
      <c r="N13" s="208"/>
      <c r="O13" s="209"/>
      <c r="P13" s="208"/>
      <c r="Q13" s="209" t="s">
        <v>67</v>
      </c>
      <c r="R13" s="209" t="s">
        <v>67</v>
      </c>
      <c r="S13" s="208" t="s">
        <v>529</v>
      </c>
      <c r="T13" s="209"/>
      <c r="U13" s="208"/>
      <c r="V13" s="209" t="s">
        <v>529</v>
      </c>
      <c r="W13" s="208" t="s">
        <v>92</v>
      </c>
      <c r="X13" s="209" t="s">
        <v>49</v>
      </c>
      <c r="Y13" s="208" t="s">
        <v>529</v>
      </c>
      <c r="Z13" s="207"/>
      <c r="AA13" s="206" t="s">
        <v>644</v>
      </c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61"/>
    </row>
    <row r="14" spans="1:44" s="1" customFormat="1" ht="39.75" customHeight="1" x14ac:dyDescent="0.3">
      <c r="A14" s="213">
        <v>11</v>
      </c>
      <c r="B14" s="212" t="s">
        <v>678</v>
      </c>
      <c r="C14" s="209" t="s">
        <v>643</v>
      </c>
      <c r="D14" s="211" t="s">
        <v>601</v>
      </c>
      <c r="E14" s="209" t="s">
        <v>618</v>
      </c>
      <c r="F14" s="210" t="s">
        <v>604</v>
      </c>
      <c r="G14" s="209">
        <v>1</v>
      </c>
      <c r="H14" s="210" t="s">
        <v>68</v>
      </c>
      <c r="I14" s="209" t="s">
        <v>66</v>
      </c>
      <c r="J14" s="209" t="s">
        <v>121</v>
      </c>
      <c r="K14" s="210" t="s">
        <v>155</v>
      </c>
      <c r="L14" s="210" t="s">
        <v>67</v>
      </c>
      <c r="M14" s="209" t="s">
        <v>66</v>
      </c>
      <c r="N14" s="208" t="s">
        <v>529</v>
      </c>
      <c r="O14" s="209"/>
      <c r="P14" s="208"/>
      <c r="Q14" s="209" t="s">
        <v>67</v>
      </c>
      <c r="R14" s="209" t="s">
        <v>67</v>
      </c>
      <c r="S14" s="208"/>
      <c r="T14" s="209"/>
      <c r="U14" s="208"/>
      <c r="V14" s="209" t="s">
        <v>529</v>
      </c>
      <c r="W14" s="208" t="s">
        <v>92</v>
      </c>
      <c r="X14" s="209" t="s">
        <v>67</v>
      </c>
      <c r="Y14" s="208"/>
      <c r="Z14" s="207"/>
      <c r="AA14" s="206" t="s">
        <v>530</v>
      </c>
      <c r="AB14" s="248"/>
      <c r="AC14" s="248"/>
      <c r="AD14" s="248"/>
      <c r="AE14" s="248">
        <v>1</v>
      </c>
      <c r="AF14" s="248"/>
      <c r="AG14" s="248"/>
      <c r="AH14" s="248">
        <v>0</v>
      </c>
      <c r="AI14" s="248"/>
      <c r="AJ14" s="248"/>
      <c r="AK14" s="248"/>
      <c r="AL14" s="248"/>
      <c r="AM14" s="248"/>
      <c r="AN14" s="248"/>
      <c r="AO14" s="248"/>
      <c r="AP14" s="248"/>
      <c r="AQ14" s="248"/>
      <c r="AR14" s="61"/>
    </row>
    <row r="15" spans="1:44" s="1" customFormat="1" ht="39.75" customHeight="1" x14ac:dyDescent="0.3">
      <c r="A15" s="213">
        <v>12</v>
      </c>
      <c r="B15" s="212" t="s">
        <v>679</v>
      </c>
      <c r="C15" s="209" t="s">
        <v>643</v>
      </c>
      <c r="D15" s="211" t="s">
        <v>601</v>
      </c>
      <c r="E15" s="209" t="s">
        <v>612</v>
      </c>
      <c r="F15" s="210" t="s">
        <v>604</v>
      </c>
      <c r="G15" s="209">
        <v>1</v>
      </c>
      <c r="H15" s="210" t="s">
        <v>68</v>
      </c>
      <c r="I15" s="209" t="s">
        <v>66</v>
      </c>
      <c r="J15" s="209" t="s">
        <v>120</v>
      </c>
      <c r="K15" s="210" t="s">
        <v>155</v>
      </c>
      <c r="L15" s="210" t="s">
        <v>67</v>
      </c>
      <c r="M15" s="209" t="s">
        <v>623</v>
      </c>
      <c r="N15" s="208" t="s">
        <v>529</v>
      </c>
      <c r="O15" s="209"/>
      <c r="P15" s="208"/>
      <c r="Q15" s="209" t="s">
        <v>67</v>
      </c>
      <c r="R15" s="209" t="s">
        <v>67</v>
      </c>
      <c r="S15" s="208" t="s">
        <v>529</v>
      </c>
      <c r="T15" s="209"/>
      <c r="U15" s="208"/>
      <c r="V15" s="209" t="s">
        <v>529</v>
      </c>
      <c r="W15" s="208" t="s">
        <v>92</v>
      </c>
      <c r="X15" s="209" t="s">
        <v>67</v>
      </c>
      <c r="Y15" s="208"/>
      <c r="Z15" s="207"/>
      <c r="AA15" s="206" t="s">
        <v>530</v>
      </c>
      <c r="AB15" s="248">
        <v>1</v>
      </c>
      <c r="AC15" s="248"/>
      <c r="AD15" s="248"/>
      <c r="AE15" s="248"/>
      <c r="AF15" s="248"/>
      <c r="AG15" s="248"/>
      <c r="AH15" s="248">
        <v>0</v>
      </c>
      <c r="AI15" s="248">
        <v>1</v>
      </c>
      <c r="AJ15" s="248">
        <v>1</v>
      </c>
      <c r="AK15" s="248"/>
      <c r="AL15" s="248"/>
      <c r="AM15" s="248"/>
      <c r="AN15" s="248"/>
      <c r="AO15" s="248"/>
      <c r="AP15" s="248"/>
      <c r="AQ15" s="248"/>
      <c r="AR15" s="61" t="s">
        <v>622</v>
      </c>
    </row>
    <row r="16" spans="1:44" s="1" customFormat="1" ht="39.75" customHeight="1" x14ac:dyDescent="0.3">
      <c r="A16" s="213">
        <v>13</v>
      </c>
      <c r="B16" s="212" t="s">
        <v>680</v>
      </c>
      <c r="C16" s="209" t="s">
        <v>640</v>
      </c>
      <c r="D16" s="211" t="s">
        <v>601</v>
      </c>
      <c r="E16" s="209" t="s">
        <v>618</v>
      </c>
      <c r="F16" s="210" t="s">
        <v>604</v>
      </c>
      <c r="G16" s="209">
        <v>1</v>
      </c>
      <c r="H16" s="210" t="s">
        <v>38</v>
      </c>
      <c r="I16" s="209" t="s">
        <v>66</v>
      </c>
      <c r="J16" s="209" t="s">
        <v>44</v>
      </c>
      <c r="K16" s="210" t="s">
        <v>155</v>
      </c>
      <c r="L16" s="210" t="s">
        <v>67</v>
      </c>
      <c r="M16" s="209" t="s">
        <v>456</v>
      </c>
      <c r="N16" s="208" t="s">
        <v>529</v>
      </c>
      <c r="O16" s="209"/>
      <c r="P16" s="208"/>
      <c r="Q16" s="209" t="s">
        <v>67</v>
      </c>
      <c r="R16" s="209" t="s">
        <v>67</v>
      </c>
      <c r="S16" s="208"/>
      <c r="T16" s="209"/>
      <c r="U16" s="208"/>
      <c r="V16" s="209" t="s">
        <v>529</v>
      </c>
      <c r="W16" s="208" t="s">
        <v>92</v>
      </c>
      <c r="X16" s="209" t="s">
        <v>67</v>
      </c>
      <c r="Y16" s="208"/>
      <c r="Z16" s="207"/>
      <c r="AA16" s="206" t="s">
        <v>530</v>
      </c>
      <c r="AB16" s="248"/>
      <c r="AC16" s="248"/>
      <c r="AD16" s="248"/>
      <c r="AE16" s="248"/>
      <c r="AF16" s="248"/>
      <c r="AG16" s="248">
        <v>1</v>
      </c>
      <c r="AH16" s="248"/>
      <c r="AI16" s="248">
        <v>1</v>
      </c>
      <c r="AJ16" s="248">
        <v>1</v>
      </c>
      <c r="AK16" s="248">
        <v>1</v>
      </c>
      <c r="AL16" s="248">
        <v>0</v>
      </c>
      <c r="AM16" s="248"/>
      <c r="AN16" s="248"/>
      <c r="AO16" s="248"/>
      <c r="AP16" s="248"/>
      <c r="AQ16" s="248"/>
      <c r="AR16" s="61" t="s">
        <v>718</v>
      </c>
    </row>
    <row r="17" spans="1:44" s="1" customFormat="1" ht="39.75" customHeight="1" x14ac:dyDescent="0.3">
      <c r="A17" s="213">
        <v>14</v>
      </c>
      <c r="B17" s="212" t="s">
        <v>681</v>
      </c>
      <c r="C17" s="209" t="s">
        <v>640</v>
      </c>
      <c r="D17" s="211" t="s">
        <v>601</v>
      </c>
      <c r="E17" s="209" t="s">
        <v>612</v>
      </c>
      <c r="F17" s="210" t="s">
        <v>162</v>
      </c>
      <c r="G17" s="209">
        <v>1</v>
      </c>
      <c r="H17" s="210" t="s">
        <v>68</v>
      </c>
      <c r="I17" s="209" t="s">
        <v>66</v>
      </c>
      <c r="J17" s="209" t="s">
        <v>77</v>
      </c>
      <c r="K17" s="210" t="s">
        <v>155</v>
      </c>
      <c r="L17" s="210" t="s">
        <v>67</v>
      </c>
      <c r="M17" s="209" t="s">
        <v>642</v>
      </c>
      <c r="N17" s="208" t="s">
        <v>529</v>
      </c>
      <c r="O17" s="209"/>
      <c r="P17" s="208"/>
      <c r="Q17" s="209" t="s">
        <v>67</v>
      </c>
      <c r="R17" s="209" t="s">
        <v>67</v>
      </c>
      <c r="S17" s="208" t="s">
        <v>529</v>
      </c>
      <c r="T17" s="209"/>
      <c r="U17" s="208"/>
      <c r="V17" s="209" t="s">
        <v>529</v>
      </c>
      <c r="W17" s="208" t="s">
        <v>91</v>
      </c>
      <c r="X17" s="209" t="s">
        <v>67</v>
      </c>
      <c r="Y17" s="208"/>
      <c r="Z17" s="207"/>
      <c r="AA17" s="206" t="s">
        <v>530</v>
      </c>
      <c r="AB17" s="248">
        <v>1</v>
      </c>
      <c r="AC17" s="248">
        <v>1</v>
      </c>
      <c r="AD17" s="248">
        <v>1</v>
      </c>
      <c r="AE17" s="248"/>
      <c r="AF17" s="248"/>
      <c r="AG17" s="248"/>
      <c r="AH17" s="248"/>
      <c r="AI17" s="248"/>
      <c r="AJ17" s="248"/>
      <c r="AK17" s="248">
        <v>0</v>
      </c>
      <c r="AL17" s="248"/>
      <c r="AM17" s="248"/>
      <c r="AN17" s="248"/>
      <c r="AO17" s="248"/>
      <c r="AP17" s="248"/>
      <c r="AQ17" s="248"/>
      <c r="AR17" s="61" t="s">
        <v>622</v>
      </c>
    </row>
    <row r="18" spans="1:44" s="1" customFormat="1" ht="39.75" customHeight="1" x14ac:dyDescent="0.3">
      <c r="A18" s="213">
        <v>15</v>
      </c>
      <c r="B18" s="212" t="s">
        <v>682</v>
      </c>
      <c r="C18" s="209" t="s">
        <v>640</v>
      </c>
      <c r="D18" s="211" t="s">
        <v>601</v>
      </c>
      <c r="E18" s="209" t="s">
        <v>641</v>
      </c>
      <c r="F18" s="210" t="s">
        <v>163</v>
      </c>
      <c r="G18" s="209">
        <v>1</v>
      </c>
      <c r="H18" s="210" t="s">
        <v>68</v>
      </c>
      <c r="I18" s="209" t="s">
        <v>75</v>
      </c>
      <c r="J18" s="209" t="s">
        <v>44</v>
      </c>
      <c r="K18" s="210" t="s">
        <v>139</v>
      </c>
      <c r="L18" s="210" t="s">
        <v>67</v>
      </c>
      <c r="M18" s="209" t="s">
        <v>457</v>
      </c>
      <c r="N18" s="208" t="s">
        <v>529</v>
      </c>
      <c r="O18" s="209"/>
      <c r="P18" s="208"/>
      <c r="Q18" s="209" t="s">
        <v>67</v>
      </c>
      <c r="R18" s="209" t="s">
        <v>67</v>
      </c>
      <c r="S18" s="208"/>
      <c r="T18" s="209"/>
      <c r="U18" s="208"/>
      <c r="V18" s="209" t="s">
        <v>529</v>
      </c>
      <c r="W18" s="208" t="s">
        <v>91</v>
      </c>
      <c r="X18" s="209" t="s">
        <v>67</v>
      </c>
      <c r="Y18" s="208"/>
      <c r="Z18" s="207"/>
      <c r="AA18" s="206" t="s">
        <v>530</v>
      </c>
      <c r="AB18" s="248">
        <v>1</v>
      </c>
      <c r="AC18" s="248"/>
      <c r="AD18" s="248"/>
      <c r="AE18" s="248">
        <v>1</v>
      </c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61"/>
    </row>
    <row r="19" spans="1:44" s="1" customFormat="1" ht="39.75" customHeight="1" x14ac:dyDescent="0.3">
      <c r="A19" s="213">
        <v>16</v>
      </c>
      <c r="B19" s="212" t="s">
        <v>683</v>
      </c>
      <c r="C19" s="209" t="s">
        <v>640</v>
      </c>
      <c r="D19" s="211" t="s">
        <v>601</v>
      </c>
      <c r="E19" s="209" t="s">
        <v>639</v>
      </c>
      <c r="F19" s="210" t="s">
        <v>170</v>
      </c>
      <c r="G19" s="209">
        <v>2</v>
      </c>
      <c r="H19" s="210" t="s">
        <v>68</v>
      </c>
      <c r="I19" s="209" t="s">
        <v>66</v>
      </c>
      <c r="J19" s="209" t="s">
        <v>81</v>
      </c>
      <c r="K19" s="210" t="s">
        <v>127</v>
      </c>
      <c r="L19" s="210" t="s">
        <v>600</v>
      </c>
      <c r="M19" s="209" t="s">
        <v>456</v>
      </c>
      <c r="N19" s="208" t="s">
        <v>529</v>
      </c>
      <c r="O19" s="209"/>
      <c r="P19" s="208"/>
      <c r="Q19" s="209" t="s">
        <v>67</v>
      </c>
      <c r="R19" s="209" t="s">
        <v>67</v>
      </c>
      <c r="S19" s="208"/>
      <c r="T19" s="209"/>
      <c r="U19" s="208"/>
      <c r="V19" s="209" t="s">
        <v>529</v>
      </c>
      <c r="W19" s="208" t="s">
        <v>91</v>
      </c>
      <c r="X19" s="209" t="s">
        <v>67</v>
      </c>
      <c r="Y19" s="208"/>
      <c r="Z19" s="207"/>
      <c r="AA19" s="206" t="s">
        <v>530</v>
      </c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>
        <v>0</v>
      </c>
      <c r="AM19" s="248">
        <v>1</v>
      </c>
      <c r="AN19" s="248"/>
      <c r="AO19" s="248"/>
      <c r="AP19" s="248"/>
      <c r="AQ19" s="248"/>
      <c r="AR19" s="61" t="s">
        <v>638</v>
      </c>
    </row>
    <row r="20" spans="1:44" s="1" customFormat="1" ht="39.75" customHeight="1" x14ac:dyDescent="0.3">
      <c r="A20" s="213">
        <v>17</v>
      </c>
      <c r="B20" s="212" t="s">
        <v>684</v>
      </c>
      <c r="C20" s="209" t="s">
        <v>636</v>
      </c>
      <c r="D20" s="211" t="s">
        <v>601</v>
      </c>
      <c r="E20" s="209" t="s">
        <v>618</v>
      </c>
      <c r="F20" s="210" t="s">
        <v>163</v>
      </c>
      <c r="G20" s="209">
        <v>1</v>
      </c>
      <c r="H20" s="210" t="s">
        <v>68</v>
      </c>
      <c r="I20" s="209" t="s">
        <v>66</v>
      </c>
      <c r="J20" s="209" t="s">
        <v>44</v>
      </c>
      <c r="K20" s="210" t="s">
        <v>155</v>
      </c>
      <c r="L20" s="210" t="s">
        <v>67</v>
      </c>
      <c r="M20" s="209" t="s">
        <v>623</v>
      </c>
      <c r="N20" s="208" t="s">
        <v>529</v>
      </c>
      <c r="O20" s="209"/>
      <c r="P20" s="208"/>
      <c r="Q20" s="209" t="s">
        <v>67</v>
      </c>
      <c r="R20" s="209" t="s">
        <v>67</v>
      </c>
      <c r="S20" s="208" t="s">
        <v>529</v>
      </c>
      <c r="T20" s="209"/>
      <c r="U20" s="208"/>
      <c r="V20" s="209" t="s">
        <v>529</v>
      </c>
      <c r="W20" s="208" t="s">
        <v>91</v>
      </c>
      <c r="X20" s="209" t="s">
        <v>67</v>
      </c>
      <c r="Y20" s="208"/>
      <c r="Z20" s="207"/>
      <c r="AA20" s="206" t="s">
        <v>530</v>
      </c>
      <c r="AB20" s="248">
        <v>1</v>
      </c>
      <c r="AC20" s="248"/>
      <c r="AD20" s="248"/>
      <c r="AE20" s="248"/>
      <c r="AF20" s="248"/>
      <c r="AG20" s="248"/>
      <c r="AH20" s="248"/>
      <c r="AI20" s="248">
        <v>1</v>
      </c>
      <c r="AJ20" s="248"/>
      <c r="AK20" s="248">
        <v>0</v>
      </c>
      <c r="AL20" s="248"/>
      <c r="AM20" s="248"/>
      <c r="AN20" s="248"/>
      <c r="AO20" s="248"/>
      <c r="AP20" s="248"/>
      <c r="AQ20" s="248"/>
      <c r="AR20" s="61"/>
    </row>
    <row r="21" spans="1:44" s="1" customFormat="1" ht="39.75" customHeight="1" x14ac:dyDescent="0.3">
      <c r="A21" s="213">
        <v>18</v>
      </c>
      <c r="B21" s="212" t="s">
        <v>685</v>
      </c>
      <c r="C21" s="209" t="s">
        <v>636</v>
      </c>
      <c r="D21" s="211" t="s">
        <v>601</v>
      </c>
      <c r="E21" s="209" t="s">
        <v>612</v>
      </c>
      <c r="F21" s="210" t="s">
        <v>604</v>
      </c>
      <c r="G21" s="209">
        <v>1</v>
      </c>
      <c r="H21" s="210" t="s">
        <v>68</v>
      </c>
      <c r="I21" s="209" t="s">
        <v>66</v>
      </c>
      <c r="J21" s="209" t="s">
        <v>120</v>
      </c>
      <c r="K21" s="210" t="s">
        <v>155</v>
      </c>
      <c r="L21" s="210" t="s">
        <v>67</v>
      </c>
      <c r="M21" s="209" t="s">
        <v>457</v>
      </c>
      <c r="N21" s="208" t="s">
        <v>529</v>
      </c>
      <c r="O21" s="209"/>
      <c r="P21" s="208"/>
      <c r="Q21" s="209" t="s">
        <v>67</v>
      </c>
      <c r="R21" s="209" t="s">
        <v>67</v>
      </c>
      <c r="S21" s="208" t="s">
        <v>529</v>
      </c>
      <c r="T21" s="209" t="s">
        <v>529</v>
      </c>
      <c r="U21" s="208"/>
      <c r="V21" s="209" t="s">
        <v>529</v>
      </c>
      <c r="W21" s="208" t="s">
        <v>92</v>
      </c>
      <c r="X21" s="209" t="s">
        <v>49</v>
      </c>
      <c r="Y21" s="208" t="s">
        <v>529</v>
      </c>
      <c r="Z21" s="207"/>
      <c r="AA21" s="206" t="s">
        <v>530</v>
      </c>
      <c r="AB21" s="248">
        <v>1</v>
      </c>
      <c r="AC21" s="248"/>
      <c r="AD21" s="248"/>
      <c r="AE21" s="248"/>
      <c r="AF21" s="248"/>
      <c r="AG21" s="248"/>
      <c r="AH21" s="248"/>
      <c r="AI21" s="248">
        <v>1</v>
      </c>
      <c r="AJ21" s="248"/>
      <c r="AK21" s="248"/>
      <c r="AL21" s="248"/>
      <c r="AM21" s="248"/>
      <c r="AN21" s="248"/>
      <c r="AO21" s="248"/>
      <c r="AP21" s="248"/>
      <c r="AQ21" s="248"/>
      <c r="AR21" s="61" t="s">
        <v>622</v>
      </c>
    </row>
    <row r="22" spans="1:44" s="1" customFormat="1" ht="39.75" customHeight="1" x14ac:dyDescent="0.3">
      <c r="A22" s="213">
        <v>19</v>
      </c>
      <c r="B22" s="212" t="s">
        <v>686</v>
      </c>
      <c r="C22" s="209" t="s">
        <v>636</v>
      </c>
      <c r="D22" s="211" t="s">
        <v>601</v>
      </c>
      <c r="E22" s="209" t="s">
        <v>637</v>
      </c>
      <c r="F22" s="210" t="s">
        <v>163</v>
      </c>
      <c r="G22" s="209">
        <v>1</v>
      </c>
      <c r="H22" s="210" t="s">
        <v>68</v>
      </c>
      <c r="I22" s="209" t="s">
        <v>75</v>
      </c>
      <c r="J22" s="209" t="s">
        <v>77</v>
      </c>
      <c r="K22" s="210" t="s">
        <v>131</v>
      </c>
      <c r="L22" s="210" t="s">
        <v>67</v>
      </c>
      <c r="M22" s="209" t="s">
        <v>623</v>
      </c>
      <c r="N22" s="208" t="s">
        <v>529</v>
      </c>
      <c r="O22" s="209"/>
      <c r="P22" s="208"/>
      <c r="Q22" s="209" t="s">
        <v>67</v>
      </c>
      <c r="R22" s="209" t="s">
        <v>67</v>
      </c>
      <c r="S22" s="208"/>
      <c r="T22" s="209"/>
      <c r="U22" s="208"/>
      <c r="V22" s="209" t="s">
        <v>529</v>
      </c>
      <c r="W22" s="208" t="s">
        <v>91</v>
      </c>
      <c r="X22" s="209" t="s">
        <v>67</v>
      </c>
      <c r="Y22" s="208"/>
      <c r="Z22" s="207"/>
      <c r="AA22" s="206" t="s">
        <v>530</v>
      </c>
      <c r="AB22" s="248">
        <v>1</v>
      </c>
      <c r="AC22" s="248"/>
      <c r="AD22" s="248"/>
      <c r="AE22" s="248"/>
      <c r="AF22" s="248"/>
      <c r="AG22" s="248"/>
      <c r="AH22" s="248"/>
      <c r="AI22" s="248">
        <v>1</v>
      </c>
      <c r="AJ22" s="248"/>
      <c r="AK22" s="248">
        <v>0</v>
      </c>
      <c r="AL22" s="248"/>
      <c r="AM22" s="248"/>
      <c r="AN22" s="248"/>
      <c r="AO22" s="248"/>
      <c r="AP22" s="248"/>
      <c r="AQ22" s="248"/>
      <c r="AR22" s="61"/>
    </row>
    <row r="23" spans="1:44" s="1" customFormat="1" ht="39.75" customHeight="1" x14ac:dyDescent="0.3">
      <c r="A23" s="213">
        <v>20</v>
      </c>
      <c r="B23" s="212" t="s">
        <v>687</v>
      </c>
      <c r="C23" s="209" t="s">
        <v>636</v>
      </c>
      <c r="D23" s="211" t="s">
        <v>601</v>
      </c>
      <c r="E23" s="209" t="s">
        <v>635</v>
      </c>
      <c r="F23" s="210" t="s">
        <v>163</v>
      </c>
      <c r="G23" s="209">
        <v>1</v>
      </c>
      <c r="H23" s="210" t="s">
        <v>68</v>
      </c>
      <c r="I23" s="209" t="s">
        <v>75</v>
      </c>
      <c r="J23" s="209" t="s">
        <v>44</v>
      </c>
      <c r="K23" s="210" t="s">
        <v>124</v>
      </c>
      <c r="L23" s="210" t="s">
        <v>67</v>
      </c>
      <c r="M23" s="209" t="s">
        <v>456</v>
      </c>
      <c r="N23" s="208" t="s">
        <v>529</v>
      </c>
      <c r="O23" s="209"/>
      <c r="P23" s="208"/>
      <c r="Q23" s="209" t="s">
        <v>67</v>
      </c>
      <c r="R23" s="209" t="s">
        <v>67</v>
      </c>
      <c r="S23" s="208"/>
      <c r="T23" s="209"/>
      <c r="U23" s="208"/>
      <c r="V23" s="209"/>
      <c r="W23" s="208" t="s">
        <v>91</v>
      </c>
      <c r="X23" s="209" t="s">
        <v>67</v>
      </c>
      <c r="Y23" s="208"/>
      <c r="Z23" s="207"/>
      <c r="AA23" s="206" t="s">
        <v>530</v>
      </c>
      <c r="AB23" s="248"/>
      <c r="AC23" s="248"/>
      <c r="AD23" s="248"/>
      <c r="AE23" s="248"/>
      <c r="AF23" s="248"/>
      <c r="AG23" s="248">
        <v>0</v>
      </c>
      <c r="AH23" s="248"/>
      <c r="AI23" s="248">
        <v>1</v>
      </c>
      <c r="AJ23" s="248"/>
      <c r="AK23" s="248">
        <v>0</v>
      </c>
      <c r="AL23" s="248"/>
      <c r="AM23" s="248"/>
      <c r="AN23" s="248"/>
      <c r="AO23" s="248"/>
      <c r="AP23" s="248"/>
      <c r="AQ23" s="248"/>
      <c r="AR23" s="61"/>
    </row>
    <row r="24" spans="1:44" s="1" customFormat="1" ht="39.75" customHeight="1" x14ac:dyDescent="0.3">
      <c r="A24" s="213">
        <v>21</v>
      </c>
      <c r="B24" s="212" t="s">
        <v>688</v>
      </c>
      <c r="C24" s="209" t="s">
        <v>631</v>
      </c>
      <c r="D24" s="211" t="s">
        <v>601</v>
      </c>
      <c r="E24" s="209" t="s">
        <v>618</v>
      </c>
      <c r="F24" s="210" t="s">
        <v>604</v>
      </c>
      <c r="G24" s="209">
        <v>1</v>
      </c>
      <c r="H24" s="210" t="s">
        <v>68</v>
      </c>
      <c r="I24" s="209" t="s">
        <v>66</v>
      </c>
      <c r="J24" s="209" t="s">
        <v>44</v>
      </c>
      <c r="K24" s="210" t="s">
        <v>155</v>
      </c>
      <c r="L24" s="210" t="s">
        <v>67</v>
      </c>
      <c r="M24" s="209" t="s">
        <v>623</v>
      </c>
      <c r="N24" s="208" t="s">
        <v>529</v>
      </c>
      <c r="O24" s="209"/>
      <c r="P24" s="208"/>
      <c r="Q24" s="209" t="s">
        <v>67</v>
      </c>
      <c r="R24" s="209" t="s">
        <v>67</v>
      </c>
      <c r="S24" s="208" t="s">
        <v>529</v>
      </c>
      <c r="T24" s="209"/>
      <c r="U24" s="208"/>
      <c r="V24" s="209" t="s">
        <v>529</v>
      </c>
      <c r="W24" s="208" t="s">
        <v>92</v>
      </c>
      <c r="X24" s="209" t="s">
        <v>67</v>
      </c>
      <c r="Y24" s="208"/>
      <c r="Z24" s="207"/>
      <c r="AA24" s="206" t="s">
        <v>530</v>
      </c>
      <c r="AB24" s="248">
        <v>1</v>
      </c>
      <c r="AC24" s="248"/>
      <c r="AD24" s="248"/>
      <c r="AE24" s="248"/>
      <c r="AF24" s="248"/>
      <c r="AG24" s="248"/>
      <c r="AH24" s="248"/>
      <c r="AI24" s="248">
        <v>1</v>
      </c>
      <c r="AJ24" s="248"/>
      <c r="AK24" s="248">
        <v>0</v>
      </c>
      <c r="AL24" s="248"/>
      <c r="AM24" s="248"/>
      <c r="AN24" s="248"/>
      <c r="AO24" s="248"/>
      <c r="AP24" s="248"/>
      <c r="AQ24" s="248"/>
      <c r="AR24" s="61" t="s">
        <v>625</v>
      </c>
    </row>
    <row r="25" spans="1:44" s="1" customFormat="1" ht="39.75" customHeight="1" x14ac:dyDescent="0.3">
      <c r="A25" s="213">
        <v>22</v>
      </c>
      <c r="B25" s="212" t="s">
        <v>689</v>
      </c>
      <c r="C25" s="209" t="s">
        <v>631</v>
      </c>
      <c r="D25" s="211" t="s">
        <v>601</v>
      </c>
      <c r="E25" s="209" t="s">
        <v>612</v>
      </c>
      <c r="F25" s="210" t="s">
        <v>604</v>
      </c>
      <c r="G25" s="209">
        <v>1</v>
      </c>
      <c r="H25" s="210" t="s">
        <v>68</v>
      </c>
      <c r="I25" s="209" t="s">
        <v>66</v>
      </c>
      <c r="J25" s="209" t="s">
        <v>77</v>
      </c>
      <c r="K25" s="210" t="s">
        <v>155</v>
      </c>
      <c r="L25" s="210" t="s">
        <v>67</v>
      </c>
      <c r="M25" s="209" t="s">
        <v>623</v>
      </c>
      <c r="N25" s="208" t="s">
        <v>529</v>
      </c>
      <c r="O25" s="209"/>
      <c r="P25" s="208"/>
      <c r="Q25" s="209" t="s">
        <v>67</v>
      </c>
      <c r="R25" s="209" t="s">
        <v>67</v>
      </c>
      <c r="S25" s="208" t="s">
        <v>529</v>
      </c>
      <c r="T25" s="209"/>
      <c r="U25" s="208"/>
      <c r="V25" s="209" t="s">
        <v>529</v>
      </c>
      <c r="W25" s="208" t="s">
        <v>92</v>
      </c>
      <c r="X25" s="209" t="s">
        <v>67</v>
      </c>
      <c r="Y25" s="208"/>
      <c r="Z25" s="207"/>
      <c r="AA25" s="206" t="s">
        <v>530</v>
      </c>
      <c r="AB25" s="248">
        <v>1</v>
      </c>
      <c r="AC25" s="248">
        <v>1</v>
      </c>
      <c r="AD25" s="248">
        <v>1</v>
      </c>
      <c r="AE25" s="248"/>
      <c r="AF25" s="248"/>
      <c r="AG25" s="248"/>
      <c r="AH25" s="248"/>
      <c r="AI25" s="248">
        <v>1</v>
      </c>
      <c r="AJ25" s="248"/>
      <c r="AK25" s="248">
        <v>0</v>
      </c>
      <c r="AL25" s="248"/>
      <c r="AM25" s="248"/>
      <c r="AN25" s="248"/>
      <c r="AO25" s="248"/>
      <c r="AP25" s="248"/>
      <c r="AQ25" s="248"/>
      <c r="AR25" s="61" t="s">
        <v>625</v>
      </c>
    </row>
    <row r="26" spans="1:44" s="1" customFormat="1" ht="39.75" customHeight="1" x14ac:dyDescent="0.3">
      <c r="A26" s="213">
        <v>23</v>
      </c>
      <c r="B26" s="212" t="s">
        <v>690</v>
      </c>
      <c r="C26" s="209" t="s">
        <v>631</v>
      </c>
      <c r="D26" s="211" t="s">
        <v>601</v>
      </c>
      <c r="E26" s="209" t="s">
        <v>630</v>
      </c>
      <c r="F26" s="210" t="s">
        <v>170</v>
      </c>
      <c r="G26" s="209">
        <v>2</v>
      </c>
      <c r="H26" s="210" t="s">
        <v>68</v>
      </c>
      <c r="I26" s="209" t="s">
        <v>633</v>
      </c>
      <c r="J26" s="209" t="s">
        <v>80</v>
      </c>
      <c r="K26" s="210" t="s">
        <v>131</v>
      </c>
      <c r="L26" s="210" t="s">
        <v>600</v>
      </c>
      <c r="M26" s="209" t="s">
        <v>456</v>
      </c>
      <c r="N26" s="208" t="s">
        <v>529</v>
      </c>
      <c r="O26" s="209"/>
      <c r="P26" s="208"/>
      <c r="Q26" s="209" t="s">
        <v>67</v>
      </c>
      <c r="R26" s="209" t="s">
        <v>67</v>
      </c>
      <c r="S26" s="208"/>
      <c r="T26" s="209"/>
      <c r="U26" s="208"/>
      <c r="V26" s="209" t="s">
        <v>529</v>
      </c>
      <c r="W26" s="208" t="s">
        <v>91</v>
      </c>
      <c r="X26" s="209" t="s">
        <v>67</v>
      </c>
      <c r="Y26" s="208"/>
      <c r="Z26" s="207"/>
      <c r="AA26" s="206" t="s">
        <v>530</v>
      </c>
      <c r="AB26" s="248">
        <v>1</v>
      </c>
      <c r="AC26" s="248"/>
      <c r="AD26" s="248"/>
      <c r="AE26" s="248"/>
      <c r="AF26" s="248"/>
      <c r="AG26" s="248"/>
      <c r="AH26" s="248"/>
      <c r="AI26" s="248">
        <v>1</v>
      </c>
      <c r="AJ26" s="248"/>
      <c r="AK26" s="248"/>
      <c r="AL26" s="248"/>
      <c r="AM26" s="248"/>
      <c r="AN26" s="248"/>
      <c r="AO26" s="248"/>
      <c r="AP26" s="248"/>
      <c r="AQ26" s="248"/>
      <c r="AR26" s="61" t="s">
        <v>632</v>
      </c>
    </row>
    <row r="27" spans="1:44" s="1" customFormat="1" ht="39.75" customHeight="1" x14ac:dyDescent="0.3">
      <c r="A27" s="213">
        <v>24</v>
      </c>
      <c r="B27" s="212" t="s">
        <v>691</v>
      </c>
      <c r="C27" s="209" t="s">
        <v>631</v>
      </c>
      <c r="D27" s="211" t="s">
        <v>601</v>
      </c>
      <c r="E27" s="209" t="s">
        <v>630</v>
      </c>
      <c r="F27" s="210" t="s">
        <v>163</v>
      </c>
      <c r="G27" s="209">
        <v>1</v>
      </c>
      <c r="H27" s="210" t="s">
        <v>68</v>
      </c>
      <c r="I27" s="209" t="s">
        <v>75</v>
      </c>
      <c r="J27" s="209" t="s">
        <v>120</v>
      </c>
      <c r="K27" s="210" t="s">
        <v>125</v>
      </c>
      <c r="L27" s="210" t="s">
        <v>67</v>
      </c>
      <c r="M27" s="209" t="s">
        <v>457</v>
      </c>
      <c r="N27" s="208"/>
      <c r="O27" s="209"/>
      <c r="P27" s="208"/>
      <c r="Q27" s="209" t="s">
        <v>67</v>
      </c>
      <c r="R27" s="209" t="s">
        <v>67</v>
      </c>
      <c r="S27" s="208"/>
      <c r="T27" s="209"/>
      <c r="U27" s="208"/>
      <c r="V27" s="209" t="s">
        <v>529</v>
      </c>
      <c r="W27" s="208" t="s">
        <v>92</v>
      </c>
      <c r="X27" s="209" t="s">
        <v>67</v>
      </c>
      <c r="Y27" s="208"/>
      <c r="Z27" s="207"/>
      <c r="AA27" s="206" t="s">
        <v>530</v>
      </c>
      <c r="AB27" s="248">
        <v>1</v>
      </c>
      <c r="AC27" s="248"/>
      <c r="AD27" s="248"/>
      <c r="AE27" s="248"/>
      <c r="AF27" s="248"/>
      <c r="AG27" s="248"/>
      <c r="AH27" s="248"/>
      <c r="AI27" s="248">
        <v>1</v>
      </c>
      <c r="AJ27" s="248"/>
      <c r="AK27" s="248"/>
      <c r="AL27" s="248"/>
      <c r="AM27" s="248"/>
      <c r="AN27" s="248"/>
      <c r="AO27" s="248"/>
      <c r="AP27" s="248"/>
      <c r="AQ27" s="248"/>
      <c r="AR27" s="61"/>
    </row>
    <row r="28" spans="1:44" s="1" customFormat="1" ht="39.75" customHeight="1" x14ac:dyDescent="0.3">
      <c r="A28" s="213">
        <v>25</v>
      </c>
      <c r="B28" s="212" t="s">
        <v>692</v>
      </c>
      <c r="C28" s="209" t="s">
        <v>631</v>
      </c>
      <c r="D28" s="211" t="s">
        <v>601</v>
      </c>
      <c r="E28" s="209" t="s">
        <v>630</v>
      </c>
      <c r="F28" s="210" t="s">
        <v>163</v>
      </c>
      <c r="G28" s="209">
        <v>1</v>
      </c>
      <c r="H28" s="210" t="s">
        <v>68</v>
      </c>
      <c r="I28" s="209" t="s">
        <v>75</v>
      </c>
      <c r="J28" s="209" t="s">
        <v>120</v>
      </c>
      <c r="K28" s="210" t="s">
        <v>131</v>
      </c>
      <c r="L28" s="210" t="s">
        <v>67</v>
      </c>
      <c r="M28" s="209" t="s">
        <v>457</v>
      </c>
      <c r="N28" s="208" t="s">
        <v>529</v>
      </c>
      <c r="O28" s="209"/>
      <c r="P28" s="208"/>
      <c r="Q28" s="209" t="s">
        <v>67</v>
      </c>
      <c r="R28" s="209" t="s">
        <v>67</v>
      </c>
      <c r="S28" s="208"/>
      <c r="T28" s="209"/>
      <c r="U28" s="208"/>
      <c r="V28" s="209" t="s">
        <v>529</v>
      </c>
      <c r="W28" s="208" t="s">
        <v>91</v>
      </c>
      <c r="X28" s="209" t="s">
        <v>67</v>
      </c>
      <c r="Y28" s="208"/>
      <c r="Z28" s="207"/>
      <c r="AA28" s="206" t="s">
        <v>530</v>
      </c>
      <c r="AB28" s="248">
        <v>1</v>
      </c>
      <c r="AC28" s="248"/>
      <c r="AD28" s="248"/>
      <c r="AE28" s="248"/>
      <c r="AF28" s="248"/>
      <c r="AG28" s="248"/>
      <c r="AH28" s="248"/>
      <c r="AI28" s="248">
        <v>1</v>
      </c>
      <c r="AJ28" s="248"/>
      <c r="AK28" s="248"/>
      <c r="AL28" s="248"/>
      <c r="AM28" s="248"/>
      <c r="AN28" s="248"/>
      <c r="AO28" s="248"/>
      <c r="AP28" s="248"/>
      <c r="AQ28" s="248"/>
      <c r="AR28" s="61"/>
    </row>
    <row r="29" spans="1:44" s="1" customFormat="1" ht="39.75" customHeight="1" x14ac:dyDescent="0.3">
      <c r="A29" s="213">
        <v>26</v>
      </c>
      <c r="B29" s="212" t="s">
        <v>693</v>
      </c>
      <c r="C29" s="209" t="s">
        <v>626</v>
      </c>
      <c r="D29" s="211" t="s">
        <v>601</v>
      </c>
      <c r="E29" s="209" t="s">
        <v>573</v>
      </c>
      <c r="F29" s="210" t="s">
        <v>163</v>
      </c>
      <c r="G29" s="209">
        <v>1</v>
      </c>
      <c r="H29" s="210" t="s">
        <v>68</v>
      </c>
      <c r="I29" s="209" t="s">
        <v>66</v>
      </c>
      <c r="J29" s="209" t="s">
        <v>77</v>
      </c>
      <c r="K29" s="210" t="s">
        <v>155</v>
      </c>
      <c r="L29" s="210" t="s">
        <v>67</v>
      </c>
      <c r="M29" s="209" t="s">
        <v>454</v>
      </c>
      <c r="N29" s="208" t="s">
        <v>529</v>
      </c>
      <c r="O29" s="209"/>
      <c r="P29" s="208"/>
      <c r="Q29" s="209" t="s">
        <v>67</v>
      </c>
      <c r="R29" s="209" t="s">
        <v>67</v>
      </c>
      <c r="S29" s="208" t="s">
        <v>529</v>
      </c>
      <c r="T29" s="209"/>
      <c r="U29" s="208"/>
      <c r="V29" s="209" t="s">
        <v>529</v>
      </c>
      <c r="W29" s="208" t="s">
        <v>92</v>
      </c>
      <c r="X29" s="209" t="s">
        <v>67</v>
      </c>
      <c r="Y29" s="208"/>
      <c r="Z29" s="207"/>
      <c r="AA29" s="206" t="s">
        <v>530</v>
      </c>
      <c r="AB29" s="248"/>
      <c r="AC29" s="248"/>
      <c r="AD29" s="248"/>
      <c r="AE29" s="248"/>
      <c r="AF29" s="248"/>
      <c r="AG29" s="248"/>
      <c r="AH29" s="248"/>
      <c r="AI29" s="248">
        <v>1</v>
      </c>
      <c r="AJ29" s="248"/>
      <c r="AK29" s="248">
        <v>0</v>
      </c>
      <c r="AL29" s="248"/>
      <c r="AM29" s="248"/>
      <c r="AN29" s="248">
        <v>1</v>
      </c>
      <c r="AO29" s="248">
        <v>0</v>
      </c>
      <c r="AP29" s="248"/>
      <c r="AQ29" s="248"/>
      <c r="AR29" s="61" t="s">
        <v>629</v>
      </c>
    </row>
    <row r="30" spans="1:44" s="1" customFormat="1" ht="39.75" customHeight="1" x14ac:dyDescent="0.3">
      <c r="A30" s="213">
        <v>27</v>
      </c>
      <c r="B30" s="212" t="s">
        <v>694</v>
      </c>
      <c r="C30" s="209" t="s">
        <v>626</v>
      </c>
      <c r="D30" s="211" t="s">
        <v>601</v>
      </c>
      <c r="E30" s="209" t="s">
        <v>628</v>
      </c>
      <c r="F30" s="210" t="s">
        <v>163</v>
      </c>
      <c r="G30" s="209">
        <v>1</v>
      </c>
      <c r="H30" s="210" t="s">
        <v>68</v>
      </c>
      <c r="I30" s="209" t="s">
        <v>66</v>
      </c>
      <c r="J30" s="209" t="s">
        <v>120</v>
      </c>
      <c r="K30" s="210" t="s">
        <v>155</v>
      </c>
      <c r="L30" s="210" t="s">
        <v>67</v>
      </c>
      <c r="M30" s="209" t="s">
        <v>457</v>
      </c>
      <c r="N30" s="208" t="s">
        <v>529</v>
      </c>
      <c r="O30" s="209"/>
      <c r="P30" s="208"/>
      <c r="Q30" s="209" t="s">
        <v>67</v>
      </c>
      <c r="R30" s="209" t="s">
        <v>67</v>
      </c>
      <c r="S30" s="208" t="s">
        <v>529</v>
      </c>
      <c r="T30" s="209"/>
      <c r="U30" s="208"/>
      <c r="V30" s="209" t="s">
        <v>529</v>
      </c>
      <c r="W30" s="208" t="s">
        <v>92</v>
      </c>
      <c r="X30" s="209" t="s">
        <v>67</v>
      </c>
      <c r="Y30" s="208"/>
      <c r="Z30" s="207"/>
      <c r="AA30" s="206" t="s">
        <v>530</v>
      </c>
      <c r="AB30" s="248"/>
      <c r="AC30" s="248"/>
      <c r="AD30" s="248"/>
      <c r="AE30" s="248"/>
      <c r="AF30" s="248"/>
      <c r="AG30" s="248"/>
      <c r="AH30" s="248"/>
      <c r="AI30" s="248">
        <v>1</v>
      </c>
      <c r="AJ30" s="248"/>
      <c r="AK30" s="248"/>
      <c r="AL30" s="248"/>
      <c r="AM30" s="248"/>
      <c r="AN30" s="248">
        <v>1</v>
      </c>
      <c r="AO30" s="248"/>
      <c r="AP30" s="248"/>
      <c r="AQ30" s="248"/>
      <c r="AR30" s="61" t="s">
        <v>695</v>
      </c>
    </row>
    <row r="31" spans="1:44" s="1" customFormat="1" ht="39.75" customHeight="1" x14ac:dyDescent="0.3">
      <c r="A31" s="213">
        <v>28</v>
      </c>
      <c r="B31" s="212" t="s">
        <v>696</v>
      </c>
      <c r="C31" s="209" t="s">
        <v>626</v>
      </c>
      <c r="D31" s="211" t="s">
        <v>601</v>
      </c>
      <c r="E31" s="209" t="s">
        <v>618</v>
      </c>
      <c r="F31" s="210" t="s">
        <v>604</v>
      </c>
      <c r="G31" s="209">
        <v>1</v>
      </c>
      <c r="H31" s="210" t="s">
        <v>68</v>
      </c>
      <c r="I31" s="209" t="s">
        <v>66</v>
      </c>
      <c r="J31" s="209" t="s">
        <v>121</v>
      </c>
      <c r="K31" s="210" t="s">
        <v>155</v>
      </c>
      <c r="L31" s="210" t="s">
        <v>67</v>
      </c>
      <c r="M31" s="209" t="s">
        <v>457</v>
      </c>
      <c r="N31" s="208" t="s">
        <v>529</v>
      </c>
      <c r="O31" s="209"/>
      <c r="P31" s="208"/>
      <c r="Q31" s="209" t="s">
        <v>67</v>
      </c>
      <c r="R31" s="209" t="s">
        <v>67</v>
      </c>
      <c r="S31" s="208" t="s">
        <v>529</v>
      </c>
      <c r="T31" s="209"/>
      <c r="U31" s="208"/>
      <c r="V31" s="209" t="s">
        <v>529</v>
      </c>
      <c r="W31" s="208" t="s">
        <v>92</v>
      </c>
      <c r="X31" s="209" t="s">
        <v>67</v>
      </c>
      <c r="Y31" s="208"/>
      <c r="Z31" s="207"/>
      <c r="AA31" s="206" t="s">
        <v>530</v>
      </c>
      <c r="AB31" s="248"/>
      <c r="AC31" s="248"/>
      <c r="AD31" s="248"/>
      <c r="AE31" s="248">
        <v>1</v>
      </c>
      <c r="AF31" s="248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61" t="s">
        <v>627</v>
      </c>
    </row>
    <row r="32" spans="1:44" s="1" customFormat="1" ht="39.75" customHeight="1" x14ac:dyDescent="0.3">
      <c r="A32" s="213">
        <v>29</v>
      </c>
      <c r="B32" s="212" t="s">
        <v>697</v>
      </c>
      <c r="C32" s="209" t="s">
        <v>626</v>
      </c>
      <c r="D32" s="211" t="s">
        <v>601</v>
      </c>
      <c r="E32" s="209" t="s">
        <v>612</v>
      </c>
      <c r="F32" s="210" t="s">
        <v>604</v>
      </c>
      <c r="G32" s="209">
        <v>1</v>
      </c>
      <c r="H32" s="210" t="s">
        <v>68</v>
      </c>
      <c r="I32" s="209" t="s">
        <v>66</v>
      </c>
      <c r="J32" s="209" t="s">
        <v>120</v>
      </c>
      <c r="K32" s="210" t="s">
        <v>155</v>
      </c>
      <c r="L32" s="210" t="s">
        <v>67</v>
      </c>
      <c r="M32" s="209" t="s">
        <v>457</v>
      </c>
      <c r="N32" s="208" t="s">
        <v>529</v>
      </c>
      <c r="O32" s="209"/>
      <c r="P32" s="208"/>
      <c r="Q32" s="209" t="s">
        <v>67</v>
      </c>
      <c r="R32" s="209" t="s">
        <v>67</v>
      </c>
      <c r="S32" s="208" t="s">
        <v>529</v>
      </c>
      <c r="T32" s="209" t="s">
        <v>529</v>
      </c>
      <c r="U32" s="208"/>
      <c r="V32" s="209" t="s">
        <v>529</v>
      </c>
      <c r="W32" s="208" t="s">
        <v>92</v>
      </c>
      <c r="X32" s="209" t="s">
        <v>49</v>
      </c>
      <c r="Y32" s="208" t="s">
        <v>529</v>
      </c>
      <c r="Z32" s="207"/>
      <c r="AA32" s="206" t="s">
        <v>530</v>
      </c>
      <c r="AB32" s="248">
        <v>1</v>
      </c>
      <c r="AC32" s="248"/>
      <c r="AD32" s="248"/>
      <c r="AE32" s="248"/>
      <c r="AF32" s="248"/>
      <c r="AG32" s="248"/>
      <c r="AH32" s="248"/>
      <c r="AI32" s="248">
        <v>1</v>
      </c>
      <c r="AJ32" s="248"/>
      <c r="AK32" s="248"/>
      <c r="AL32" s="248"/>
      <c r="AM32" s="248"/>
      <c r="AN32" s="248"/>
      <c r="AO32" s="248"/>
      <c r="AP32" s="248"/>
      <c r="AQ32" s="248"/>
      <c r="AR32" s="61" t="s">
        <v>625</v>
      </c>
    </row>
    <row r="33" spans="1:44" s="1" customFormat="1" ht="39.75" customHeight="1" x14ac:dyDescent="0.3">
      <c r="A33" s="213">
        <v>30</v>
      </c>
      <c r="B33" s="212" t="s">
        <v>698</v>
      </c>
      <c r="C33" s="209" t="s">
        <v>620</v>
      </c>
      <c r="D33" s="209" t="s">
        <v>621</v>
      </c>
      <c r="E33" s="209" t="s">
        <v>618</v>
      </c>
      <c r="F33" s="210" t="s">
        <v>604</v>
      </c>
      <c r="G33" s="209">
        <v>1</v>
      </c>
      <c r="H33" s="210" t="s">
        <v>68</v>
      </c>
      <c r="I33" s="209" t="s">
        <v>66</v>
      </c>
      <c r="J33" s="209" t="s">
        <v>121</v>
      </c>
      <c r="K33" s="210" t="s">
        <v>155</v>
      </c>
      <c r="L33" s="210" t="s">
        <v>67</v>
      </c>
      <c r="M33" s="209" t="s">
        <v>66</v>
      </c>
      <c r="N33" s="208" t="s">
        <v>529</v>
      </c>
      <c r="O33" s="209"/>
      <c r="P33" s="208"/>
      <c r="Q33" s="209" t="s">
        <v>67</v>
      </c>
      <c r="R33" s="209" t="s">
        <v>67</v>
      </c>
      <c r="S33" s="208"/>
      <c r="T33" s="209"/>
      <c r="U33" s="208"/>
      <c r="V33" s="209"/>
      <c r="W33" s="208" t="s">
        <v>92</v>
      </c>
      <c r="X33" s="209" t="s">
        <v>67</v>
      </c>
      <c r="Y33" s="208"/>
      <c r="Z33" s="207"/>
      <c r="AA33" s="206" t="s">
        <v>530</v>
      </c>
      <c r="AB33" s="248"/>
      <c r="AC33" s="248"/>
      <c r="AD33" s="248"/>
      <c r="AE33" s="248">
        <v>1</v>
      </c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61" t="s">
        <v>624</v>
      </c>
    </row>
    <row r="34" spans="1:44" s="1" customFormat="1" ht="39.75" customHeight="1" x14ac:dyDescent="0.3">
      <c r="A34" s="213">
        <v>31</v>
      </c>
      <c r="B34" s="212" t="s">
        <v>699</v>
      </c>
      <c r="C34" s="209" t="s">
        <v>620</v>
      </c>
      <c r="D34" s="211" t="s">
        <v>601</v>
      </c>
      <c r="E34" s="209" t="s">
        <v>612</v>
      </c>
      <c r="F34" s="210" t="s">
        <v>604</v>
      </c>
      <c r="G34" s="209">
        <v>1</v>
      </c>
      <c r="H34" s="210" t="s">
        <v>68</v>
      </c>
      <c r="I34" s="209" t="s">
        <v>66</v>
      </c>
      <c r="J34" s="209" t="s">
        <v>77</v>
      </c>
      <c r="K34" s="210" t="s">
        <v>155</v>
      </c>
      <c r="L34" s="210" t="s">
        <v>67</v>
      </c>
      <c r="M34" s="209" t="s">
        <v>623</v>
      </c>
      <c r="N34" s="208" t="s">
        <v>529</v>
      </c>
      <c r="O34" s="209"/>
      <c r="P34" s="208"/>
      <c r="Q34" s="209" t="s">
        <v>67</v>
      </c>
      <c r="R34" s="209" t="s">
        <v>67</v>
      </c>
      <c r="S34" s="208" t="s">
        <v>529</v>
      </c>
      <c r="T34" s="209" t="s">
        <v>529</v>
      </c>
      <c r="U34" s="208"/>
      <c r="V34" s="209" t="s">
        <v>529</v>
      </c>
      <c r="W34" s="208" t="s">
        <v>91</v>
      </c>
      <c r="X34" s="209" t="s">
        <v>67</v>
      </c>
      <c r="Y34" s="208" t="s">
        <v>529</v>
      </c>
      <c r="Z34" s="207"/>
      <c r="AA34" s="206" t="s">
        <v>530</v>
      </c>
      <c r="AB34" s="248"/>
      <c r="AC34" s="248"/>
      <c r="AD34" s="248"/>
      <c r="AE34" s="248"/>
      <c r="AF34" s="248"/>
      <c r="AG34" s="248"/>
      <c r="AH34" s="248"/>
      <c r="AI34" s="248">
        <v>1</v>
      </c>
      <c r="AJ34" s="248"/>
      <c r="AK34" s="248">
        <v>0</v>
      </c>
      <c r="AL34" s="248"/>
      <c r="AM34" s="248"/>
      <c r="AN34" s="248"/>
      <c r="AO34" s="248"/>
      <c r="AP34" s="248"/>
      <c r="AQ34" s="248">
        <v>0</v>
      </c>
      <c r="AR34" s="61" t="s">
        <v>622</v>
      </c>
    </row>
    <row r="35" spans="1:44" s="1" customFormat="1" ht="39.75" customHeight="1" x14ac:dyDescent="0.3">
      <c r="A35" s="213">
        <v>32</v>
      </c>
      <c r="B35" s="212" t="s">
        <v>700</v>
      </c>
      <c r="C35" s="209" t="s">
        <v>620</v>
      </c>
      <c r="D35" s="211" t="s">
        <v>601</v>
      </c>
      <c r="E35" s="209" t="s">
        <v>621</v>
      </c>
      <c r="F35" s="210" t="s">
        <v>163</v>
      </c>
      <c r="G35" s="209">
        <v>1</v>
      </c>
      <c r="H35" s="210" t="s">
        <v>68</v>
      </c>
      <c r="I35" s="209" t="s">
        <v>197</v>
      </c>
      <c r="J35" s="209" t="s">
        <v>120</v>
      </c>
      <c r="K35" s="210" t="s">
        <v>125</v>
      </c>
      <c r="L35" s="210" t="s">
        <v>67</v>
      </c>
      <c r="M35" s="209" t="s">
        <v>457</v>
      </c>
      <c r="N35" s="208"/>
      <c r="O35" s="209"/>
      <c r="P35" s="208"/>
      <c r="Q35" s="209" t="s">
        <v>67</v>
      </c>
      <c r="R35" s="209" t="s">
        <v>67</v>
      </c>
      <c r="S35" s="208" t="s">
        <v>529</v>
      </c>
      <c r="T35" s="209" t="s">
        <v>529</v>
      </c>
      <c r="U35" s="208"/>
      <c r="V35" s="209" t="s">
        <v>529</v>
      </c>
      <c r="W35" s="208" t="s">
        <v>91</v>
      </c>
      <c r="X35" s="209" t="s">
        <v>67</v>
      </c>
      <c r="Y35" s="208" t="s">
        <v>529</v>
      </c>
      <c r="Z35" s="207"/>
      <c r="AA35" s="206" t="s">
        <v>530</v>
      </c>
      <c r="AB35" s="248">
        <v>1</v>
      </c>
      <c r="AC35" s="248"/>
      <c r="AD35" s="248"/>
      <c r="AE35" s="248"/>
      <c r="AF35" s="248"/>
      <c r="AG35" s="248"/>
      <c r="AH35" s="248"/>
      <c r="AI35" s="248">
        <v>1</v>
      </c>
      <c r="AJ35" s="248"/>
      <c r="AK35" s="248"/>
      <c r="AL35" s="248"/>
      <c r="AM35" s="248"/>
      <c r="AN35" s="248"/>
      <c r="AO35" s="248"/>
      <c r="AP35" s="248"/>
      <c r="AQ35" s="248"/>
      <c r="AR35" s="61"/>
    </row>
    <row r="36" spans="1:44" s="1" customFormat="1" ht="39.75" customHeight="1" x14ac:dyDescent="0.3">
      <c r="A36" s="213">
        <v>33</v>
      </c>
      <c r="B36" s="212" t="s">
        <v>701</v>
      </c>
      <c r="C36" s="209" t="s">
        <v>620</v>
      </c>
      <c r="D36" s="211" t="s">
        <v>601</v>
      </c>
      <c r="E36" s="209" t="s">
        <v>619</v>
      </c>
      <c r="F36" s="210" t="s">
        <v>170</v>
      </c>
      <c r="G36" s="209">
        <v>2</v>
      </c>
      <c r="H36" s="210" t="s">
        <v>39</v>
      </c>
      <c r="I36" s="209" t="s">
        <v>151</v>
      </c>
      <c r="J36" s="209" t="s">
        <v>80</v>
      </c>
      <c r="K36" s="210" t="s">
        <v>139</v>
      </c>
      <c r="L36" s="210" t="s">
        <v>143</v>
      </c>
      <c r="M36" s="209" t="s">
        <v>456</v>
      </c>
      <c r="N36" s="208" t="s">
        <v>529</v>
      </c>
      <c r="O36" s="209"/>
      <c r="P36" s="208"/>
      <c r="Q36" s="209" t="s">
        <v>67</v>
      </c>
      <c r="R36" s="209" t="s">
        <v>67</v>
      </c>
      <c r="S36" s="208"/>
      <c r="T36" s="209"/>
      <c r="U36" s="208"/>
      <c r="V36" s="209" t="s">
        <v>529</v>
      </c>
      <c r="W36" s="208" t="s">
        <v>92</v>
      </c>
      <c r="X36" s="209" t="s">
        <v>67</v>
      </c>
      <c r="Y36" s="208"/>
      <c r="Z36" s="207"/>
      <c r="AA36" s="206" t="s">
        <v>530</v>
      </c>
      <c r="AB36" s="248">
        <v>1</v>
      </c>
      <c r="AC36" s="248"/>
      <c r="AD36" s="248"/>
      <c r="AE36" s="248"/>
      <c r="AF36" s="248"/>
      <c r="AG36" s="248"/>
      <c r="AH36" s="248"/>
      <c r="AI36" s="248">
        <v>1</v>
      </c>
      <c r="AJ36" s="248"/>
      <c r="AK36" s="248"/>
      <c r="AL36" s="248"/>
      <c r="AM36" s="248"/>
      <c r="AN36" s="248"/>
      <c r="AO36" s="248"/>
      <c r="AP36" s="248"/>
      <c r="AQ36" s="248"/>
      <c r="AR36" s="61"/>
    </row>
    <row r="37" spans="1:44" s="1" customFormat="1" ht="39.75" customHeight="1" x14ac:dyDescent="0.3">
      <c r="A37" s="213">
        <v>34</v>
      </c>
      <c r="B37" s="212" t="s">
        <v>702</v>
      </c>
      <c r="C37" s="209" t="s">
        <v>568</v>
      </c>
      <c r="D37" s="211" t="s">
        <v>613</v>
      </c>
      <c r="E37" s="209" t="s">
        <v>618</v>
      </c>
      <c r="F37" s="210" t="s">
        <v>66</v>
      </c>
      <c r="G37" s="209">
        <v>1</v>
      </c>
      <c r="H37" s="210" t="s">
        <v>66</v>
      </c>
      <c r="I37" s="209" t="s">
        <v>66</v>
      </c>
      <c r="J37" s="209" t="s">
        <v>66</v>
      </c>
      <c r="K37" s="210" t="s">
        <v>66</v>
      </c>
      <c r="L37" s="210" t="s">
        <v>66</v>
      </c>
      <c r="M37" s="209" t="s">
        <v>66</v>
      </c>
      <c r="N37" s="208"/>
      <c r="O37" s="209"/>
      <c r="P37" s="208"/>
      <c r="Q37" s="209" t="s">
        <v>67</v>
      </c>
      <c r="R37" s="209" t="s">
        <v>67</v>
      </c>
      <c r="S37" s="208"/>
      <c r="T37" s="209"/>
      <c r="U37" s="208"/>
      <c r="V37" s="209"/>
      <c r="W37" s="208" t="s">
        <v>92</v>
      </c>
      <c r="X37" s="209" t="s">
        <v>67</v>
      </c>
      <c r="Y37" s="208"/>
      <c r="Z37" s="207"/>
      <c r="AA37" s="206" t="s">
        <v>530</v>
      </c>
      <c r="AB37" s="248"/>
      <c r="AC37" s="248"/>
      <c r="AD37" s="248"/>
      <c r="AE37" s="248">
        <v>1</v>
      </c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61" t="s">
        <v>617</v>
      </c>
    </row>
    <row r="38" spans="1:44" s="1" customFormat="1" ht="39.75" customHeight="1" x14ac:dyDescent="0.3">
      <c r="A38" s="213">
        <v>35</v>
      </c>
      <c r="B38" s="212" t="s">
        <v>703</v>
      </c>
      <c r="C38" s="209" t="s">
        <v>568</v>
      </c>
      <c r="D38" s="211" t="s">
        <v>601</v>
      </c>
      <c r="E38" s="209" t="s">
        <v>616</v>
      </c>
      <c r="F38" s="210" t="s">
        <v>162</v>
      </c>
      <c r="G38" s="209">
        <v>1</v>
      </c>
      <c r="H38" s="210" t="s">
        <v>68</v>
      </c>
      <c r="I38" s="209" t="s">
        <v>66</v>
      </c>
      <c r="J38" s="209" t="s">
        <v>120</v>
      </c>
      <c r="K38" s="210" t="s">
        <v>155</v>
      </c>
      <c r="L38" s="210" t="s">
        <v>67</v>
      </c>
      <c r="M38" s="209" t="s">
        <v>615</v>
      </c>
      <c r="N38" s="208" t="s">
        <v>529</v>
      </c>
      <c r="O38" s="209"/>
      <c r="P38" s="208"/>
      <c r="Q38" s="209" t="s">
        <v>67</v>
      </c>
      <c r="R38" s="209" t="s">
        <v>67</v>
      </c>
      <c r="S38" s="208" t="s">
        <v>529</v>
      </c>
      <c r="T38" s="209"/>
      <c r="U38" s="208"/>
      <c r="V38" s="209"/>
      <c r="W38" s="208" t="s">
        <v>91</v>
      </c>
      <c r="X38" s="209" t="s">
        <v>67</v>
      </c>
      <c r="Y38" s="208"/>
      <c r="Z38" s="207"/>
      <c r="AA38" s="206" t="s">
        <v>530</v>
      </c>
      <c r="AB38" s="248">
        <v>1</v>
      </c>
      <c r="AC38" s="248">
        <v>1</v>
      </c>
      <c r="AD38" s="248">
        <v>1</v>
      </c>
      <c r="AE38" s="248"/>
      <c r="AF38" s="248"/>
      <c r="AG38" s="248"/>
      <c r="AH38" s="248"/>
      <c r="AI38" s="248">
        <v>1</v>
      </c>
      <c r="AJ38" s="248"/>
      <c r="AK38" s="248">
        <v>0</v>
      </c>
      <c r="AL38" s="248"/>
      <c r="AM38" s="248"/>
      <c r="AN38" s="248"/>
      <c r="AO38" s="248"/>
      <c r="AP38" s="248"/>
      <c r="AQ38" s="248"/>
      <c r="AR38" s="61" t="s">
        <v>614</v>
      </c>
    </row>
    <row r="39" spans="1:44" s="1" customFormat="1" ht="39.75" customHeight="1" x14ac:dyDescent="0.3">
      <c r="A39" s="213">
        <v>36</v>
      </c>
      <c r="B39" s="212" t="s">
        <v>704</v>
      </c>
      <c r="C39" s="209" t="s">
        <v>568</v>
      </c>
      <c r="D39" s="211" t="s">
        <v>613</v>
      </c>
      <c r="E39" s="209" t="s">
        <v>612</v>
      </c>
      <c r="F39" s="210" t="s">
        <v>164</v>
      </c>
      <c r="G39" s="209">
        <v>1</v>
      </c>
      <c r="H39" s="210" t="s">
        <v>68</v>
      </c>
      <c r="I39" s="209" t="s">
        <v>76</v>
      </c>
      <c r="J39" s="209" t="s">
        <v>120</v>
      </c>
      <c r="K39" s="210" t="s">
        <v>153</v>
      </c>
      <c r="L39" s="210" t="s">
        <v>67</v>
      </c>
      <c r="M39" s="209" t="s">
        <v>456</v>
      </c>
      <c r="N39" s="208" t="s">
        <v>529</v>
      </c>
      <c r="O39" s="209"/>
      <c r="P39" s="208"/>
      <c r="Q39" s="209" t="s">
        <v>67</v>
      </c>
      <c r="R39" s="209" t="s">
        <v>67</v>
      </c>
      <c r="S39" s="208" t="s">
        <v>529</v>
      </c>
      <c r="T39" s="209"/>
      <c r="U39" s="208"/>
      <c r="V39" s="209" t="s">
        <v>529</v>
      </c>
      <c r="W39" s="208" t="s">
        <v>91</v>
      </c>
      <c r="X39" s="209" t="s">
        <v>105</v>
      </c>
      <c r="Y39" s="208"/>
      <c r="Z39" s="207"/>
      <c r="AA39" s="206" t="s">
        <v>530</v>
      </c>
      <c r="AB39" s="248">
        <v>1</v>
      </c>
      <c r="AC39" s="248"/>
      <c r="AD39" s="248"/>
      <c r="AE39" s="248"/>
      <c r="AF39" s="248"/>
      <c r="AG39" s="248"/>
      <c r="AH39" s="248"/>
      <c r="AI39" s="248">
        <v>1</v>
      </c>
      <c r="AJ39" s="248"/>
      <c r="AK39" s="248"/>
      <c r="AL39" s="248"/>
      <c r="AM39" s="248">
        <v>1</v>
      </c>
      <c r="AN39" s="248"/>
      <c r="AO39" s="248"/>
      <c r="AP39" s="248"/>
      <c r="AQ39" s="248"/>
      <c r="AR39" s="61" t="s">
        <v>611</v>
      </c>
    </row>
    <row r="40" spans="1:44" s="1" customFormat="1" ht="39.75" customHeight="1" x14ac:dyDescent="0.3">
      <c r="A40" s="213">
        <v>37</v>
      </c>
      <c r="B40" s="212" t="s">
        <v>705</v>
      </c>
      <c r="C40" s="209" t="s">
        <v>563</v>
      </c>
      <c r="D40" s="211" t="s">
        <v>601</v>
      </c>
      <c r="E40" s="209" t="s">
        <v>610</v>
      </c>
      <c r="F40" s="210" t="s">
        <v>162</v>
      </c>
      <c r="G40" s="209">
        <v>1</v>
      </c>
      <c r="H40" s="210" t="s">
        <v>68</v>
      </c>
      <c r="I40" s="209" t="s">
        <v>66</v>
      </c>
      <c r="J40" s="209" t="s">
        <v>121</v>
      </c>
      <c r="K40" s="210" t="s">
        <v>125</v>
      </c>
      <c r="L40" s="210" t="s">
        <v>67</v>
      </c>
      <c r="M40" s="209" t="s">
        <v>456</v>
      </c>
      <c r="N40" s="208"/>
      <c r="O40" s="209"/>
      <c r="P40" s="208"/>
      <c r="Q40" s="209" t="s">
        <v>67</v>
      </c>
      <c r="R40" s="209" t="s">
        <v>67</v>
      </c>
      <c r="S40" s="208"/>
      <c r="T40" s="209"/>
      <c r="U40" s="208"/>
      <c r="V40" s="209" t="s">
        <v>529</v>
      </c>
      <c r="W40" s="208" t="s">
        <v>92</v>
      </c>
      <c r="X40" s="209" t="s">
        <v>67</v>
      </c>
      <c r="Y40" s="208"/>
      <c r="Z40" s="207"/>
      <c r="AA40" s="206" t="s">
        <v>530</v>
      </c>
      <c r="AB40" s="248">
        <v>1</v>
      </c>
      <c r="AC40" s="248">
        <v>1</v>
      </c>
      <c r="AD40" s="248">
        <v>1</v>
      </c>
      <c r="AE40" s="248"/>
      <c r="AF40" s="248"/>
      <c r="AG40" s="248"/>
      <c r="AH40" s="248"/>
      <c r="AI40" s="248">
        <v>1</v>
      </c>
      <c r="AJ40" s="248"/>
      <c r="AK40" s="248"/>
      <c r="AL40" s="248">
        <v>0</v>
      </c>
      <c r="AM40" s="248"/>
      <c r="AN40" s="248"/>
      <c r="AO40" s="248"/>
      <c r="AP40" s="248"/>
      <c r="AQ40" s="248"/>
      <c r="AR40" s="61" t="s">
        <v>609</v>
      </c>
    </row>
    <row r="41" spans="1:44" s="1" customFormat="1" ht="39.75" customHeight="1" x14ac:dyDescent="0.3">
      <c r="A41" s="213">
        <v>38</v>
      </c>
      <c r="B41" s="212" t="s">
        <v>706</v>
      </c>
      <c r="C41" s="209" t="s">
        <v>563</v>
      </c>
      <c r="D41" s="211" t="s">
        <v>601</v>
      </c>
      <c r="E41" s="209" t="s">
        <v>66</v>
      </c>
      <c r="F41" s="210" t="s">
        <v>66</v>
      </c>
      <c r="G41" s="209">
        <v>1</v>
      </c>
      <c r="H41" s="210" t="s">
        <v>66</v>
      </c>
      <c r="I41" s="209" t="s">
        <v>66</v>
      </c>
      <c r="J41" s="209" t="s">
        <v>66</v>
      </c>
      <c r="K41" s="210" t="s">
        <v>66</v>
      </c>
      <c r="L41" s="210" t="s">
        <v>66</v>
      </c>
      <c r="M41" s="209" t="s">
        <v>66</v>
      </c>
      <c r="N41" s="208"/>
      <c r="O41" s="209"/>
      <c r="P41" s="208"/>
      <c r="Q41" s="209" t="s">
        <v>67</v>
      </c>
      <c r="R41" s="209" t="s">
        <v>67</v>
      </c>
      <c r="S41" s="208"/>
      <c r="T41" s="209"/>
      <c r="U41" s="208"/>
      <c r="V41" s="209" t="s">
        <v>529</v>
      </c>
      <c r="W41" s="208" t="s">
        <v>92</v>
      </c>
      <c r="X41" s="209" t="s">
        <v>67</v>
      </c>
      <c r="Y41" s="208"/>
      <c r="Z41" s="207"/>
      <c r="AA41" s="206" t="s">
        <v>530</v>
      </c>
      <c r="AB41" s="248"/>
      <c r="AC41" s="248"/>
      <c r="AD41" s="248"/>
      <c r="AE41" s="248">
        <v>1</v>
      </c>
      <c r="AF41" s="248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61"/>
    </row>
    <row r="42" spans="1:44" s="1" customFormat="1" ht="39.75" customHeight="1" x14ac:dyDescent="0.3">
      <c r="A42" s="213">
        <v>39</v>
      </c>
      <c r="B42" s="212" t="s">
        <v>707</v>
      </c>
      <c r="C42" s="209" t="s">
        <v>563</v>
      </c>
      <c r="D42" s="211" t="s">
        <v>601</v>
      </c>
      <c r="E42" s="209" t="s">
        <v>602</v>
      </c>
      <c r="F42" s="210" t="s">
        <v>163</v>
      </c>
      <c r="G42" s="209">
        <v>1</v>
      </c>
      <c r="H42" s="210" t="s">
        <v>68</v>
      </c>
      <c r="I42" s="209" t="s">
        <v>197</v>
      </c>
      <c r="J42" s="209" t="s">
        <v>120</v>
      </c>
      <c r="K42" s="210" t="s">
        <v>125</v>
      </c>
      <c r="L42" s="210" t="s">
        <v>67</v>
      </c>
      <c r="M42" s="209" t="s">
        <v>66</v>
      </c>
      <c r="N42" s="208"/>
      <c r="O42" s="209"/>
      <c r="P42" s="208"/>
      <c r="Q42" s="209" t="s">
        <v>67</v>
      </c>
      <c r="R42" s="209" t="s">
        <v>67</v>
      </c>
      <c r="S42" s="208"/>
      <c r="T42" s="209"/>
      <c r="U42" s="208"/>
      <c r="V42" s="209" t="s">
        <v>529</v>
      </c>
      <c r="W42" s="208" t="s">
        <v>92</v>
      </c>
      <c r="X42" s="209" t="s">
        <v>67</v>
      </c>
      <c r="Y42" s="208"/>
      <c r="Z42" s="207"/>
      <c r="AA42" s="206" t="s">
        <v>530</v>
      </c>
      <c r="AB42" s="248"/>
      <c r="AC42" s="248"/>
      <c r="AD42" s="248"/>
      <c r="AE42" s="248">
        <v>1</v>
      </c>
      <c r="AF42" s="248"/>
      <c r="AG42" s="248"/>
      <c r="AH42" s="248"/>
      <c r="AI42" s="248"/>
      <c r="AJ42" s="248"/>
      <c r="AK42" s="248"/>
      <c r="AL42" s="248"/>
      <c r="AM42" s="248"/>
      <c r="AN42" s="248"/>
      <c r="AO42" s="248"/>
      <c r="AP42" s="248"/>
      <c r="AQ42" s="248"/>
      <c r="AR42" s="61" t="s">
        <v>608</v>
      </c>
    </row>
    <row r="43" spans="1:44" s="1" customFormat="1" ht="39.75" customHeight="1" x14ac:dyDescent="0.3">
      <c r="A43" s="213">
        <v>40</v>
      </c>
      <c r="B43" s="212" t="s">
        <v>708</v>
      </c>
      <c r="C43" s="209" t="s">
        <v>563</v>
      </c>
      <c r="D43" s="211" t="s">
        <v>601</v>
      </c>
      <c r="E43" s="209" t="s">
        <v>602</v>
      </c>
      <c r="F43" s="210" t="s">
        <v>163</v>
      </c>
      <c r="G43" s="209">
        <v>1</v>
      </c>
      <c r="H43" s="210" t="s">
        <v>68</v>
      </c>
      <c r="I43" s="209" t="s">
        <v>197</v>
      </c>
      <c r="J43" s="209" t="s">
        <v>120</v>
      </c>
      <c r="K43" s="210" t="s">
        <v>125</v>
      </c>
      <c r="L43" s="210" t="s">
        <v>67</v>
      </c>
      <c r="M43" s="209" t="s">
        <v>66</v>
      </c>
      <c r="N43" s="208"/>
      <c r="O43" s="209"/>
      <c r="P43" s="208" t="s">
        <v>529</v>
      </c>
      <c r="Q43" s="209" t="s">
        <v>67</v>
      </c>
      <c r="R43" s="209" t="s">
        <v>67</v>
      </c>
      <c r="S43" s="208"/>
      <c r="T43" s="209"/>
      <c r="U43" s="208"/>
      <c r="V43" s="209" t="s">
        <v>529</v>
      </c>
      <c r="W43" s="208" t="s">
        <v>92</v>
      </c>
      <c r="X43" s="209" t="s">
        <v>67</v>
      </c>
      <c r="Y43" s="208"/>
      <c r="Z43" s="207"/>
      <c r="AA43" s="206" t="s">
        <v>530</v>
      </c>
      <c r="AB43" s="248"/>
      <c r="AC43" s="248"/>
      <c r="AD43" s="248"/>
      <c r="AE43" s="248">
        <v>1</v>
      </c>
      <c r="AF43" s="248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61" t="s">
        <v>607</v>
      </c>
    </row>
    <row r="44" spans="1:44" s="1" customFormat="1" ht="39.75" customHeight="1" x14ac:dyDescent="0.3">
      <c r="A44" s="213">
        <v>41</v>
      </c>
      <c r="B44" s="212" t="s">
        <v>709</v>
      </c>
      <c r="C44" s="209" t="s">
        <v>563</v>
      </c>
      <c r="D44" s="211" t="s">
        <v>601</v>
      </c>
      <c r="E44" s="209" t="s">
        <v>606</v>
      </c>
      <c r="F44" s="210" t="s">
        <v>162</v>
      </c>
      <c r="G44" s="209">
        <v>1</v>
      </c>
      <c r="H44" s="210" t="s">
        <v>68</v>
      </c>
      <c r="I44" s="209" t="s">
        <v>66</v>
      </c>
      <c r="J44" s="209" t="s">
        <v>120</v>
      </c>
      <c r="K44" s="210" t="s">
        <v>155</v>
      </c>
      <c r="L44" s="210" t="s">
        <v>67</v>
      </c>
      <c r="M44" s="209" t="s">
        <v>455</v>
      </c>
      <c r="N44" s="208" t="s">
        <v>529</v>
      </c>
      <c r="O44" s="209"/>
      <c r="P44" s="208" t="s">
        <v>529</v>
      </c>
      <c r="Q44" s="209" t="s">
        <v>67</v>
      </c>
      <c r="R44" s="209" t="s">
        <v>67</v>
      </c>
      <c r="S44" s="208" t="s">
        <v>529</v>
      </c>
      <c r="T44" s="209"/>
      <c r="U44" s="208"/>
      <c r="V44" s="209" t="s">
        <v>529</v>
      </c>
      <c r="W44" s="208" t="s">
        <v>91</v>
      </c>
      <c r="X44" s="209" t="s">
        <v>67</v>
      </c>
      <c r="Y44" s="208"/>
      <c r="Z44" s="207"/>
      <c r="AA44" s="206" t="s">
        <v>530</v>
      </c>
      <c r="AB44" s="248">
        <v>1</v>
      </c>
      <c r="AC44" s="248">
        <v>1</v>
      </c>
      <c r="AD44" s="248">
        <v>1</v>
      </c>
      <c r="AE44" s="248"/>
      <c r="AF44" s="248"/>
      <c r="AG44" s="248"/>
      <c r="AH44" s="248"/>
      <c r="AI44" s="248">
        <v>1</v>
      </c>
      <c r="AJ44" s="248"/>
      <c r="AK44" s="248"/>
      <c r="AL44" s="248"/>
      <c r="AM44" s="248"/>
      <c r="AN44" s="248"/>
      <c r="AO44" s="248"/>
      <c r="AP44" s="248"/>
      <c r="AQ44" s="248"/>
      <c r="AR44" s="61" t="s">
        <v>710</v>
      </c>
    </row>
    <row r="45" spans="1:44" s="1" customFormat="1" ht="39.75" customHeight="1" x14ac:dyDescent="0.3">
      <c r="A45" s="213">
        <v>42</v>
      </c>
      <c r="B45" s="212" t="s">
        <v>711</v>
      </c>
      <c r="C45" s="209" t="s">
        <v>563</v>
      </c>
      <c r="D45" s="211" t="s">
        <v>601</v>
      </c>
      <c r="E45" s="209" t="s">
        <v>605</v>
      </c>
      <c r="F45" s="210" t="s">
        <v>604</v>
      </c>
      <c r="G45" s="209">
        <v>1</v>
      </c>
      <c r="H45" s="210" t="s">
        <v>68</v>
      </c>
      <c r="I45" s="209" t="s">
        <v>66</v>
      </c>
      <c r="J45" s="209" t="s">
        <v>120</v>
      </c>
      <c r="K45" s="210" t="s">
        <v>131</v>
      </c>
      <c r="L45" s="210" t="s">
        <v>67</v>
      </c>
      <c r="M45" s="209" t="s">
        <v>457</v>
      </c>
      <c r="N45" s="208"/>
      <c r="O45" s="209"/>
      <c r="P45" s="208"/>
      <c r="Q45" s="209" t="s">
        <v>67</v>
      </c>
      <c r="R45" s="209" t="s">
        <v>67</v>
      </c>
      <c r="S45" s="208"/>
      <c r="T45" s="209"/>
      <c r="U45" s="208"/>
      <c r="V45" s="209" t="s">
        <v>529</v>
      </c>
      <c r="W45" s="208" t="s">
        <v>91</v>
      </c>
      <c r="X45" s="209" t="s">
        <v>67</v>
      </c>
      <c r="Y45" s="208"/>
      <c r="Z45" s="207"/>
      <c r="AA45" s="206" t="s">
        <v>530</v>
      </c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>
        <v>0</v>
      </c>
      <c r="AQ45" s="248">
        <v>0</v>
      </c>
      <c r="AR45" s="61" t="s">
        <v>603</v>
      </c>
    </row>
    <row r="46" spans="1:44" s="1" customFormat="1" ht="39.75" customHeight="1" x14ac:dyDescent="0.3">
      <c r="A46" s="213">
        <v>43</v>
      </c>
      <c r="B46" s="212" t="s">
        <v>712</v>
      </c>
      <c r="C46" s="209" t="s">
        <v>563</v>
      </c>
      <c r="D46" s="211" t="s">
        <v>601</v>
      </c>
      <c r="E46" s="209" t="s">
        <v>601</v>
      </c>
      <c r="F46" s="210" t="s">
        <v>66</v>
      </c>
      <c r="G46" s="209">
        <v>1</v>
      </c>
      <c r="H46" s="210" t="s">
        <v>66</v>
      </c>
      <c r="I46" s="209" t="s">
        <v>66</v>
      </c>
      <c r="J46" s="209" t="s">
        <v>66</v>
      </c>
      <c r="K46" s="210" t="s">
        <v>66</v>
      </c>
      <c r="L46" s="210" t="s">
        <v>67</v>
      </c>
      <c r="M46" s="209" t="s">
        <v>66</v>
      </c>
      <c r="N46" s="208"/>
      <c r="O46" s="209"/>
      <c r="P46" s="208"/>
      <c r="Q46" s="209" t="s">
        <v>67</v>
      </c>
      <c r="R46" s="209" t="s">
        <v>67</v>
      </c>
      <c r="S46" s="208"/>
      <c r="T46" s="209"/>
      <c r="U46" s="208"/>
      <c r="V46" s="209" t="s">
        <v>529</v>
      </c>
      <c r="W46" s="208" t="s">
        <v>92</v>
      </c>
      <c r="X46" s="209" t="s">
        <v>67</v>
      </c>
      <c r="Y46" s="208"/>
      <c r="Z46" s="207"/>
      <c r="AA46" s="206" t="s">
        <v>530</v>
      </c>
      <c r="AB46" s="248"/>
      <c r="AC46" s="248"/>
      <c r="AD46" s="248"/>
      <c r="AE46" s="248">
        <v>1</v>
      </c>
      <c r="AF46" s="248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61" t="s">
        <v>599</v>
      </c>
    </row>
    <row r="47" spans="1:44" s="1" customFormat="1" ht="39.75" customHeight="1" x14ac:dyDescent="0.3">
      <c r="A47" s="213">
        <v>44</v>
      </c>
      <c r="B47" s="212" t="s">
        <v>713</v>
      </c>
      <c r="C47" s="209" t="s">
        <v>563</v>
      </c>
      <c r="D47" s="211" t="s">
        <v>601</v>
      </c>
      <c r="E47" s="209" t="s">
        <v>602</v>
      </c>
      <c r="F47" s="210" t="s">
        <v>163</v>
      </c>
      <c r="G47" s="209">
        <v>1</v>
      </c>
      <c r="H47" s="210" t="s">
        <v>68</v>
      </c>
      <c r="I47" s="209" t="s">
        <v>197</v>
      </c>
      <c r="J47" s="209" t="s">
        <v>120</v>
      </c>
      <c r="K47" s="210" t="s">
        <v>125</v>
      </c>
      <c r="L47" s="210" t="s">
        <v>67</v>
      </c>
      <c r="M47" s="209" t="s">
        <v>66</v>
      </c>
      <c r="N47" s="208"/>
      <c r="O47" s="209"/>
      <c r="P47" s="208" t="s">
        <v>529</v>
      </c>
      <c r="Q47" s="209" t="s">
        <v>67</v>
      </c>
      <c r="R47" s="209" t="s">
        <v>67</v>
      </c>
      <c r="S47" s="208"/>
      <c r="T47" s="209"/>
      <c r="U47" s="208"/>
      <c r="V47" s="209" t="s">
        <v>529</v>
      </c>
      <c r="W47" s="208" t="s">
        <v>92</v>
      </c>
      <c r="X47" s="209" t="s">
        <v>67</v>
      </c>
      <c r="Y47" s="208"/>
      <c r="Z47" s="207"/>
      <c r="AA47" s="206" t="s">
        <v>530</v>
      </c>
      <c r="AB47" s="248"/>
      <c r="AC47" s="248"/>
      <c r="AD47" s="248"/>
      <c r="AE47" s="248">
        <v>1</v>
      </c>
      <c r="AF47" s="248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61" t="s">
        <v>714</v>
      </c>
    </row>
    <row r="48" spans="1:44" s="1" customFormat="1" ht="39.75" customHeight="1" thickBot="1" x14ac:dyDescent="0.35">
      <c r="A48" s="203">
        <v>45</v>
      </c>
      <c r="B48" s="202" t="s">
        <v>715</v>
      </c>
      <c r="C48" s="199" t="s">
        <v>563</v>
      </c>
      <c r="D48" s="201" t="s">
        <v>601</v>
      </c>
      <c r="E48" s="199" t="s">
        <v>601</v>
      </c>
      <c r="F48" s="200" t="s">
        <v>66</v>
      </c>
      <c r="G48" s="199">
        <v>2</v>
      </c>
      <c r="H48" s="200" t="s">
        <v>66</v>
      </c>
      <c r="I48" s="199" t="s">
        <v>66</v>
      </c>
      <c r="J48" s="199" t="s">
        <v>81</v>
      </c>
      <c r="K48" s="200" t="s">
        <v>131</v>
      </c>
      <c r="L48" s="200" t="s">
        <v>600</v>
      </c>
      <c r="M48" s="199" t="s">
        <v>66</v>
      </c>
      <c r="N48" s="198" t="s">
        <v>529</v>
      </c>
      <c r="O48" s="199"/>
      <c r="P48" s="198" t="s">
        <v>529</v>
      </c>
      <c r="Q48" s="199" t="s">
        <v>67</v>
      </c>
      <c r="R48" s="199" t="s">
        <v>67</v>
      </c>
      <c r="S48" s="198"/>
      <c r="T48" s="199"/>
      <c r="U48" s="198"/>
      <c r="V48" s="199" t="s">
        <v>529</v>
      </c>
      <c r="W48" s="198" t="s">
        <v>92</v>
      </c>
      <c r="X48" s="199" t="s">
        <v>67</v>
      </c>
      <c r="Y48" s="198"/>
      <c r="Z48" s="197"/>
      <c r="AA48" s="196" t="s">
        <v>530</v>
      </c>
      <c r="AB48" s="249"/>
      <c r="AC48" s="249"/>
      <c r="AD48" s="249"/>
      <c r="AE48" s="249">
        <v>1</v>
      </c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62" t="s">
        <v>599</v>
      </c>
    </row>
    <row r="49" spans="1:186" s="20" customFormat="1" ht="15" thickBot="1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 s="21">
        <f t="shared" ref="AB49:AQ49" ca="1" si="0">SUM(INDIRECT(ADDRESS(4,COLUMN(),4) &amp; ":" &amp; ADDRESS(ROW()-1,COLUMN(),4)))</f>
        <v>22</v>
      </c>
      <c r="AC49" s="21">
        <f t="shared" ca="1" si="0"/>
        <v>7</v>
      </c>
      <c r="AD49" s="21">
        <f t="shared" ca="1" si="0"/>
        <v>7</v>
      </c>
      <c r="AE49" s="21">
        <f t="shared" ca="1" si="0"/>
        <v>13</v>
      </c>
      <c r="AF49" s="21">
        <f t="shared" ca="1" si="0"/>
        <v>0</v>
      </c>
      <c r="AG49" s="21">
        <f t="shared" ca="1" si="0"/>
        <v>1</v>
      </c>
      <c r="AH49" s="21">
        <f t="shared" ca="1" si="0"/>
        <v>0</v>
      </c>
      <c r="AI49" s="21">
        <f t="shared" ca="1" si="0"/>
        <v>25</v>
      </c>
      <c r="AJ49" s="21">
        <f t="shared" ca="1" si="0"/>
        <v>2</v>
      </c>
      <c r="AK49" s="21">
        <f t="shared" ca="1" si="0"/>
        <v>1</v>
      </c>
      <c r="AL49" s="21">
        <f t="shared" ca="1" si="0"/>
        <v>0</v>
      </c>
      <c r="AM49" s="21">
        <f t="shared" ca="1" si="0"/>
        <v>2</v>
      </c>
      <c r="AN49" s="21">
        <f t="shared" ca="1" si="0"/>
        <v>2</v>
      </c>
      <c r="AO49" s="21">
        <f t="shared" ca="1" si="0"/>
        <v>0</v>
      </c>
      <c r="AP49" s="21">
        <f t="shared" ca="1" si="0"/>
        <v>0</v>
      </c>
      <c r="AQ49" s="21">
        <f t="shared" ca="1" si="0"/>
        <v>0</v>
      </c>
      <c r="AR49" s="22" t="s">
        <v>0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</row>
  </sheetData>
  <sheetProtection autoFilter="0"/>
  <autoFilter ref="A3:AR49" xr:uid="{00000000-0009-0000-0000-000000000000}"/>
  <mergeCells count="5">
    <mergeCell ref="F2:J2"/>
    <mergeCell ref="K2:R2"/>
    <mergeCell ref="S2:Z2"/>
    <mergeCell ref="AB2:AQ2"/>
    <mergeCell ref="S1:AA1"/>
  </mergeCells>
  <pageMargins left="0.23622047244094491" right="0.23622047244094491" top="0.59055118110236227" bottom="0.39370078740157483" header="0.11811023622047245" footer="0.11811023622047245"/>
  <pageSetup paperSize="8" scale="45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76200</xdr:rowOff>
                  </from>
                  <to>
                    <xdr:col>0</xdr:col>
                    <xdr:colOff>716280</xdr:colOff>
                    <xdr:row>1</xdr:row>
                    <xdr:rowOff>594360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6" name="Button 7">
              <controlPr defaultSize="0" print="0" autoFill="0" autoPict="0" macro="[0]!CreateDoor">
                <anchor>
                  <from>
                    <xdr:col>2</xdr:col>
                    <xdr:colOff>83820</xdr:colOff>
                    <xdr:row>1</xdr:row>
                    <xdr:rowOff>76200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76200</xdr:rowOff>
                  </from>
                  <to>
                    <xdr:col>3</xdr:col>
                    <xdr:colOff>731520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99060</xdr:rowOff>
                  </from>
                  <to>
                    <xdr:col>1</xdr:col>
                    <xdr:colOff>731520</xdr:colOff>
                    <xdr:row>1</xdr:row>
                    <xdr:rowOff>594360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99060</xdr:rowOff>
                  </from>
                  <to>
                    <xdr:col>4</xdr:col>
                    <xdr:colOff>754380</xdr:colOff>
                    <xdr:row>1</xdr:row>
                    <xdr:rowOff>594360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4302-29B6-41FA-9B87-06C929EFD9E8}">
  <sheetPr codeName="Tabelle10">
    <pageSetUpPr fitToPage="1"/>
  </sheetPr>
  <dimension ref="A1:GD49"/>
  <sheetViews>
    <sheetView zoomScale="37" zoomScaleNormal="70" workbookViewId="0">
      <pane ySplit="3" topLeftCell="A45" activePane="bottomLeft" state="frozen"/>
      <selection pane="bottomLeft" activeCell="S1" sqref="S1:AA1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33203125" customWidth="1"/>
    <col min="12" max="12" width="13.3320312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33203125" customWidth="1"/>
    <col min="28" max="43" width="7.5546875" customWidth="1"/>
    <col min="44" max="44" width="52.33203125" customWidth="1"/>
  </cols>
  <sheetData>
    <row r="1" spans="1:44" ht="18.75" customHeight="1" thickBot="1" x14ac:dyDescent="0.35">
      <c r="A1" s="6" t="s">
        <v>717</v>
      </c>
      <c r="B1" s="7"/>
      <c r="C1" s="8"/>
      <c r="D1" s="8"/>
      <c r="E1" s="8"/>
      <c r="F1" s="8"/>
      <c r="G1" s="44"/>
      <c r="H1" s="44"/>
      <c r="I1" s="44"/>
      <c r="J1" s="7"/>
      <c r="K1" s="44"/>
      <c r="L1" s="44"/>
      <c r="M1" s="44"/>
      <c r="N1" s="44"/>
      <c r="O1" s="44"/>
      <c r="P1" s="44"/>
      <c r="Q1" s="44"/>
      <c r="R1" s="45"/>
      <c r="S1" s="304" t="s">
        <v>716</v>
      </c>
      <c r="T1" s="305"/>
      <c r="U1" s="305"/>
      <c r="V1" s="305"/>
      <c r="W1" s="305"/>
      <c r="X1" s="305"/>
      <c r="Y1" s="305"/>
      <c r="Z1" s="305"/>
      <c r="AA1" s="305"/>
      <c r="AB1" s="252">
        <v>1</v>
      </c>
      <c r="AC1" s="252">
        <v>2</v>
      </c>
      <c r="AD1" s="252">
        <v>3</v>
      </c>
      <c r="AE1" s="252">
        <v>4</v>
      </c>
      <c r="AF1" s="252">
        <v>5</v>
      </c>
      <c r="AG1" s="252">
        <v>6</v>
      </c>
      <c r="AH1" s="252">
        <v>7</v>
      </c>
      <c r="AI1" s="252">
        <v>8</v>
      </c>
      <c r="AJ1" s="252">
        <v>9</v>
      </c>
      <c r="AK1" s="252">
        <v>10</v>
      </c>
      <c r="AL1" s="252">
        <v>11</v>
      </c>
      <c r="AM1" s="252">
        <v>12</v>
      </c>
      <c r="AN1" s="252">
        <v>13</v>
      </c>
      <c r="AO1" s="252">
        <v>14</v>
      </c>
      <c r="AP1" s="252">
        <v>15</v>
      </c>
      <c r="AQ1" s="252">
        <v>16</v>
      </c>
      <c r="AR1" s="58"/>
    </row>
    <row r="2" spans="1:44" ht="52.5" customHeight="1" thickBot="1" x14ac:dyDescent="0.35">
      <c r="A2" s="68"/>
      <c r="B2" s="69"/>
      <c r="C2" s="70"/>
      <c r="D2" s="19"/>
      <c r="E2" s="71"/>
      <c r="F2" s="299" t="s">
        <v>26</v>
      </c>
      <c r="G2" s="300"/>
      <c r="H2" s="300"/>
      <c r="I2" s="300"/>
      <c r="J2" s="301"/>
      <c r="K2" s="299" t="s">
        <v>25</v>
      </c>
      <c r="L2" s="300"/>
      <c r="M2" s="300"/>
      <c r="N2" s="300"/>
      <c r="O2" s="300"/>
      <c r="P2" s="300"/>
      <c r="Q2" s="300"/>
      <c r="R2" s="300"/>
      <c r="S2" s="299" t="s">
        <v>24</v>
      </c>
      <c r="T2" s="300"/>
      <c r="U2" s="300"/>
      <c r="V2" s="300"/>
      <c r="W2" s="300"/>
      <c r="X2" s="300"/>
      <c r="Y2" s="300"/>
      <c r="Z2" s="301"/>
      <c r="AA2" s="5" t="s">
        <v>23</v>
      </c>
      <c r="AB2" s="306"/>
      <c r="AC2" s="306"/>
      <c r="AD2" s="306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72" t="s">
        <v>41</v>
      </c>
    </row>
    <row r="3" spans="1:44" ht="201.75" customHeight="1" thickBot="1" x14ac:dyDescent="0.35">
      <c r="A3" s="73" t="s">
        <v>22</v>
      </c>
      <c r="B3" s="74" t="s">
        <v>21</v>
      </c>
      <c r="C3" s="74" t="s">
        <v>20</v>
      </c>
      <c r="D3" s="74" t="s">
        <v>19</v>
      </c>
      <c r="E3" s="75" t="s">
        <v>18</v>
      </c>
      <c r="F3" s="76" t="s">
        <v>27</v>
      </c>
      <c r="G3" s="77" t="s">
        <v>17</v>
      </c>
      <c r="H3" s="77" t="s">
        <v>123</v>
      </c>
      <c r="I3" s="77" t="s">
        <v>16</v>
      </c>
      <c r="J3" s="75" t="s">
        <v>15</v>
      </c>
      <c r="K3" s="78" t="s">
        <v>28</v>
      </c>
      <c r="L3" s="74" t="s">
        <v>29</v>
      </c>
      <c r="M3" s="74" t="s">
        <v>42</v>
      </c>
      <c r="N3" s="74" t="s">
        <v>14</v>
      </c>
      <c r="O3" s="74" t="s">
        <v>13</v>
      </c>
      <c r="P3" s="74" t="s">
        <v>12</v>
      </c>
      <c r="Q3" s="74" t="s">
        <v>11</v>
      </c>
      <c r="R3" s="79" t="s">
        <v>10</v>
      </c>
      <c r="S3" s="80" t="s">
        <v>9</v>
      </c>
      <c r="T3" s="74" t="s">
        <v>8</v>
      </c>
      <c r="U3" s="81" t="s">
        <v>7</v>
      </c>
      <c r="V3" s="74" t="s">
        <v>6</v>
      </c>
      <c r="W3" s="81" t="s">
        <v>5</v>
      </c>
      <c r="X3" s="74" t="s">
        <v>4</v>
      </c>
      <c r="Y3" s="81" t="s">
        <v>3</v>
      </c>
      <c r="Z3" s="79" t="s">
        <v>2</v>
      </c>
      <c r="AA3" s="17" t="s">
        <v>1</v>
      </c>
      <c r="AB3" s="251" t="s">
        <v>205</v>
      </c>
      <c r="AC3" s="251" t="s">
        <v>489</v>
      </c>
      <c r="AD3" s="251" t="s">
        <v>208</v>
      </c>
      <c r="AE3" s="251" t="s">
        <v>203</v>
      </c>
      <c r="AF3" s="251" t="s">
        <v>225</v>
      </c>
      <c r="AG3" s="251" t="s">
        <v>218</v>
      </c>
      <c r="AH3" s="251" t="s">
        <v>341</v>
      </c>
      <c r="AI3" s="251" t="s">
        <v>340</v>
      </c>
      <c r="AJ3" s="251" t="s">
        <v>207</v>
      </c>
      <c r="AK3" s="251" t="s">
        <v>268</v>
      </c>
      <c r="AL3" s="251" t="s">
        <v>297</v>
      </c>
      <c r="AM3" s="251" t="s">
        <v>215</v>
      </c>
      <c r="AN3" s="251" t="s">
        <v>206</v>
      </c>
      <c r="AO3" s="251" t="s">
        <v>286</v>
      </c>
      <c r="AP3" s="251" t="s">
        <v>420</v>
      </c>
      <c r="AQ3" s="251" t="s">
        <v>280</v>
      </c>
      <c r="AR3" s="227"/>
    </row>
    <row r="4" spans="1:44" s="1" customFormat="1" ht="39.75" customHeight="1" x14ac:dyDescent="0.3">
      <c r="A4" s="226">
        <v>1</v>
      </c>
      <c r="B4" s="225" t="s">
        <v>667</v>
      </c>
      <c r="C4" s="222" t="s">
        <v>651</v>
      </c>
      <c r="D4" s="224" t="s">
        <v>656</v>
      </c>
      <c r="E4" s="222" t="s">
        <v>585</v>
      </c>
      <c r="F4" s="223" t="s">
        <v>162</v>
      </c>
      <c r="G4" s="222">
        <v>1</v>
      </c>
      <c r="H4" s="223" t="s">
        <v>68</v>
      </c>
      <c r="I4" s="222" t="s">
        <v>66</v>
      </c>
      <c r="J4" s="222" t="s">
        <v>44</v>
      </c>
      <c r="K4" s="223" t="s">
        <v>125</v>
      </c>
      <c r="L4" s="223" t="s">
        <v>67</v>
      </c>
      <c r="M4" s="222" t="s">
        <v>455</v>
      </c>
      <c r="N4" s="221" t="s">
        <v>529</v>
      </c>
      <c r="O4" s="222"/>
      <c r="P4" s="221"/>
      <c r="Q4" s="222" t="s">
        <v>67</v>
      </c>
      <c r="R4" s="222" t="s">
        <v>67</v>
      </c>
      <c r="S4" s="221"/>
      <c r="T4" s="222"/>
      <c r="U4" s="221"/>
      <c r="V4" s="222" t="s">
        <v>529</v>
      </c>
      <c r="W4" s="221" t="s">
        <v>92</v>
      </c>
      <c r="X4" s="222" t="s">
        <v>67</v>
      </c>
      <c r="Y4" s="221"/>
      <c r="Z4" s="220"/>
      <c r="AA4" s="219" t="s">
        <v>530</v>
      </c>
      <c r="AB4" s="250"/>
      <c r="AC4" s="250">
        <v>1</v>
      </c>
      <c r="AD4" s="250">
        <v>1</v>
      </c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60"/>
    </row>
    <row r="5" spans="1:44" s="1" customFormat="1" ht="39.75" customHeight="1" x14ac:dyDescent="0.3">
      <c r="A5" s="213">
        <v>2</v>
      </c>
      <c r="B5" s="212" t="s">
        <v>668</v>
      </c>
      <c r="C5" s="209" t="s">
        <v>651</v>
      </c>
      <c r="D5" s="211" t="s">
        <v>601</v>
      </c>
      <c r="E5" s="209" t="s">
        <v>655</v>
      </c>
      <c r="F5" s="210" t="s">
        <v>165</v>
      </c>
      <c r="G5" s="209">
        <v>1</v>
      </c>
      <c r="H5" s="210" t="s">
        <v>66</v>
      </c>
      <c r="I5" s="209" t="s">
        <v>66</v>
      </c>
      <c r="J5" s="209" t="s">
        <v>79</v>
      </c>
      <c r="K5" s="210" t="s">
        <v>66</v>
      </c>
      <c r="L5" s="210" t="s">
        <v>66</v>
      </c>
      <c r="M5" s="209" t="s">
        <v>66</v>
      </c>
      <c r="N5" s="208"/>
      <c r="O5" s="209"/>
      <c r="P5" s="208"/>
      <c r="Q5" s="209" t="s">
        <v>67</v>
      </c>
      <c r="R5" s="209" t="s">
        <v>67</v>
      </c>
      <c r="S5" s="208"/>
      <c r="T5" s="209"/>
      <c r="U5" s="208"/>
      <c r="V5" s="209"/>
      <c r="W5" s="208" t="s">
        <v>91</v>
      </c>
      <c r="X5" s="209" t="s">
        <v>67</v>
      </c>
      <c r="Y5" s="208"/>
      <c r="Z5" s="207"/>
      <c r="AA5" s="206" t="s">
        <v>530</v>
      </c>
      <c r="AB5" s="248"/>
      <c r="AC5" s="248"/>
      <c r="AD5" s="248"/>
      <c r="AE5" s="248">
        <v>1</v>
      </c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61" t="s">
        <v>669</v>
      </c>
    </row>
    <row r="6" spans="1:44" s="1" customFormat="1" ht="39.75" customHeight="1" x14ac:dyDescent="0.3">
      <c r="A6" s="213">
        <v>3</v>
      </c>
      <c r="B6" s="212" t="s">
        <v>670</v>
      </c>
      <c r="C6" s="209" t="s">
        <v>651</v>
      </c>
      <c r="D6" s="211" t="s">
        <v>601</v>
      </c>
      <c r="E6" s="209" t="s">
        <v>582</v>
      </c>
      <c r="F6" s="210" t="s">
        <v>163</v>
      </c>
      <c r="G6" s="209">
        <v>1</v>
      </c>
      <c r="H6" s="210" t="s">
        <v>68</v>
      </c>
      <c r="I6" s="209" t="s">
        <v>66</v>
      </c>
      <c r="J6" s="209" t="s">
        <v>79</v>
      </c>
      <c r="K6" s="210" t="s">
        <v>125</v>
      </c>
      <c r="L6" s="210" t="s">
        <v>67</v>
      </c>
      <c r="M6" s="209" t="s">
        <v>456</v>
      </c>
      <c r="N6" s="208"/>
      <c r="O6" s="209"/>
      <c r="P6" s="208"/>
      <c r="Q6" s="209" t="s">
        <v>67</v>
      </c>
      <c r="R6" s="209" t="s">
        <v>67</v>
      </c>
      <c r="S6" s="208"/>
      <c r="T6" s="209"/>
      <c r="U6" s="208"/>
      <c r="V6" s="209" t="s">
        <v>529</v>
      </c>
      <c r="W6" s="208" t="s">
        <v>91</v>
      </c>
      <c r="X6" s="209" t="s">
        <v>67</v>
      </c>
      <c r="Y6" s="208"/>
      <c r="Z6" s="207"/>
      <c r="AA6" s="206" t="s">
        <v>530</v>
      </c>
      <c r="AB6" s="248"/>
      <c r="AC6" s="248"/>
      <c r="AD6" s="248"/>
      <c r="AE6" s="248"/>
      <c r="AF6" s="248">
        <v>1</v>
      </c>
      <c r="AG6" s="248">
        <v>1</v>
      </c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61"/>
    </row>
    <row r="7" spans="1:44" s="1" customFormat="1" ht="39.75" customHeight="1" x14ac:dyDescent="0.3">
      <c r="A7" s="213">
        <v>4</v>
      </c>
      <c r="B7" s="212" t="s">
        <v>671</v>
      </c>
      <c r="C7" s="209" t="s">
        <v>651</v>
      </c>
      <c r="D7" s="211" t="s">
        <v>601</v>
      </c>
      <c r="E7" s="209" t="s">
        <v>612</v>
      </c>
      <c r="F7" s="210" t="s">
        <v>604</v>
      </c>
      <c r="G7" s="209">
        <v>1</v>
      </c>
      <c r="H7" s="210" t="s">
        <v>68</v>
      </c>
      <c r="I7" s="209" t="s">
        <v>66</v>
      </c>
      <c r="J7" s="209" t="s">
        <v>120</v>
      </c>
      <c r="K7" s="210" t="s">
        <v>155</v>
      </c>
      <c r="L7" s="210" t="s">
        <v>67</v>
      </c>
      <c r="M7" s="209" t="s">
        <v>623</v>
      </c>
      <c r="N7" s="208"/>
      <c r="O7" s="209"/>
      <c r="P7" s="208"/>
      <c r="Q7" s="209" t="s">
        <v>67</v>
      </c>
      <c r="R7" s="209" t="s">
        <v>67</v>
      </c>
      <c r="S7" s="208" t="s">
        <v>529</v>
      </c>
      <c r="T7" s="209"/>
      <c r="U7" s="208"/>
      <c r="V7" s="209" t="s">
        <v>529</v>
      </c>
      <c r="W7" s="208" t="s">
        <v>92</v>
      </c>
      <c r="X7" s="209" t="s">
        <v>67</v>
      </c>
      <c r="Y7" s="208"/>
      <c r="Z7" s="207"/>
      <c r="AA7" s="206" t="s">
        <v>530</v>
      </c>
      <c r="AB7" s="248"/>
      <c r="AC7" s="248"/>
      <c r="AD7" s="248"/>
      <c r="AE7" s="248"/>
      <c r="AF7" s="248"/>
      <c r="AG7" s="248"/>
      <c r="AH7" s="248">
        <v>1</v>
      </c>
      <c r="AI7" s="248"/>
      <c r="AJ7" s="248"/>
      <c r="AK7" s="248"/>
      <c r="AL7" s="248"/>
      <c r="AM7" s="248"/>
      <c r="AN7" s="248"/>
      <c r="AO7" s="248"/>
      <c r="AP7" s="248"/>
      <c r="AQ7" s="248"/>
      <c r="AR7" s="61" t="s">
        <v>652</v>
      </c>
    </row>
    <row r="8" spans="1:44" s="1" customFormat="1" ht="39.75" customHeight="1" x14ac:dyDescent="0.3">
      <c r="A8" s="213">
        <v>5</v>
      </c>
      <c r="B8" s="212" t="s">
        <v>672</v>
      </c>
      <c r="C8" s="209" t="s">
        <v>651</v>
      </c>
      <c r="D8" s="211" t="s">
        <v>601</v>
      </c>
      <c r="E8" s="209" t="s">
        <v>618</v>
      </c>
      <c r="F8" s="210" t="s">
        <v>162</v>
      </c>
      <c r="G8" s="209">
        <v>1</v>
      </c>
      <c r="H8" s="210" t="s">
        <v>68</v>
      </c>
      <c r="I8" s="209" t="s">
        <v>66</v>
      </c>
      <c r="J8" s="209" t="s">
        <v>121</v>
      </c>
      <c r="K8" s="210" t="s">
        <v>155</v>
      </c>
      <c r="L8" s="210" t="s">
        <v>67</v>
      </c>
      <c r="M8" s="209" t="s">
        <v>450</v>
      </c>
      <c r="N8" s="208" t="s">
        <v>529</v>
      </c>
      <c r="O8" s="209"/>
      <c r="P8" s="208" t="s">
        <v>529</v>
      </c>
      <c r="Q8" s="209" t="s">
        <v>67</v>
      </c>
      <c r="R8" s="209" t="s">
        <v>67</v>
      </c>
      <c r="S8" s="208" t="s">
        <v>529</v>
      </c>
      <c r="T8" s="209"/>
      <c r="U8" s="208"/>
      <c r="V8" s="209" t="s">
        <v>529</v>
      </c>
      <c r="W8" s="208" t="s">
        <v>92</v>
      </c>
      <c r="X8" s="209" t="s">
        <v>67</v>
      </c>
      <c r="Y8" s="208"/>
      <c r="Z8" s="207"/>
      <c r="AA8" s="206" t="s">
        <v>530</v>
      </c>
      <c r="AB8" s="248">
        <v>1</v>
      </c>
      <c r="AC8" s="248">
        <v>1</v>
      </c>
      <c r="AD8" s="248">
        <v>1</v>
      </c>
      <c r="AE8" s="248"/>
      <c r="AF8" s="248"/>
      <c r="AG8" s="248"/>
      <c r="AH8" s="248">
        <v>1</v>
      </c>
      <c r="AI8" s="248">
        <v>1</v>
      </c>
      <c r="AJ8" s="248"/>
      <c r="AK8" s="248"/>
      <c r="AL8" s="248"/>
      <c r="AM8" s="248"/>
      <c r="AN8" s="248"/>
      <c r="AO8" s="248"/>
      <c r="AP8" s="248"/>
      <c r="AQ8" s="248"/>
      <c r="AR8" s="61" t="s">
        <v>650</v>
      </c>
    </row>
    <row r="9" spans="1:44" s="1" customFormat="1" ht="39.75" customHeight="1" x14ac:dyDescent="0.3">
      <c r="A9" s="213">
        <v>6</v>
      </c>
      <c r="B9" s="212" t="s">
        <v>673</v>
      </c>
      <c r="C9" s="209" t="s">
        <v>643</v>
      </c>
      <c r="D9" s="211" t="s">
        <v>601</v>
      </c>
      <c r="E9" s="209" t="s">
        <v>649</v>
      </c>
      <c r="F9" s="210" t="s">
        <v>163</v>
      </c>
      <c r="G9" s="209">
        <v>1</v>
      </c>
      <c r="H9" s="210" t="s">
        <v>68</v>
      </c>
      <c r="I9" s="209" t="s">
        <v>66</v>
      </c>
      <c r="J9" s="209" t="s">
        <v>121</v>
      </c>
      <c r="K9" s="210" t="s">
        <v>125</v>
      </c>
      <c r="L9" s="210" t="s">
        <v>67</v>
      </c>
      <c r="M9" s="209" t="s">
        <v>623</v>
      </c>
      <c r="N9" s="208"/>
      <c r="O9" s="209"/>
      <c r="P9" s="208"/>
      <c r="Q9" s="209" t="s">
        <v>67</v>
      </c>
      <c r="R9" s="209" t="s">
        <v>67</v>
      </c>
      <c r="S9" s="208" t="s">
        <v>529</v>
      </c>
      <c r="T9" s="209"/>
      <c r="U9" s="208"/>
      <c r="V9" s="209" t="s">
        <v>529</v>
      </c>
      <c r="W9" s="208" t="s">
        <v>92</v>
      </c>
      <c r="X9" s="209" t="s">
        <v>67</v>
      </c>
      <c r="Y9" s="208" t="s">
        <v>529</v>
      </c>
      <c r="Z9" s="207"/>
      <c r="AA9" s="206" t="s">
        <v>530</v>
      </c>
      <c r="AB9" s="248">
        <v>1</v>
      </c>
      <c r="AC9" s="248"/>
      <c r="AD9" s="248"/>
      <c r="AE9" s="248"/>
      <c r="AF9" s="248"/>
      <c r="AG9" s="248"/>
      <c r="AH9" s="248">
        <v>1</v>
      </c>
      <c r="AI9" s="248">
        <v>1</v>
      </c>
      <c r="AJ9" s="248"/>
      <c r="AK9" s="248"/>
      <c r="AL9" s="248"/>
      <c r="AM9" s="248"/>
      <c r="AN9" s="248"/>
      <c r="AO9" s="248"/>
      <c r="AP9" s="248"/>
      <c r="AQ9" s="248"/>
      <c r="AR9" s="61"/>
    </row>
    <row r="10" spans="1:44" s="1" customFormat="1" ht="39.75" customHeight="1" x14ac:dyDescent="0.3">
      <c r="A10" s="213">
        <v>7</v>
      </c>
      <c r="B10" s="212" t="s">
        <v>674</v>
      </c>
      <c r="C10" s="209" t="s">
        <v>643</v>
      </c>
      <c r="D10" s="211" t="s">
        <v>601</v>
      </c>
      <c r="E10" s="209" t="s">
        <v>580</v>
      </c>
      <c r="F10" s="210" t="s">
        <v>163</v>
      </c>
      <c r="G10" s="209">
        <v>1</v>
      </c>
      <c r="H10" s="210" t="s">
        <v>68</v>
      </c>
      <c r="I10" s="209" t="s">
        <v>66</v>
      </c>
      <c r="J10" s="209" t="s">
        <v>121</v>
      </c>
      <c r="K10" s="210" t="s">
        <v>125</v>
      </c>
      <c r="L10" s="210" t="s">
        <v>67</v>
      </c>
      <c r="M10" s="209" t="s">
        <v>66</v>
      </c>
      <c r="N10" s="208"/>
      <c r="O10" s="209"/>
      <c r="P10" s="208"/>
      <c r="Q10" s="209" t="s">
        <v>67</v>
      </c>
      <c r="R10" s="209" t="s">
        <v>67</v>
      </c>
      <c r="S10" s="208"/>
      <c r="T10" s="209"/>
      <c r="U10" s="208"/>
      <c r="V10" s="209" t="s">
        <v>529</v>
      </c>
      <c r="W10" s="208" t="s">
        <v>92</v>
      </c>
      <c r="X10" s="209" t="s">
        <v>67</v>
      </c>
      <c r="Y10" s="208"/>
      <c r="Z10" s="207"/>
      <c r="AA10" s="206" t="s">
        <v>530</v>
      </c>
      <c r="AB10" s="248"/>
      <c r="AC10" s="248"/>
      <c r="AD10" s="248"/>
      <c r="AE10" s="248">
        <v>1</v>
      </c>
      <c r="AF10" s="248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61"/>
    </row>
    <row r="11" spans="1:44" s="1" customFormat="1" ht="39.75" customHeight="1" x14ac:dyDescent="0.3">
      <c r="A11" s="213">
        <v>8</v>
      </c>
      <c r="B11" s="212" t="s">
        <v>675</v>
      </c>
      <c r="C11" s="209" t="s">
        <v>643</v>
      </c>
      <c r="D11" s="211" t="s">
        <v>601</v>
      </c>
      <c r="E11" s="209" t="s">
        <v>645</v>
      </c>
      <c r="F11" s="210" t="s">
        <v>163</v>
      </c>
      <c r="G11" s="209">
        <v>1</v>
      </c>
      <c r="H11" s="210" t="s">
        <v>68</v>
      </c>
      <c r="I11" s="209" t="s">
        <v>66</v>
      </c>
      <c r="J11" s="209" t="s">
        <v>121</v>
      </c>
      <c r="K11" s="210" t="s">
        <v>125</v>
      </c>
      <c r="L11" s="210" t="s">
        <v>67</v>
      </c>
      <c r="M11" s="209" t="s">
        <v>623</v>
      </c>
      <c r="N11" s="208"/>
      <c r="O11" s="209"/>
      <c r="P11" s="208"/>
      <c r="Q11" s="209" t="s">
        <v>67</v>
      </c>
      <c r="R11" s="209" t="s">
        <v>67</v>
      </c>
      <c r="S11" s="208" t="s">
        <v>529</v>
      </c>
      <c r="T11" s="209"/>
      <c r="U11" s="208"/>
      <c r="V11" s="209" t="s">
        <v>529</v>
      </c>
      <c r="W11" s="208" t="s">
        <v>92</v>
      </c>
      <c r="X11" s="209" t="s">
        <v>67</v>
      </c>
      <c r="Y11" s="208"/>
      <c r="Z11" s="207"/>
      <c r="AA11" s="206" t="s">
        <v>530</v>
      </c>
      <c r="AB11" s="248">
        <v>1</v>
      </c>
      <c r="AC11" s="248"/>
      <c r="AD11" s="248"/>
      <c r="AE11" s="248"/>
      <c r="AF11" s="248"/>
      <c r="AG11" s="248"/>
      <c r="AH11" s="248"/>
      <c r="AI11" s="248">
        <v>1</v>
      </c>
      <c r="AJ11" s="248"/>
      <c r="AK11" s="248"/>
      <c r="AL11" s="248"/>
      <c r="AM11" s="248"/>
      <c r="AN11" s="248"/>
      <c r="AO11" s="248"/>
      <c r="AP11" s="248"/>
      <c r="AQ11" s="248"/>
      <c r="AR11" s="61" t="s">
        <v>648</v>
      </c>
    </row>
    <row r="12" spans="1:44" s="1" customFormat="1" ht="39.75" customHeight="1" x14ac:dyDescent="0.3">
      <c r="A12" s="213">
        <v>9</v>
      </c>
      <c r="B12" s="212" t="s">
        <v>676</v>
      </c>
      <c r="C12" s="209" t="s">
        <v>643</v>
      </c>
      <c r="D12" s="211" t="s">
        <v>601</v>
      </c>
      <c r="E12" s="209" t="s">
        <v>647</v>
      </c>
      <c r="F12" s="210" t="s">
        <v>163</v>
      </c>
      <c r="G12" s="209">
        <v>1</v>
      </c>
      <c r="H12" s="210" t="s">
        <v>68</v>
      </c>
      <c r="I12" s="209" t="s">
        <v>66</v>
      </c>
      <c r="J12" s="209" t="s">
        <v>44</v>
      </c>
      <c r="K12" s="210" t="s">
        <v>125</v>
      </c>
      <c r="L12" s="210" t="s">
        <v>67</v>
      </c>
      <c r="M12" s="209" t="s">
        <v>457</v>
      </c>
      <c r="N12" s="208"/>
      <c r="O12" s="209"/>
      <c r="P12" s="208"/>
      <c r="Q12" s="209" t="s">
        <v>67</v>
      </c>
      <c r="R12" s="209" t="s">
        <v>67</v>
      </c>
      <c r="S12" s="208" t="s">
        <v>529</v>
      </c>
      <c r="T12" s="209"/>
      <c r="U12" s="208"/>
      <c r="V12" s="209" t="s">
        <v>529</v>
      </c>
      <c r="W12" s="208" t="s">
        <v>91</v>
      </c>
      <c r="X12" s="209" t="s">
        <v>67</v>
      </c>
      <c r="Y12" s="208"/>
      <c r="Z12" s="207"/>
      <c r="AA12" s="206" t="s">
        <v>530</v>
      </c>
      <c r="AB12" s="248">
        <v>1</v>
      </c>
      <c r="AC12" s="248"/>
      <c r="AD12" s="248"/>
      <c r="AE12" s="248"/>
      <c r="AF12" s="248"/>
      <c r="AG12" s="248"/>
      <c r="AH12" s="248">
        <v>1</v>
      </c>
      <c r="AI12" s="248">
        <v>1</v>
      </c>
      <c r="AJ12" s="248"/>
      <c r="AK12" s="248"/>
      <c r="AL12" s="248"/>
      <c r="AM12" s="248"/>
      <c r="AN12" s="248"/>
      <c r="AO12" s="248"/>
      <c r="AP12" s="248"/>
      <c r="AQ12" s="248"/>
      <c r="AR12" s="61"/>
    </row>
    <row r="13" spans="1:44" s="1" customFormat="1" ht="39.75" customHeight="1" x14ac:dyDescent="0.3">
      <c r="A13" s="213">
        <v>10</v>
      </c>
      <c r="B13" s="212" t="s">
        <v>677</v>
      </c>
      <c r="C13" s="209" t="s">
        <v>643</v>
      </c>
      <c r="D13" s="211" t="s">
        <v>646</v>
      </c>
      <c r="E13" s="209" t="s">
        <v>645</v>
      </c>
      <c r="F13" s="210" t="s">
        <v>163</v>
      </c>
      <c r="G13" s="209">
        <v>1</v>
      </c>
      <c r="H13" s="210" t="s">
        <v>68</v>
      </c>
      <c r="I13" s="209" t="s">
        <v>66</v>
      </c>
      <c r="J13" s="209" t="s">
        <v>44</v>
      </c>
      <c r="K13" s="210" t="s">
        <v>125</v>
      </c>
      <c r="L13" s="210" t="s">
        <v>67</v>
      </c>
      <c r="M13" s="209" t="s">
        <v>454</v>
      </c>
      <c r="N13" s="208"/>
      <c r="O13" s="209"/>
      <c r="P13" s="208"/>
      <c r="Q13" s="209" t="s">
        <v>67</v>
      </c>
      <c r="R13" s="209" t="s">
        <v>67</v>
      </c>
      <c r="S13" s="208" t="s">
        <v>529</v>
      </c>
      <c r="T13" s="209"/>
      <c r="U13" s="208"/>
      <c r="V13" s="209" t="s">
        <v>529</v>
      </c>
      <c r="W13" s="208" t="s">
        <v>92</v>
      </c>
      <c r="X13" s="209" t="s">
        <v>49</v>
      </c>
      <c r="Y13" s="208" t="s">
        <v>529</v>
      </c>
      <c r="Z13" s="207"/>
      <c r="AA13" s="206" t="s">
        <v>644</v>
      </c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61"/>
    </row>
    <row r="14" spans="1:44" s="1" customFormat="1" ht="39.75" customHeight="1" x14ac:dyDescent="0.3">
      <c r="A14" s="213">
        <v>11</v>
      </c>
      <c r="B14" s="212" t="s">
        <v>678</v>
      </c>
      <c r="C14" s="209" t="s">
        <v>643</v>
      </c>
      <c r="D14" s="211" t="s">
        <v>601</v>
      </c>
      <c r="E14" s="209" t="s">
        <v>618</v>
      </c>
      <c r="F14" s="210" t="s">
        <v>604</v>
      </c>
      <c r="G14" s="209">
        <v>1</v>
      </c>
      <c r="H14" s="210" t="s">
        <v>68</v>
      </c>
      <c r="I14" s="209" t="s">
        <v>66</v>
      </c>
      <c r="J14" s="209" t="s">
        <v>121</v>
      </c>
      <c r="K14" s="210" t="s">
        <v>155</v>
      </c>
      <c r="L14" s="210" t="s">
        <v>67</v>
      </c>
      <c r="M14" s="209" t="s">
        <v>66</v>
      </c>
      <c r="N14" s="208" t="s">
        <v>529</v>
      </c>
      <c r="O14" s="209"/>
      <c r="P14" s="208"/>
      <c r="Q14" s="209" t="s">
        <v>67</v>
      </c>
      <c r="R14" s="209" t="s">
        <v>67</v>
      </c>
      <c r="S14" s="208"/>
      <c r="T14" s="209"/>
      <c r="U14" s="208"/>
      <c r="V14" s="209" t="s">
        <v>529</v>
      </c>
      <c r="W14" s="208" t="s">
        <v>92</v>
      </c>
      <c r="X14" s="209" t="s">
        <v>67</v>
      </c>
      <c r="Y14" s="208"/>
      <c r="Z14" s="207"/>
      <c r="AA14" s="206" t="s">
        <v>530</v>
      </c>
      <c r="AB14" s="248"/>
      <c r="AC14" s="248"/>
      <c r="AD14" s="248"/>
      <c r="AE14" s="248">
        <v>1</v>
      </c>
      <c r="AF14" s="248"/>
      <c r="AG14" s="248"/>
      <c r="AH14" s="248"/>
      <c r="AI14" s="248"/>
      <c r="AJ14" s="248"/>
      <c r="AK14" s="248"/>
      <c r="AL14" s="248"/>
      <c r="AM14" s="248"/>
      <c r="AN14" s="248"/>
      <c r="AO14" s="248"/>
      <c r="AP14" s="248"/>
      <c r="AQ14" s="248"/>
      <c r="AR14" s="61"/>
    </row>
    <row r="15" spans="1:44" s="1" customFormat="1" ht="39.75" customHeight="1" x14ac:dyDescent="0.3">
      <c r="A15" s="213">
        <v>12</v>
      </c>
      <c r="B15" s="212" t="s">
        <v>679</v>
      </c>
      <c r="C15" s="209" t="s">
        <v>643</v>
      </c>
      <c r="D15" s="211" t="s">
        <v>601</v>
      </c>
      <c r="E15" s="209" t="s">
        <v>612</v>
      </c>
      <c r="F15" s="210" t="s">
        <v>604</v>
      </c>
      <c r="G15" s="209">
        <v>1</v>
      </c>
      <c r="H15" s="210" t="s">
        <v>68</v>
      </c>
      <c r="I15" s="209" t="s">
        <v>66</v>
      </c>
      <c r="J15" s="209" t="s">
        <v>120</v>
      </c>
      <c r="K15" s="210" t="s">
        <v>155</v>
      </c>
      <c r="L15" s="210" t="s">
        <v>67</v>
      </c>
      <c r="M15" s="209" t="s">
        <v>623</v>
      </c>
      <c r="N15" s="208" t="s">
        <v>529</v>
      </c>
      <c r="O15" s="209"/>
      <c r="P15" s="208"/>
      <c r="Q15" s="209" t="s">
        <v>67</v>
      </c>
      <c r="R15" s="209" t="s">
        <v>67</v>
      </c>
      <c r="S15" s="208" t="s">
        <v>529</v>
      </c>
      <c r="T15" s="209"/>
      <c r="U15" s="208"/>
      <c r="V15" s="209" t="s">
        <v>529</v>
      </c>
      <c r="W15" s="208" t="s">
        <v>92</v>
      </c>
      <c r="X15" s="209" t="s">
        <v>67</v>
      </c>
      <c r="Y15" s="208"/>
      <c r="Z15" s="207"/>
      <c r="AA15" s="206" t="s">
        <v>530</v>
      </c>
      <c r="AB15" s="248">
        <v>1</v>
      </c>
      <c r="AC15" s="248"/>
      <c r="AD15" s="248"/>
      <c r="AE15" s="248"/>
      <c r="AF15" s="248"/>
      <c r="AG15" s="248"/>
      <c r="AH15" s="248">
        <v>1</v>
      </c>
      <c r="AI15" s="248">
        <v>1</v>
      </c>
      <c r="AJ15" s="248">
        <v>1</v>
      </c>
      <c r="AK15" s="248"/>
      <c r="AL15" s="248"/>
      <c r="AM15" s="248"/>
      <c r="AN15" s="248"/>
      <c r="AO15" s="248"/>
      <c r="AP15" s="248"/>
      <c r="AQ15" s="248"/>
      <c r="AR15" s="61" t="s">
        <v>622</v>
      </c>
    </row>
    <row r="16" spans="1:44" s="1" customFormat="1" ht="39.75" customHeight="1" x14ac:dyDescent="0.3">
      <c r="A16" s="213">
        <v>13</v>
      </c>
      <c r="B16" s="212" t="s">
        <v>680</v>
      </c>
      <c r="C16" s="209" t="s">
        <v>640</v>
      </c>
      <c r="D16" s="211" t="s">
        <v>601</v>
      </c>
      <c r="E16" s="209" t="s">
        <v>618</v>
      </c>
      <c r="F16" s="210" t="s">
        <v>604</v>
      </c>
      <c r="G16" s="209">
        <v>1</v>
      </c>
      <c r="H16" s="210" t="s">
        <v>38</v>
      </c>
      <c r="I16" s="209" t="s">
        <v>66</v>
      </c>
      <c r="J16" s="209" t="s">
        <v>44</v>
      </c>
      <c r="K16" s="210" t="s">
        <v>155</v>
      </c>
      <c r="L16" s="210" t="s">
        <v>67</v>
      </c>
      <c r="M16" s="209" t="s">
        <v>456</v>
      </c>
      <c r="N16" s="208" t="s">
        <v>529</v>
      </c>
      <c r="O16" s="209"/>
      <c r="P16" s="208"/>
      <c r="Q16" s="209" t="s">
        <v>67</v>
      </c>
      <c r="R16" s="209" t="s">
        <v>67</v>
      </c>
      <c r="S16" s="208"/>
      <c r="T16" s="209"/>
      <c r="U16" s="208"/>
      <c r="V16" s="209" t="s">
        <v>529</v>
      </c>
      <c r="W16" s="208" t="s">
        <v>92</v>
      </c>
      <c r="X16" s="209" t="s">
        <v>67</v>
      </c>
      <c r="Y16" s="208"/>
      <c r="Z16" s="207"/>
      <c r="AA16" s="206" t="s">
        <v>530</v>
      </c>
      <c r="AB16" s="248"/>
      <c r="AC16" s="248"/>
      <c r="AD16" s="248"/>
      <c r="AE16" s="248"/>
      <c r="AF16" s="248"/>
      <c r="AG16" s="248">
        <v>1</v>
      </c>
      <c r="AH16" s="248"/>
      <c r="AI16" s="248">
        <v>1</v>
      </c>
      <c r="AJ16" s="248">
        <v>1</v>
      </c>
      <c r="AK16" s="248">
        <v>1</v>
      </c>
      <c r="AL16" s="248">
        <v>1</v>
      </c>
      <c r="AM16" s="248"/>
      <c r="AN16" s="248"/>
      <c r="AO16" s="248"/>
      <c r="AP16" s="248"/>
      <c r="AQ16" s="248"/>
      <c r="AR16" s="61"/>
    </row>
    <row r="17" spans="1:44" s="1" customFormat="1" ht="39.75" customHeight="1" x14ac:dyDescent="0.3">
      <c r="A17" s="213">
        <v>14</v>
      </c>
      <c r="B17" s="212" t="s">
        <v>681</v>
      </c>
      <c r="C17" s="209" t="s">
        <v>640</v>
      </c>
      <c r="D17" s="211" t="s">
        <v>601</v>
      </c>
      <c r="E17" s="209" t="s">
        <v>612</v>
      </c>
      <c r="F17" s="210" t="s">
        <v>162</v>
      </c>
      <c r="G17" s="209">
        <v>1</v>
      </c>
      <c r="H17" s="210" t="s">
        <v>68</v>
      </c>
      <c r="I17" s="209" t="s">
        <v>66</v>
      </c>
      <c r="J17" s="209" t="s">
        <v>77</v>
      </c>
      <c r="K17" s="210" t="s">
        <v>155</v>
      </c>
      <c r="L17" s="210" t="s">
        <v>67</v>
      </c>
      <c r="M17" s="209" t="s">
        <v>642</v>
      </c>
      <c r="N17" s="208" t="s">
        <v>529</v>
      </c>
      <c r="O17" s="209"/>
      <c r="P17" s="208"/>
      <c r="Q17" s="209" t="s">
        <v>67</v>
      </c>
      <c r="R17" s="209" t="s">
        <v>67</v>
      </c>
      <c r="S17" s="208" t="s">
        <v>529</v>
      </c>
      <c r="T17" s="209"/>
      <c r="U17" s="208"/>
      <c r="V17" s="209" t="s">
        <v>529</v>
      </c>
      <c r="W17" s="208" t="s">
        <v>91</v>
      </c>
      <c r="X17" s="209" t="s">
        <v>67</v>
      </c>
      <c r="Y17" s="208"/>
      <c r="Z17" s="207"/>
      <c r="AA17" s="206" t="s">
        <v>530</v>
      </c>
      <c r="AB17" s="248">
        <v>1</v>
      </c>
      <c r="AC17" s="248">
        <v>1</v>
      </c>
      <c r="AD17" s="248">
        <v>1</v>
      </c>
      <c r="AE17" s="248"/>
      <c r="AF17" s="248"/>
      <c r="AG17" s="248"/>
      <c r="AH17" s="248"/>
      <c r="AI17" s="248"/>
      <c r="AJ17" s="248"/>
      <c r="AK17" s="248">
        <v>1</v>
      </c>
      <c r="AL17" s="248"/>
      <c r="AM17" s="248"/>
      <c r="AN17" s="248"/>
      <c r="AO17" s="248"/>
      <c r="AP17" s="248"/>
      <c r="AQ17" s="248"/>
      <c r="AR17" s="61" t="s">
        <v>622</v>
      </c>
    </row>
    <row r="18" spans="1:44" s="1" customFormat="1" ht="39.75" customHeight="1" x14ac:dyDescent="0.3">
      <c r="A18" s="213">
        <v>15</v>
      </c>
      <c r="B18" s="212" t="s">
        <v>682</v>
      </c>
      <c r="C18" s="209" t="s">
        <v>640</v>
      </c>
      <c r="D18" s="211" t="s">
        <v>601</v>
      </c>
      <c r="E18" s="209" t="s">
        <v>641</v>
      </c>
      <c r="F18" s="210" t="s">
        <v>163</v>
      </c>
      <c r="G18" s="209">
        <v>1</v>
      </c>
      <c r="H18" s="210" t="s">
        <v>68</v>
      </c>
      <c r="I18" s="209" t="s">
        <v>75</v>
      </c>
      <c r="J18" s="209" t="s">
        <v>44</v>
      </c>
      <c r="K18" s="210" t="s">
        <v>139</v>
      </c>
      <c r="L18" s="210" t="s">
        <v>67</v>
      </c>
      <c r="M18" s="209" t="s">
        <v>457</v>
      </c>
      <c r="N18" s="208" t="s">
        <v>529</v>
      </c>
      <c r="O18" s="209"/>
      <c r="P18" s="208"/>
      <c r="Q18" s="209" t="s">
        <v>67</v>
      </c>
      <c r="R18" s="209" t="s">
        <v>67</v>
      </c>
      <c r="S18" s="208"/>
      <c r="T18" s="209"/>
      <c r="U18" s="208"/>
      <c r="V18" s="209" t="s">
        <v>529</v>
      </c>
      <c r="W18" s="208" t="s">
        <v>91</v>
      </c>
      <c r="X18" s="209" t="s">
        <v>67</v>
      </c>
      <c r="Y18" s="208"/>
      <c r="Z18" s="207"/>
      <c r="AA18" s="206" t="s">
        <v>530</v>
      </c>
      <c r="AB18" s="248">
        <v>1</v>
      </c>
      <c r="AC18" s="248"/>
      <c r="AD18" s="248"/>
      <c r="AE18" s="248">
        <v>1</v>
      </c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61"/>
    </row>
    <row r="19" spans="1:44" s="1" customFormat="1" ht="39.75" customHeight="1" x14ac:dyDescent="0.3">
      <c r="A19" s="213">
        <v>16</v>
      </c>
      <c r="B19" s="212" t="s">
        <v>683</v>
      </c>
      <c r="C19" s="209" t="s">
        <v>640</v>
      </c>
      <c r="D19" s="211" t="s">
        <v>601</v>
      </c>
      <c r="E19" s="209" t="s">
        <v>639</v>
      </c>
      <c r="F19" s="210" t="s">
        <v>170</v>
      </c>
      <c r="G19" s="209">
        <v>2</v>
      </c>
      <c r="H19" s="210" t="s">
        <v>68</v>
      </c>
      <c r="I19" s="209" t="s">
        <v>66</v>
      </c>
      <c r="J19" s="209" t="s">
        <v>81</v>
      </c>
      <c r="K19" s="210" t="s">
        <v>127</v>
      </c>
      <c r="L19" s="210" t="s">
        <v>600</v>
      </c>
      <c r="M19" s="209" t="s">
        <v>456</v>
      </c>
      <c r="N19" s="208" t="s">
        <v>529</v>
      </c>
      <c r="O19" s="209"/>
      <c r="P19" s="208"/>
      <c r="Q19" s="209" t="s">
        <v>67</v>
      </c>
      <c r="R19" s="209" t="s">
        <v>67</v>
      </c>
      <c r="S19" s="208"/>
      <c r="T19" s="209"/>
      <c r="U19" s="208"/>
      <c r="V19" s="209" t="s">
        <v>529</v>
      </c>
      <c r="W19" s="208" t="s">
        <v>91</v>
      </c>
      <c r="X19" s="209" t="s">
        <v>67</v>
      </c>
      <c r="Y19" s="208"/>
      <c r="Z19" s="207"/>
      <c r="AA19" s="206" t="s">
        <v>530</v>
      </c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>
        <v>1</v>
      </c>
      <c r="AM19" s="248">
        <v>1</v>
      </c>
      <c r="AN19" s="248"/>
      <c r="AO19" s="248"/>
      <c r="AP19" s="248"/>
      <c r="AQ19" s="248"/>
      <c r="AR19" s="61" t="s">
        <v>638</v>
      </c>
    </row>
    <row r="20" spans="1:44" s="1" customFormat="1" ht="39.75" customHeight="1" x14ac:dyDescent="0.3">
      <c r="A20" s="213">
        <v>17</v>
      </c>
      <c r="B20" s="212" t="s">
        <v>684</v>
      </c>
      <c r="C20" s="209" t="s">
        <v>636</v>
      </c>
      <c r="D20" s="211" t="s">
        <v>601</v>
      </c>
      <c r="E20" s="209" t="s">
        <v>618</v>
      </c>
      <c r="F20" s="210" t="s">
        <v>163</v>
      </c>
      <c r="G20" s="209">
        <v>1</v>
      </c>
      <c r="H20" s="210" t="s">
        <v>68</v>
      </c>
      <c r="I20" s="209" t="s">
        <v>66</v>
      </c>
      <c r="J20" s="209" t="s">
        <v>44</v>
      </c>
      <c r="K20" s="210" t="s">
        <v>155</v>
      </c>
      <c r="L20" s="210" t="s">
        <v>67</v>
      </c>
      <c r="M20" s="209" t="s">
        <v>623</v>
      </c>
      <c r="N20" s="208" t="s">
        <v>529</v>
      </c>
      <c r="O20" s="209"/>
      <c r="P20" s="208"/>
      <c r="Q20" s="209" t="s">
        <v>67</v>
      </c>
      <c r="R20" s="209" t="s">
        <v>67</v>
      </c>
      <c r="S20" s="208" t="s">
        <v>529</v>
      </c>
      <c r="T20" s="209"/>
      <c r="U20" s="208"/>
      <c r="V20" s="209" t="s">
        <v>529</v>
      </c>
      <c r="W20" s="208" t="s">
        <v>91</v>
      </c>
      <c r="X20" s="209" t="s">
        <v>67</v>
      </c>
      <c r="Y20" s="208"/>
      <c r="Z20" s="207"/>
      <c r="AA20" s="206" t="s">
        <v>530</v>
      </c>
      <c r="AB20" s="248">
        <v>1</v>
      </c>
      <c r="AC20" s="248"/>
      <c r="AD20" s="248"/>
      <c r="AE20" s="248"/>
      <c r="AF20" s="248"/>
      <c r="AG20" s="248"/>
      <c r="AH20" s="248"/>
      <c r="AI20" s="248">
        <v>1</v>
      </c>
      <c r="AJ20" s="248"/>
      <c r="AK20" s="248">
        <v>1</v>
      </c>
      <c r="AL20" s="248"/>
      <c r="AM20" s="248"/>
      <c r="AN20" s="248"/>
      <c r="AO20" s="248"/>
      <c r="AP20" s="248"/>
      <c r="AQ20" s="248"/>
      <c r="AR20" s="61"/>
    </row>
    <row r="21" spans="1:44" s="1" customFormat="1" ht="39.75" customHeight="1" x14ac:dyDescent="0.3">
      <c r="A21" s="213">
        <v>18</v>
      </c>
      <c r="B21" s="212" t="s">
        <v>685</v>
      </c>
      <c r="C21" s="209" t="s">
        <v>636</v>
      </c>
      <c r="D21" s="211" t="s">
        <v>601</v>
      </c>
      <c r="E21" s="209" t="s">
        <v>612</v>
      </c>
      <c r="F21" s="210" t="s">
        <v>604</v>
      </c>
      <c r="G21" s="209">
        <v>1</v>
      </c>
      <c r="H21" s="210" t="s">
        <v>68</v>
      </c>
      <c r="I21" s="209" t="s">
        <v>66</v>
      </c>
      <c r="J21" s="209" t="s">
        <v>120</v>
      </c>
      <c r="K21" s="210" t="s">
        <v>155</v>
      </c>
      <c r="L21" s="210" t="s">
        <v>67</v>
      </c>
      <c r="M21" s="209" t="s">
        <v>457</v>
      </c>
      <c r="N21" s="208" t="s">
        <v>529</v>
      </c>
      <c r="O21" s="209"/>
      <c r="P21" s="208"/>
      <c r="Q21" s="209" t="s">
        <v>67</v>
      </c>
      <c r="R21" s="209" t="s">
        <v>67</v>
      </c>
      <c r="S21" s="208" t="s">
        <v>529</v>
      </c>
      <c r="T21" s="209" t="s">
        <v>529</v>
      </c>
      <c r="U21" s="208"/>
      <c r="V21" s="209" t="s">
        <v>529</v>
      </c>
      <c r="W21" s="208" t="s">
        <v>92</v>
      </c>
      <c r="X21" s="209" t="s">
        <v>49</v>
      </c>
      <c r="Y21" s="208" t="s">
        <v>529</v>
      </c>
      <c r="Z21" s="207"/>
      <c r="AA21" s="206" t="s">
        <v>530</v>
      </c>
      <c r="AB21" s="248">
        <v>1</v>
      </c>
      <c r="AC21" s="248"/>
      <c r="AD21" s="248"/>
      <c r="AE21" s="248"/>
      <c r="AF21" s="248"/>
      <c r="AG21" s="248"/>
      <c r="AH21" s="248"/>
      <c r="AI21" s="248">
        <v>1</v>
      </c>
      <c r="AJ21" s="248"/>
      <c r="AK21" s="248"/>
      <c r="AL21" s="248"/>
      <c r="AM21" s="248"/>
      <c r="AN21" s="248"/>
      <c r="AO21" s="248"/>
      <c r="AP21" s="248"/>
      <c r="AQ21" s="248"/>
      <c r="AR21" s="61" t="s">
        <v>622</v>
      </c>
    </row>
    <row r="22" spans="1:44" s="1" customFormat="1" ht="39.75" customHeight="1" x14ac:dyDescent="0.3">
      <c r="A22" s="213">
        <v>19</v>
      </c>
      <c r="B22" s="212" t="s">
        <v>686</v>
      </c>
      <c r="C22" s="209" t="s">
        <v>636</v>
      </c>
      <c r="D22" s="211" t="s">
        <v>601</v>
      </c>
      <c r="E22" s="209" t="s">
        <v>637</v>
      </c>
      <c r="F22" s="210" t="s">
        <v>163</v>
      </c>
      <c r="G22" s="209">
        <v>1</v>
      </c>
      <c r="H22" s="210" t="s">
        <v>68</v>
      </c>
      <c r="I22" s="209" t="s">
        <v>75</v>
      </c>
      <c r="J22" s="209" t="s">
        <v>77</v>
      </c>
      <c r="K22" s="210" t="s">
        <v>131</v>
      </c>
      <c r="L22" s="210" t="s">
        <v>67</v>
      </c>
      <c r="M22" s="209" t="s">
        <v>623</v>
      </c>
      <c r="N22" s="208" t="s">
        <v>529</v>
      </c>
      <c r="O22" s="209"/>
      <c r="P22" s="208"/>
      <c r="Q22" s="209" t="s">
        <v>67</v>
      </c>
      <c r="R22" s="209" t="s">
        <v>67</v>
      </c>
      <c r="S22" s="208"/>
      <c r="T22" s="209"/>
      <c r="U22" s="208"/>
      <c r="V22" s="209" t="s">
        <v>529</v>
      </c>
      <c r="W22" s="208" t="s">
        <v>91</v>
      </c>
      <c r="X22" s="209" t="s">
        <v>67</v>
      </c>
      <c r="Y22" s="208"/>
      <c r="Z22" s="207"/>
      <c r="AA22" s="206" t="s">
        <v>530</v>
      </c>
      <c r="AB22" s="248">
        <v>1</v>
      </c>
      <c r="AC22" s="248"/>
      <c r="AD22" s="248"/>
      <c r="AE22" s="248"/>
      <c r="AF22" s="248"/>
      <c r="AG22" s="248"/>
      <c r="AH22" s="248"/>
      <c r="AI22" s="248">
        <v>1</v>
      </c>
      <c r="AJ22" s="248"/>
      <c r="AK22" s="248">
        <v>1</v>
      </c>
      <c r="AL22" s="248"/>
      <c r="AM22" s="248"/>
      <c r="AN22" s="248"/>
      <c r="AO22" s="248"/>
      <c r="AP22" s="248"/>
      <c r="AQ22" s="248"/>
      <c r="AR22" s="61"/>
    </row>
    <row r="23" spans="1:44" s="1" customFormat="1" ht="39.75" customHeight="1" x14ac:dyDescent="0.3">
      <c r="A23" s="213">
        <v>20</v>
      </c>
      <c r="B23" s="212" t="s">
        <v>687</v>
      </c>
      <c r="C23" s="209" t="s">
        <v>636</v>
      </c>
      <c r="D23" s="211" t="s">
        <v>601</v>
      </c>
      <c r="E23" s="209" t="s">
        <v>635</v>
      </c>
      <c r="F23" s="210" t="s">
        <v>163</v>
      </c>
      <c r="G23" s="209">
        <v>1</v>
      </c>
      <c r="H23" s="210" t="s">
        <v>68</v>
      </c>
      <c r="I23" s="209" t="s">
        <v>75</v>
      </c>
      <c r="J23" s="209" t="s">
        <v>44</v>
      </c>
      <c r="K23" s="210" t="s">
        <v>124</v>
      </c>
      <c r="L23" s="210" t="s">
        <v>67</v>
      </c>
      <c r="M23" s="209" t="s">
        <v>456</v>
      </c>
      <c r="N23" s="208" t="s">
        <v>529</v>
      </c>
      <c r="O23" s="209"/>
      <c r="P23" s="208"/>
      <c r="Q23" s="209" t="s">
        <v>67</v>
      </c>
      <c r="R23" s="209" t="s">
        <v>67</v>
      </c>
      <c r="S23" s="208"/>
      <c r="T23" s="209"/>
      <c r="U23" s="208"/>
      <c r="V23" s="209"/>
      <c r="W23" s="208" t="s">
        <v>91</v>
      </c>
      <c r="X23" s="209" t="s">
        <v>67</v>
      </c>
      <c r="Y23" s="208"/>
      <c r="Z23" s="207"/>
      <c r="AA23" s="206" t="s">
        <v>530</v>
      </c>
      <c r="AB23" s="248"/>
      <c r="AC23" s="248"/>
      <c r="AD23" s="248"/>
      <c r="AE23" s="248"/>
      <c r="AF23" s="248"/>
      <c r="AG23" s="248">
        <v>1</v>
      </c>
      <c r="AH23" s="248"/>
      <c r="AI23" s="248">
        <v>1</v>
      </c>
      <c r="AJ23" s="248"/>
      <c r="AK23" s="248">
        <v>1</v>
      </c>
      <c r="AL23" s="248"/>
      <c r="AM23" s="248"/>
      <c r="AN23" s="248"/>
      <c r="AO23" s="248"/>
      <c r="AP23" s="248"/>
      <c r="AQ23" s="248"/>
      <c r="AR23" s="61"/>
    </row>
    <row r="24" spans="1:44" s="1" customFormat="1" ht="39.75" customHeight="1" x14ac:dyDescent="0.3">
      <c r="A24" s="213">
        <v>21</v>
      </c>
      <c r="B24" s="212" t="s">
        <v>688</v>
      </c>
      <c r="C24" s="209" t="s">
        <v>631</v>
      </c>
      <c r="D24" s="211" t="s">
        <v>601</v>
      </c>
      <c r="E24" s="209" t="s">
        <v>618</v>
      </c>
      <c r="F24" s="210" t="s">
        <v>604</v>
      </c>
      <c r="G24" s="209">
        <v>1</v>
      </c>
      <c r="H24" s="210" t="s">
        <v>68</v>
      </c>
      <c r="I24" s="209" t="s">
        <v>66</v>
      </c>
      <c r="J24" s="209" t="s">
        <v>44</v>
      </c>
      <c r="K24" s="210" t="s">
        <v>155</v>
      </c>
      <c r="L24" s="210" t="s">
        <v>67</v>
      </c>
      <c r="M24" s="209" t="s">
        <v>623</v>
      </c>
      <c r="N24" s="208" t="s">
        <v>529</v>
      </c>
      <c r="O24" s="209"/>
      <c r="P24" s="208"/>
      <c r="Q24" s="209" t="s">
        <v>67</v>
      </c>
      <c r="R24" s="209" t="s">
        <v>67</v>
      </c>
      <c r="S24" s="208" t="s">
        <v>529</v>
      </c>
      <c r="T24" s="209"/>
      <c r="U24" s="208"/>
      <c r="V24" s="209" t="s">
        <v>529</v>
      </c>
      <c r="W24" s="208" t="s">
        <v>92</v>
      </c>
      <c r="X24" s="209" t="s">
        <v>67</v>
      </c>
      <c r="Y24" s="208"/>
      <c r="Z24" s="207"/>
      <c r="AA24" s="206" t="s">
        <v>530</v>
      </c>
      <c r="AB24" s="248">
        <v>1</v>
      </c>
      <c r="AC24" s="248"/>
      <c r="AD24" s="248"/>
      <c r="AE24" s="248"/>
      <c r="AF24" s="248"/>
      <c r="AG24" s="248"/>
      <c r="AH24" s="248"/>
      <c r="AI24" s="248">
        <v>1</v>
      </c>
      <c r="AJ24" s="248"/>
      <c r="AK24" s="248">
        <v>1</v>
      </c>
      <c r="AL24" s="248"/>
      <c r="AM24" s="248"/>
      <c r="AN24" s="248"/>
      <c r="AO24" s="248"/>
      <c r="AP24" s="248"/>
      <c r="AQ24" s="248"/>
      <c r="AR24" s="61" t="s">
        <v>625</v>
      </c>
    </row>
    <row r="25" spans="1:44" s="1" customFormat="1" ht="39.75" customHeight="1" x14ac:dyDescent="0.3">
      <c r="A25" s="213">
        <v>22</v>
      </c>
      <c r="B25" s="212" t="s">
        <v>689</v>
      </c>
      <c r="C25" s="209" t="s">
        <v>631</v>
      </c>
      <c r="D25" s="211" t="s">
        <v>601</v>
      </c>
      <c r="E25" s="209" t="s">
        <v>612</v>
      </c>
      <c r="F25" s="210" t="s">
        <v>604</v>
      </c>
      <c r="G25" s="209">
        <v>1</v>
      </c>
      <c r="H25" s="210" t="s">
        <v>68</v>
      </c>
      <c r="I25" s="209" t="s">
        <v>66</v>
      </c>
      <c r="J25" s="209" t="s">
        <v>77</v>
      </c>
      <c r="K25" s="210" t="s">
        <v>155</v>
      </c>
      <c r="L25" s="210" t="s">
        <v>67</v>
      </c>
      <c r="M25" s="209" t="s">
        <v>623</v>
      </c>
      <c r="N25" s="208" t="s">
        <v>529</v>
      </c>
      <c r="O25" s="209"/>
      <c r="P25" s="208"/>
      <c r="Q25" s="209" t="s">
        <v>67</v>
      </c>
      <c r="R25" s="209" t="s">
        <v>67</v>
      </c>
      <c r="S25" s="208" t="s">
        <v>529</v>
      </c>
      <c r="T25" s="209"/>
      <c r="U25" s="208"/>
      <c r="V25" s="209" t="s">
        <v>529</v>
      </c>
      <c r="W25" s="208" t="s">
        <v>92</v>
      </c>
      <c r="X25" s="209" t="s">
        <v>67</v>
      </c>
      <c r="Y25" s="208"/>
      <c r="Z25" s="207"/>
      <c r="AA25" s="206" t="s">
        <v>530</v>
      </c>
      <c r="AB25" s="248">
        <v>1</v>
      </c>
      <c r="AC25" s="248">
        <v>1</v>
      </c>
      <c r="AD25" s="248">
        <v>1</v>
      </c>
      <c r="AE25" s="248"/>
      <c r="AF25" s="248"/>
      <c r="AG25" s="248"/>
      <c r="AH25" s="248"/>
      <c r="AI25" s="248">
        <v>1</v>
      </c>
      <c r="AJ25" s="248"/>
      <c r="AK25" s="248"/>
      <c r="AL25" s="248"/>
      <c r="AM25" s="248"/>
      <c r="AN25" s="248"/>
      <c r="AO25" s="248"/>
      <c r="AP25" s="248"/>
      <c r="AQ25" s="248"/>
      <c r="AR25" s="61" t="s">
        <v>625</v>
      </c>
    </row>
    <row r="26" spans="1:44" s="1" customFormat="1" ht="39.75" customHeight="1" x14ac:dyDescent="0.3">
      <c r="A26" s="213">
        <v>23</v>
      </c>
      <c r="B26" s="212" t="s">
        <v>690</v>
      </c>
      <c r="C26" s="209" t="s">
        <v>631</v>
      </c>
      <c r="D26" s="211" t="s">
        <v>601</v>
      </c>
      <c r="E26" s="209" t="s">
        <v>630</v>
      </c>
      <c r="F26" s="210" t="s">
        <v>170</v>
      </c>
      <c r="G26" s="209">
        <v>2</v>
      </c>
      <c r="H26" s="210" t="s">
        <v>68</v>
      </c>
      <c r="I26" s="209" t="s">
        <v>633</v>
      </c>
      <c r="J26" s="209" t="s">
        <v>80</v>
      </c>
      <c r="K26" s="210" t="s">
        <v>131</v>
      </c>
      <c r="L26" s="210" t="s">
        <v>600</v>
      </c>
      <c r="M26" s="209" t="s">
        <v>456</v>
      </c>
      <c r="N26" s="208" t="s">
        <v>529</v>
      </c>
      <c r="O26" s="209"/>
      <c r="P26" s="208"/>
      <c r="Q26" s="209" t="s">
        <v>67</v>
      </c>
      <c r="R26" s="209" t="s">
        <v>67</v>
      </c>
      <c r="S26" s="208"/>
      <c r="T26" s="209"/>
      <c r="U26" s="208"/>
      <c r="V26" s="209" t="s">
        <v>529</v>
      </c>
      <c r="W26" s="208" t="s">
        <v>91</v>
      </c>
      <c r="X26" s="209" t="s">
        <v>67</v>
      </c>
      <c r="Y26" s="208"/>
      <c r="Z26" s="207"/>
      <c r="AA26" s="206" t="s">
        <v>530</v>
      </c>
      <c r="AB26" s="248">
        <v>1</v>
      </c>
      <c r="AC26" s="248"/>
      <c r="AD26" s="248"/>
      <c r="AE26" s="248"/>
      <c r="AF26" s="248"/>
      <c r="AG26" s="248"/>
      <c r="AH26" s="248"/>
      <c r="AI26" s="248">
        <v>1</v>
      </c>
      <c r="AJ26" s="248"/>
      <c r="AK26" s="248"/>
      <c r="AL26" s="248"/>
      <c r="AM26" s="248"/>
      <c r="AN26" s="248"/>
      <c r="AO26" s="248"/>
      <c r="AP26" s="248"/>
      <c r="AQ26" s="248"/>
      <c r="AR26" s="61" t="s">
        <v>632</v>
      </c>
    </row>
    <row r="27" spans="1:44" s="1" customFormat="1" ht="39.75" customHeight="1" x14ac:dyDescent="0.3">
      <c r="A27" s="213">
        <v>24</v>
      </c>
      <c r="B27" s="212" t="s">
        <v>691</v>
      </c>
      <c r="C27" s="209" t="s">
        <v>631</v>
      </c>
      <c r="D27" s="211" t="s">
        <v>601</v>
      </c>
      <c r="E27" s="209" t="s">
        <v>630</v>
      </c>
      <c r="F27" s="210" t="s">
        <v>163</v>
      </c>
      <c r="G27" s="209">
        <v>1</v>
      </c>
      <c r="H27" s="210" t="s">
        <v>68</v>
      </c>
      <c r="I27" s="209" t="s">
        <v>75</v>
      </c>
      <c r="J27" s="209" t="s">
        <v>120</v>
      </c>
      <c r="K27" s="210" t="s">
        <v>125</v>
      </c>
      <c r="L27" s="210" t="s">
        <v>67</v>
      </c>
      <c r="M27" s="209" t="s">
        <v>457</v>
      </c>
      <c r="N27" s="208"/>
      <c r="O27" s="209"/>
      <c r="P27" s="208"/>
      <c r="Q27" s="209" t="s">
        <v>67</v>
      </c>
      <c r="R27" s="209" t="s">
        <v>67</v>
      </c>
      <c r="S27" s="208"/>
      <c r="T27" s="209"/>
      <c r="U27" s="208"/>
      <c r="V27" s="209" t="s">
        <v>529</v>
      </c>
      <c r="W27" s="208" t="s">
        <v>92</v>
      </c>
      <c r="X27" s="209" t="s">
        <v>67</v>
      </c>
      <c r="Y27" s="208"/>
      <c r="Z27" s="207"/>
      <c r="AA27" s="206" t="s">
        <v>530</v>
      </c>
      <c r="AB27" s="248">
        <v>1</v>
      </c>
      <c r="AC27" s="248"/>
      <c r="AD27" s="248"/>
      <c r="AE27" s="248"/>
      <c r="AF27" s="248"/>
      <c r="AG27" s="248"/>
      <c r="AH27" s="248"/>
      <c r="AI27" s="248">
        <v>1</v>
      </c>
      <c r="AJ27" s="248"/>
      <c r="AK27" s="248"/>
      <c r="AL27" s="248"/>
      <c r="AM27" s="248"/>
      <c r="AN27" s="248"/>
      <c r="AO27" s="248"/>
      <c r="AP27" s="248"/>
      <c r="AQ27" s="248"/>
      <c r="AR27" s="61"/>
    </row>
    <row r="28" spans="1:44" s="1" customFormat="1" ht="39.75" customHeight="1" x14ac:dyDescent="0.3">
      <c r="A28" s="213">
        <v>25</v>
      </c>
      <c r="B28" s="212" t="s">
        <v>692</v>
      </c>
      <c r="C28" s="209" t="s">
        <v>631</v>
      </c>
      <c r="D28" s="211" t="s">
        <v>601</v>
      </c>
      <c r="E28" s="209" t="s">
        <v>630</v>
      </c>
      <c r="F28" s="210" t="s">
        <v>163</v>
      </c>
      <c r="G28" s="209">
        <v>1</v>
      </c>
      <c r="H28" s="210" t="s">
        <v>68</v>
      </c>
      <c r="I28" s="209" t="s">
        <v>75</v>
      </c>
      <c r="J28" s="209" t="s">
        <v>120</v>
      </c>
      <c r="K28" s="210" t="s">
        <v>131</v>
      </c>
      <c r="L28" s="210" t="s">
        <v>67</v>
      </c>
      <c r="M28" s="209" t="s">
        <v>457</v>
      </c>
      <c r="N28" s="208" t="s">
        <v>529</v>
      </c>
      <c r="O28" s="209"/>
      <c r="P28" s="208"/>
      <c r="Q28" s="209" t="s">
        <v>67</v>
      </c>
      <c r="R28" s="209" t="s">
        <v>67</v>
      </c>
      <c r="S28" s="208"/>
      <c r="T28" s="209"/>
      <c r="U28" s="208"/>
      <c r="V28" s="209" t="s">
        <v>529</v>
      </c>
      <c r="W28" s="208" t="s">
        <v>91</v>
      </c>
      <c r="X28" s="209" t="s">
        <v>67</v>
      </c>
      <c r="Y28" s="208"/>
      <c r="Z28" s="207"/>
      <c r="AA28" s="206" t="s">
        <v>530</v>
      </c>
      <c r="AB28" s="248">
        <v>1</v>
      </c>
      <c r="AC28" s="248"/>
      <c r="AD28" s="248"/>
      <c r="AE28" s="248"/>
      <c r="AF28" s="248"/>
      <c r="AG28" s="248"/>
      <c r="AH28" s="248"/>
      <c r="AI28" s="248">
        <v>1</v>
      </c>
      <c r="AJ28" s="248"/>
      <c r="AK28" s="248"/>
      <c r="AL28" s="248"/>
      <c r="AM28" s="248"/>
      <c r="AN28" s="248"/>
      <c r="AO28" s="248"/>
      <c r="AP28" s="248"/>
      <c r="AQ28" s="248"/>
      <c r="AR28" s="61"/>
    </row>
    <row r="29" spans="1:44" s="1" customFormat="1" ht="39.75" customHeight="1" x14ac:dyDescent="0.3">
      <c r="A29" s="213">
        <v>26</v>
      </c>
      <c r="B29" s="212" t="s">
        <v>693</v>
      </c>
      <c r="C29" s="209" t="s">
        <v>626</v>
      </c>
      <c r="D29" s="211" t="s">
        <v>601</v>
      </c>
      <c r="E29" s="209" t="s">
        <v>573</v>
      </c>
      <c r="F29" s="210" t="s">
        <v>163</v>
      </c>
      <c r="G29" s="209">
        <v>1</v>
      </c>
      <c r="H29" s="210" t="s">
        <v>68</v>
      </c>
      <c r="I29" s="209" t="s">
        <v>66</v>
      </c>
      <c r="J29" s="209" t="s">
        <v>77</v>
      </c>
      <c r="K29" s="210" t="s">
        <v>155</v>
      </c>
      <c r="L29" s="210" t="s">
        <v>67</v>
      </c>
      <c r="M29" s="209" t="s">
        <v>454</v>
      </c>
      <c r="N29" s="208" t="s">
        <v>529</v>
      </c>
      <c r="O29" s="209"/>
      <c r="P29" s="208"/>
      <c r="Q29" s="209" t="s">
        <v>67</v>
      </c>
      <c r="R29" s="209" t="s">
        <v>67</v>
      </c>
      <c r="S29" s="208" t="s">
        <v>529</v>
      </c>
      <c r="T29" s="209"/>
      <c r="U29" s="208"/>
      <c r="V29" s="209" t="s">
        <v>529</v>
      </c>
      <c r="W29" s="208" t="s">
        <v>92</v>
      </c>
      <c r="X29" s="209" t="s">
        <v>67</v>
      </c>
      <c r="Y29" s="208"/>
      <c r="Z29" s="207"/>
      <c r="AA29" s="206" t="s">
        <v>530</v>
      </c>
      <c r="AB29" s="248"/>
      <c r="AC29" s="248"/>
      <c r="AD29" s="248"/>
      <c r="AE29" s="248"/>
      <c r="AF29" s="248"/>
      <c r="AG29" s="248"/>
      <c r="AH29" s="248"/>
      <c r="AI29" s="248">
        <v>1</v>
      </c>
      <c r="AJ29" s="248"/>
      <c r="AK29" s="248">
        <v>1</v>
      </c>
      <c r="AL29" s="248"/>
      <c r="AM29" s="248"/>
      <c r="AN29" s="248">
        <v>1</v>
      </c>
      <c r="AO29" s="248">
        <v>1</v>
      </c>
      <c r="AP29" s="248"/>
      <c r="AQ29" s="248"/>
      <c r="AR29" s="61" t="s">
        <v>629</v>
      </c>
    </row>
    <row r="30" spans="1:44" s="1" customFormat="1" ht="39.75" customHeight="1" x14ac:dyDescent="0.3">
      <c r="A30" s="213">
        <v>27</v>
      </c>
      <c r="B30" s="212" t="s">
        <v>694</v>
      </c>
      <c r="C30" s="209" t="s">
        <v>626</v>
      </c>
      <c r="D30" s="211" t="s">
        <v>601</v>
      </c>
      <c r="E30" s="209" t="s">
        <v>628</v>
      </c>
      <c r="F30" s="210" t="s">
        <v>163</v>
      </c>
      <c r="G30" s="209">
        <v>1</v>
      </c>
      <c r="H30" s="210" t="s">
        <v>68</v>
      </c>
      <c r="I30" s="209" t="s">
        <v>66</v>
      </c>
      <c r="J30" s="209" t="s">
        <v>120</v>
      </c>
      <c r="K30" s="210" t="s">
        <v>155</v>
      </c>
      <c r="L30" s="210" t="s">
        <v>67</v>
      </c>
      <c r="M30" s="209" t="s">
        <v>457</v>
      </c>
      <c r="N30" s="208" t="s">
        <v>529</v>
      </c>
      <c r="O30" s="209"/>
      <c r="P30" s="208"/>
      <c r="Q30" s="209" t="s">
        <v>67</v>
      </c>
      <c r="R30" s="209" t="s">
        <v>67</v>
      </c>
      <c r="S30" s="208" t="s">
        <v>529</v>
      </c>
      <c r="T30" s="209"/>
      <c r="U30" s="208"/>
      <c r="V30" s="209" t="s">
        <v>529</v>
      </c>
      <c r="W30" s="208" t="s">
        <v>92</v>
      </c>
      <c r="X30" s="209" t="s">
        <v>67</v>
      </c>
      <c r="Y30" s="208"/>
      <c r="Z30" s="207"/>
      <c r="AA30" s="206" t="s">
        <v>530</v>
      </c>
      <c r="AB30" s="248"/>
      <c r="AC30" s="248"/>
      <c r="AD30" s="248"/>
      <c r="AE30" s="248"/>
      <c r="AF30" s="248"/>
      <c r="AG30" s="248"/>
      <c r="AH30" s="248"/>
      <c r="AI30" s="248">
        <v>1</v>
      </c>
      <c r="AJ30" s="248"/>
      <c r="AK30" s="248"/>
      <c r="AL30" s="248"/>
      <c r="AM30" s="248"/>
      <c r="AN30" s="248">
        <v>1</v>
      </c>
      <c r="AO30" s="248"/>
      <c r="AP30" s="248"/>
      <c r="AQ30" s="248"/>
      <c r="AR30" s="61" t="s">
        <v>695</v>
      </c>
    </row>
    <row r="31" spans="1:44" s="1" customFormat="1" ht="39.75" customHeight="1" x14ac:dyDescent="0.3">
      <c r="A31" s="213">
        <v>28</v>
      </c>
      <c r="B31" s="212" t="s">
        <v>696</v>
      </c>
      <c r="C31" s="209" t="s">
        <v>626</v>
      </c>
      <c r="D31" s="211" t="s">
        <v>601</v>
      </c>
      <c r="E31" s="209" t="s">
        <v>618</v>
      </c>
      <c r="F31" s="210" t="s">
        <v>604</v>
      </c>
      <c r="G31" s="209">
        <v>1</v>
      </c>
      <c r="H31" s="210" t="s">
        <v>68</v>
      </c>
      <c r="I31" s="209" t="s">
        <v>66</v>
      </c>
      <c r="J31" s="209" t="s">
        <v>121</v>
      </c>
      <c r="K31" s="210" t="s">
        <v>155</v>
      </c>
      <c r="L31" s="210" t="s">
        <v>67</v>
      </c>
      <c r="M31" s="209" t="s">
        <v>457</v>
      </c>
      <c r="N31" s="208" t="s">
        <v>529</v>
      </c>
      <c r="O31" s="209"/>
      <c r="P31" s="208"/>
      <c r="Q31" s="209" t="s">
        <v>67</v>
      </c>
      <c r="R31" s="209" t="s">
        <v>67</v>
      </c>
      <c r="S31" s="208" t="s">
        <v>529</v>
      </c>
      <c r="T31" s="209"/>
      <c r="U31" s="208"/>
      <c r="V31" s="209" t="s">
        <v>529</v>
      </c>
      <c r="W31" s="208" t="s">
        <v>92</v>
      </c>
      <c r="X31" s="209" t="s">
        <v>67</v>
      </c>
      <c r="Y31" s="208"/>
      <c r="Z31" s="207"/>
      <c r="AA31" s="206" t="s">
        <v>530</v>
      </c>
      <c r="AB31" s="248"/>
      <c r="AC31" s="248"/>
      <c r="AD31" s="248"/>
      <c r="AE31" s="248">
        <v>1</v>
      </c>
      <c r="AF31" s="248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61" t="s">
        <v>627</v>
      </c>
    </row>
    <row r="32" spans="1:44" s="1" customFormat="1" ht="39.75" customHeight="1" x14ac:dyDescent="0.3">
      <c r="A32" s="213">
        <v>29</v>
      </c>
      <c r="B32" s="212" t="s">
        <v>697</v>
      </c>
      <c r="C32" s="209" t="s">
        <v>626</v>
      </c>
      <c r="D32" s="211" t="s">
        <v>601</v>
      </c>
      <c r="E32" s="209" t="s">
        <v>612</v>
      </c>
      <c r="F32" s="210" t="s">
        <v>604</v>
      </c>
      <c r="G32" s="209">
        <v>1</v>
      </c>
      <c r="H32" s="210" t="s">
        <v>68</v>
      </c>
      <c r="I32" s="209" t="s">
        <v>66</v>
      </c>
      <c r="J32" s="209" t="s">
        <v>120</v>
      </c>
      <c r="K32" s="210" t="s">
        <v>155</v>
      </c>
      <c r="L32" s="210" t="s">
        <v>67</v>
      </c>
      <c r="M32" s="209" t="s">
        <v>457</v>
      </c>
      <c r="N32" s="208" t="s">
        <v>529</v>
      </c>
      <c r="O32" s="209"/>
      <c r="P32" s="208"/>
      <c r="Q32" s="209" t="s">
        <v>67</v>
      </c>
      <c r="R32" s="209" t="s">
        <v>67</v>
      </c>
      <c r="S32" s="208" t="s">
        <v>529</v>
      </c>
      <c r="T32" s="209" t="s">
        <v>529</v>
      </c>
      <c r="U32" s="208"/>
      <c r="V32" s="209" t="s">
        <v>529</v>
      </c>
      <c r="W32" s="208" t="s">
        <v>92</v>
      </c>
      <c r="X32" s="209" t="s">
        <v>49</v>
      </c>
      <c r="Y32" s="208" t="s">
        <v>529</v>
      </c>
      <c r="Z32" s="207"/>
      <c r="AA32" s="206" t="s">
        <v>530</v>
      </c>
      <c r="AB32" s="248">
        <v>1</v>
      </c>
      <c r="AC32" s="248"/>
      <c r="AD32" s="248"/>
      <c r="AE32" s="248"/>
      <c r="AF32" s="248"/>
      <c r="AG32" s="248"/>
      <c r="AH32" s="248"/>
      <c r="AI32" s="248">
        <v>1</v>
      </c>
      <c r="AJ32" s="248"/>
      <c r="AK32" s="248"/>
      <c r="AL32" s="248"/>
      <c r="AM32" s="248"/>
      <c r="AN32" s="248"/>
      <c r="AO32" s="248"/>
      <c r="AP32" s="248"/>
      <c r="AQ32" s="248"/>
      <c r="AR32" s="61" t="s">
        <v>625</v>
      </c>
    </row>
    <row r="33" spans="1:44" s="1" customFormat="1" ht="39.75" customHeight="1" x14ac:dyDescent="0.3">
      <c r="A33" s="213">
        <v>30</v>
      </c>
      <c r="B33" s="212" t="s">
        <v>698</v>
      </c>
      <c r="C33" s="209" t="s">
        <v>620</v>
      </c>
      <c r="D33" s="209" t="s">
        <v>621</v>
      </c>
      <c r="E33" s="209" t="s">
        <v>618</v>
      </c>
      <c r="F33" s="210" t="s">
        <v>604</v>
      </c>
      <c r="G33" s="209">
        <v>1</v>
      </c>
      <c r="H33" s="210" t="s">
        <v>68</v>
      </c>
      <c r="I33" s="209" t="s">
        <v>66</v>
      </c>
      <c r="J33" s="209" t="s">
        <v>121</v>
      </c>
      <c r="K33" s="210" t="s">
        <v>155</v>
      </c>
      <c r="L33" s="210" t="s">
        <v>67</v>
      </c>
      <c r="M33" s="209" t="s">
        <v>66</v>
      </c>
      <c r="N33" s="208" t="s">
        <v>529</v>
      </c>
      <c r="O33" s="209"/>
      <c r="P33" s="208"/>
      <c r="Q33" s="209" t="s">
        <v>67</v>
      </c>
      <c r="R33" s="209" t="s">
        <v>67</v>
      </c>
      <c r="S33" s="208"/>
      <c r="T33" s="209"/>
      <c r="U33" s="208"/>
      <c r="V33" s="209"/>
      <c r="W33" s="208" t="s">
        <v>92</v>
      </c>
      <c r="X33" s="209" t="s">
        <v>67</v>
      </c>
      <c r="Y33" s="208"/>
      <c r="Z33" s="207"/>
      <c r="AA33" s="206" t="s">
        <v>530</v>
      </c>
      <c r="AB33" s="248"/>
      <c r="AC33" s="248"/>
      <c r="AD33" s="248"/>
      <c r="AE33" s="248">
        <v>1</v>
      </c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61" t="s">
        <v>624</v>
      </c>
    </row>
    <row r="34" spans="1:44" s="1" customFormat="1" ht="39.75" customHeight="1" x14ac:dyDescent="0.3">
      <c r="A34" s="213">
        <v>31</v>
      </c>
      <c r="B34" s="212" t="s">
        <v>699</v>
      </c>
      <c r="C34" s="209" t="s">
        <v>620</v>
      </c>
      <c r="D34" s="211" t="s">
        <v>601</v>
      </c>
      <c r="E34" s="209" t="s">
        <v>612</v>
      </c>
      <c r="F34" s="210" t="s">
        <v>604</v>
      </c>
      <c r="G34" s="209">
        <v>1</v>
      </c>
      <c r="H34" s="210" t="s">
        <v>68</v>
      </c>
      <c r="I34" s="209" t="s">
        <v>66</v>
      </c>
      <c r="J34" s="209" t="s">
        <v>77</v>
      </c>
      <c r="K34" s="210" t="s">
        <v>155</v>
      </c>
      <c r="L34" s="210" t="s">
        <v>67</v>
      </c>
      <c r="M34" s="209" t="s">
        <v>623</v>
      </c>
      <c r="N34" s="208" t="s">
        <v>529</v>
      </c>
      <c r="O34" s="209"/>
      <c r="P34" s="208"/>
      <c r="Q34" s="209" t="s">
        <v>67</v>
      </c>
      <c r="R34" s="209" t="s">
        <v>67</v>
      </c>
      <c r="S34" s="208" t="s">
        <v>529</v>
      </c>
      <c r="T34" s="209" t="s">
        <v>529</v>
      </c>
      <c r="U34" s="208"/>
      <c r="V34" s="209" t="s">
        <v>529</v>
      </c>
      <c r="W34" s="208" t="s">
        <v>91</v>
      </c>
      <c r="X34" s="209" t="s">
        <v>67</v>
      </c>
      <c r="Y34" s="208" t="s">
        <v>529</v>
      </c>
      <c r="Z34" s="207"/>
      <c r="AA34" s="206" t="s">
        <v>530</v>
      </c>
      <c r="AB34" s="248"/>
      <c r="AC34" s="248"/>
      <c r="AD34" s="248"/>
      <c r="AE34" s="248"/>
      <c r="AF34" s="248"/>
      <c r="AG34" s="248"/>
      <c r="AH34" s="248"/>
      <c r="AI34" s="248">
        <v>1</v>
      </c>
      <c r="AJ34" s="248"/>
      <c r="AK34" s="248">
        <v>1</v>
      </c>
      <c r="AL34" s="248"/>
      <c r="AM34" s="248"/>
      <c r="AN34" s="248"/>
      <c r="AO34" s="248"/>
      <c r="AP34" s="248"/>
      <c r="AQ34" s="248"/>
      <c r="AR34" s="61" t="s">
        <v>622</v>
      </c>
    </row>
    <row r="35" spans="1:44" s="1" customFormat="1" ht="39.75" customHeight="1" x14ac:dyDescent="0.3">
      <c r="A35" s="213">
        <v>32</v>
      </c>
      <c r="B35" s="212" t="s">
        <v>700</v>
      </c>
      <c r="C35" s="209" t="s">
        <v>620</v>
      </c>
      <c r="D35" s="211" t="s">
        <v>601</v>
      </c>
      <c r="E35" s="209" t="s">
        <v>621</v>
      </c>
      <c r="F35" s="210" t="s">
        <v>163</v>
      </c>
      <c r="G35" s="209">
        <v>1</v>
      </c>
      <c r="H35" s="210" t="s">
        <v>68</v>
      </c>
      <c r="I35" s="209" t="s">
        <v>197</v>
      </c>
      <c r="J35" s="209" t="s">
        <v>120</v>
      </c>
      <c r="K35" s="210" t="s">
        <v>125</v>
      </c>
      <c r="L35" s="210" t="s">
        <v>67</v>
      </c>
      <c r="M35" s="209" t="s">
        <v>457</v>
      </c>
      <c r="N35" s="208"/>
      <c r="O35" s="209"/>
      <c r="P35" s="208"/>
      <c r="Q35" s="209" t="s">
        <v>67</v>
      </c>
      <c r="R35" s="209" t="s">
        <v>67</v>
      </c>
      <c r="S35" s="208" t="s">
        <v>529</v>
      </c>
      <c r="T35" s="209" t="s">
        <v>529</v>
      </c>
      <c r="U35" s="208"/>
      <c r="V35" s="209" t="s">
        <v>529</v>
      </c>
      <c r="W35" s="208" t="s">
        <v>91</v>
      </c>
      <c r="X35" s="209" t="s">
        <v>67</v>
      </c>
      <c r="Y35" s="208" t="s">
        <v>529</v>
      </c>
      <c r="Z35" s="207"/>
      <c r="AA35" s="206" t="s">
        <v>530</v>
      </c>
      <c r="AB35" s="248">
        <v>1</v>
      </c>
      <c r="AC35" s="248"/>
      <c r="AD35" s="248"/>
      <c r="AE35" s="248"/>
      <c r="AF35" s="248"/>
      <c r="AG35" s="248"/>
      <c r="AH35" s="248"/>
      <c r="AI35" s="248">
        <v>1</v>
      </c>
      <c r="AJ35" s="248"/>
      <c r="AK35" s="248"/>
      <c r="AL35" s="248"/>
      <c r="AM35" s="248"/>
      <c r="AN35" s="248"/>
      <c r="AO35" s="248"/>
      <c r="AP35" s="248"/>
      <c r="AQ35" s="248"/>
      <c r="AR35" s="61"/>
    </row>
    <row r="36" spans="1:44" s="1" customFormat="1" ht="39.75" customHeight="1" x14ac:dyDescent="0.3">
      <c r="A36" s="213">
        <v>33</v>
      </c>
      <c r="B36" s="212" t="s">
        <v>701</v>
      </c>
      <c r="C36" s="209" t="s">
        <v>620</v>
      </c>
      <c r="D36" s="211" t="s">
        <v>601</v>
      </c>
      <c r="E36" s="209" t="s">
        <v>619</v>
      </c>
      <c r="F36" s="210" t="s">
        <v>170</v>
      </c>
      <c r="G36" s="209">
        <v>2</v>
      </c>
      <c r="H36" s="210" t="s">
        <v>39</v>
      </c>
      <c r="I36" s="209" t="s">
        <v>151</v>
      </c>
      <c r="J36" s="209" t="s">
        <v>80</v>
      </c>
      <c r="K36" s="210" t="s">
        <v>139</v>
      </c>
      <c r="L36" s="210" t="s">
        <v>143</v>
      </c>
      <c r="M36" s="209" t="s">
        <v>456</v>
      </c>
      <c r="N36" s="208" t="s">
        <v>529</v>
      </c>
      <c r="O36" s="209"/>
      <c r="P36" s="208"/>
      <c r="Q36" s="209" t="s">
        <v>67</v>
      </c>
      <c r="R36" s="209" t="s">
        <v>67</v>
      </c>
      <c r="S36" s="208"/>
      <c r="T36" s="209"/>
      <c r="U36" s="208"/>
      <c r="V36" s="209" t="s">
        <v>529</v>
      </c>
      <c r="W36" s="208" t="s">
        <v>92</v>
      </c>
      <c r="X36" s="209" t="s">
        <v>67</v>
      </c>
      <c r="Y36" s="208"/>
      <c r="Z36" s="207"/>
      <c r="AA36" s="206" t="s">
        <v>530</v>
      </c>
      <c r="AB36" s="248">
        <v>1</v>
      </c>
      <c r="AC36" s="248"/>
      <c r="AD36" s="248"/>
      <c r="AE36" s="248"/>
      <c r="AF36" s="248"/>
      <c r="AG36" s="248"/>
      <c r="AH36" s="248"/>
      <c r="AI36" s="248">
        <v>1</v>
      </c>
      <c r="AJ36" s="248"/>
      <c r="AK36" s="248"/>
      <c r="AL36" s="248"/>
      <c r="AM36" s="248"/>
      <c r="AN36" s="248"/>
      <c r="AO36" s="248"/>
      <c r="AP36" s="248"/>
      <c r="AQ36" s="248"/>
      <c r="AR36" s="61"/>
    </row>
    <row r="37" spans="1:44" s="1" customFormat="1" ht="39.75" customHeight="1" x14ac:dyDescent="0.3">
      <c r="A37" s="213">
        <v>34</v>
      </c>
      <c r="B37" s="212" t="s">
        <v>702</v>
      </c>
      <c r="C37" s="209" t="s">
        <v>568</v>
      </c>
      <c r="D37" s="211" t="s">
        <v>613</v>
      </c>
      <c r="E37" s="209" t="s">
        <v>618</v>
      </c>
      <c r="F37" s="210" t="s">
        <v>66</v>
      </c>
      <c r="G37" s="209">
        <v>1</v>
      </c>
      <c r="H37" s="210" t="s">
        <v>66</v>
      </c>
      <c r="I37" s="209" t="s">
        <v>66</v>
      </c>
      <c r="J37" s="209" t="s">
        <v>66</v>
      </c>
      <c r="K37" s="210" t="s">
        <v>66</v>
      </c>
      <c r="L37" s="210" t="s">
        <v>66</v>
      </c>
      <c r="M37" s="209" t="s">
        <v>66</v>
      </c>
      <c r="N37" s="208"/>
      <c r="O37" s="209"/>
      <c r="P37" s="208"/>
      <c r="Q37" s="209" t="s">
        <v>67</v>
      </c>
      <c r="R37" s="209" t="s">
        <v>67</v>
      </c>
      <c r="S37" s="208"/>
      <c r="T37" s="209"/>
      <c r="U37" s="208"/>
      <c r="V37" s="209"/>
      <c r="W37" s="208" t="s">
        <v>92</v>
      </c>
      <c r="X37" s="209" t="s">
        <v>67</v>
      </c>
      <c r="Y37" s="208"/>
      <c r="Z37" s="207"/>
      <c r="AA37" s="206" t="s">
        <v>530</v>
      </c>
      <c r="AB37" s="248"/>
      <c r="AC37" s="248"/>
      <c r="AD37" s="248"/>
      <c r="AE37" s="248">
        <v>1</v>
      </c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61" t="s">
        <v>617</v>
      </c>
    </row>
    <row r="38" spans="1:44" s="1" customFormat="1" ht="39.75" customHeight="1" x14ac:dyDescent="0.3">
      <c r="A38" s="213">
        <v>35</v>
      </c>
      <c r="B38" s="212" t="s">
        <v>703</v>
      </c>
      <c r="C38" s="209" t="s">
        <v>568</v>
      </c>
      <c r="D38" s="211" t="s">
        <v>601</v>
      </c>
      <c r="E38" s="209" t="s">
        <v>616</v>
      </c>
      <c r="F38" s="210" t="s">
        <v>162</v>
      </c>
      <c r="G38" s="209">
        <v>1</v>
      </c>
      <c r="H38" s="210" t="s">
        <v>68</v>
      </c>
      <c r="I38" s="209" t="s">
        <v>66</v>
      </c>
      <c r="J38" s="209" t="s">
        <v>120</v>
      </c>
      <c r="K38" s="210" t="s">
        <v>155</v>
      </c>
      <c r="L38" s="210" t="s">
        <v>67</v>
      </c>
      <c r="M38" s="209" t="s">
        <v>615</v>
      </c>
      <c r="N38" s="208" t="s">
        <v>529</v>
      </c>
      <c r="O38" s="209"/>
      <c r="P38" s="208"/>
      <c r="Q38" s="209" t="s">
        <v>67</v>
      </c>
      <c r="R38" s="209" t="s">
        <v>67</v>
      </c>
      <c r="S38" s="208" t="s">
        <v>529</v>
      </c>
      <c r="T38" s="209"/>
      <c r="U38" s="208"/>
      <c r="V38" s="209"/>
      <c r="W38" s="208" t="s">
        <v>91</v>
      </c>
      <c r="X38" s="209" t="s">
        <v>67</v>
      </c>
      <c r="Y38" s="208"/>
      <c r="Z38" s="207"/>
      <c r="AA38" s="206" t="s">
        <v>530</v>
      </c>
      <c r="AB38" s="248">
        <v>1</v>
      </c>
      <c r="AC38" s="248">
        <v>1</v>
      </c>
      <c r="AD38" s="248">
        <v>1</v>
      </c>
      <c r="AE38" s="248"/>
      <c r="AF38" s="248"/>
      <c r="AG38" s="248"/>
      <c r="AH38" s="248"/>
      <c r="AI38" s="248">
        <v>1</v>
      </c>
      <c r="AJ38" s="248"/>
      <c r="AK38" s="248">
        <v>1</v>
      </c>
      <c r="AL38" s="248"/>
      <c r="AM38" s="248"/>
      <c r="AN38" s="248"/>
      <c r="AO38" s="248"/>
      <c r="AP38" s="248"/>
      <c r="AQ38" s="248"/>
      <c r="AR38" s="61" t="s">
        <v>614</v>
      </c>
    </row>
    <row r="39" spans="1:44" s="1" customFormat="1" ht="39.75" customHeight="1" x14ac:dyDescent="0.3">
      <c r="A39" s="213">
        <v>36</v>
      </c>
      <c r="B39" s="212" t="s">
        <v>704</v>
      </c>
      <c r="C39" s="209" t="s">
        <v>568</v>
      </c>
      <c r="D39" s="211" t="s">
        <v>613</v>
      </c>
      <c r="E39" s="209" t="s">
        <v>612</v>
      </c>
      <c r="F39" s="210" t="s">
        <v>164</v>
      </c>
      <c r="G39" s="209">
        <v>1</v>
      </c>
      <c r="H39" s="210" t="s">
        <v>68</v>
      </c>
      <c r="I39" s="209" t="s">
        <v>76</v>
      </c>
      <c r="J39" s="209" t="s">
        <v>120</v>
      </c>
      <c r="K39" s="210" t="s">
        <v>153</v>
      </c>
      <c r="L39" s="210" t="s">
        <v>67</v>
      </c>
      <c r="M39" s="209" t="s">
        <v>456</v>
      </c>
      <c r="N39" s="208" t="s">
        <v>529</v>
      </c>
      <c r="O39" s="209"/>
      <c r="P39" s="208"/>
      <c r="Q39" s="209" t="s">
        <v>67</v>
      </c>
      <c r="R39" s="209" t="s">
        <v>67</v>
      </c>
      <c r="S39" s="208" t="s">
        <v>529</v>
      </c>
      <c r="T39" s="209"/>
      <c r="U39" s="208"/>
      <c r="V39" s="209" t="s">
        <v>529</v>
      </c>
      <c r="W39" s="208" t="s">
        <v>91</v>
      </c>
      <c r="X39" s="209" t="s">
        <v>105</v>
      </c>
      <c r="Y39" s="208"/>
      <c r="Z39" s="207"/>
      <c r="AA39" s="206" t="s">
        <v>530</v>
      </c>
      <c r="AB39" s="248">
        <v>1</v>
      </c>
      <c r="AC39" s="248"/>
      <c r="AD39" s="248"/>
      <c r="AE39" s="248"/>
      <c r="AF39" s="248"/>
      <c r="AG39" s="248"/>
      <c r="AH39" s="248"/>
      <c r="AI39" s="248">
        <v>1</v>
      </c>
      <c r="AJ39" s="248"/>
      <c r="AK39" s="248"/>
      <c r="AL39" s="248"/>
      <c r="AM39" s="248">
        <v>1</v>
      </c>
      <c r="AN39" s="248"/>
      <c r="AO39" s="248"/>
      <c r="AP39" s="248"/>
      <c r="AQ39" s="248"/>
      <c r="AR39" s="61" t="s">
        <v>611</v>
      </c>
    </row>
    <row r="40" spans="1:44" s="1" customFormat="1" ht="39.75" customHeight="1" x14ac:dyDescent="0.3">
      <c r="A40" s="213">
        <v>37</v>
      </c>
      <c r="B40" s="212" t="s">
        <v>705</v>
      </c>
      <c r="C40" s="209" t="s">
        <v>563</v>
      </c>
      <c r="D40" s="211" t="s">
        <v>601</v>
      </c>
      <c r="E40" s="209" t="s">
        <v>610</v>
      </c>
      <c r="F40" s="210" t="s">
        <v>162</v>
      </c>
      <c r="G40" s="209">
        <v>1</v>
      </c>
      <c r="H40" s="210" t="s">
        <v>68</v>
      </c>
      <c r="I40" s="209" t="s">
        <v>66</v>
      </c>
      <c r="J40" s="209" t="s">
        <v>121</v>
      </c>
      <c r="K40" s="210" t="s">
        <v>125</v>
      </c>
      <c r="L40" s="210" t="s">
        <v>67</v>
      </c>
      <c r="M40" s="209" t="s">
        <v>456</v>
      </c>
      <c r="N40" s="208"/>
      <c r="O40" s="209"/>
      <c r="P40" s="208"/>
      <c r="Q40" s="209" t="s">
        <v>67</v>
      </c>
      <c r="R40" s="209" t="s">
        <v>67</v>
      </c>
      <c r="S40" s="208"/>
      <c r="T40" s="209"/>
      <c r="U40" s="208"/>
      <c r="V40" s="209" t="s">
        <v>529</v>
      </c>
      <c r="W40" s="208" t="s">
        <v>92</v>
      </c>
      <c r="X40" s="209" t="s">
        <v>67</v>
      </c>
      <c r="Y40" s="208"/>
      <c r="Z40" s="207"/>
      <c r="AA40" s="206" t="s">
        <v>530</v>
      </c>
      <c r="AB40" s="248">
        <v>1</v>
      </c>
      <c r="AC40" s="248">
        <v>1</v>
      </c>
      <c r="AD40" s="248">
        <v>1</v>
      </c>
      <c r="AE40" s="248"/>
      <c r="AF40" s="248"/>
      <c r="AG40" s="248"/>
      <c r="AH40" s="248"/>
      <c r="AI40" s="248">
        <v>1</v>
      </c>
      <c r="AJ40" s="248"/>
      <c r="AK40" s="248"/>
      <c r="AL40" s="248">
        <v>1</v>
      </c>
      <c r="AM40" s="248"/>
      <c r="AN40" s="248"/>
      <c r="AO40" s="248"/>
      <c r="AP40" s="248"/>
      <c r="AQ40" s="248"/>
      <c r="AR40" s="61" t="s">
        <v>609</v>
      </c>
    </row>
    <row r="41" spans="1:44" s="1" customFormat="1" ht="39.75" customHeight="1" x14ac:dyDescent="0.3">
      <c r="A41" s="213">
        <v>38</v>
      </c>
      <c r="B41" s="212" t="s">
        <v>706</v>
      </c>
      <c r="C41" s="209" t="s">
        <v>563</v>
      </c>
      <c r="D41" s="211" t="s">
        <v>601</v>
      </c>
      <c r="E41" s="209" t="s">
        <v>66</v>
      </c>
      <c r="F41" s="210" t="s">
        <v>66</v>
      </c>
      <c r="G41" s="209">
        <v>1</v>
      </c>
      <c r="H41" s="210" t="s">
        <v>66</v>
      </c>
      <c r="I41" s="209" t="s">
        <v>66</v>
      </c>
      <c r="J41" s="209" t="s">
        <v>66</v>
      </c>
      <c r="K41" s="210" t="s">
        <v>66</v>
      </c>
      <c r="L41" s="210" t="s">
        <v>66</v>
      </c>
      <c r="M41" s="209" t="s">
        <v>66</v>
      </c>
      <c r="N41" s="208"/>
      <c r="O41" s="209"/>
      <c r="P41" s="208"/>
      <c r="Q41" s="209" t="s">
        <v>67</v>
      </c>
      <c r="R41" s="209" t="s">
        <v>67</v>
      </c>
      <c r="S41" s="208"/>
      <c r="T41" s="209"/>
      <c r="U41" s="208"/>
      <c r="V41" s="209" t="s">
        <v>529</v>
      </c>
      <c r="W41" s="208" t="s">
        <v>92</v>
      </c>
      <c r="X41" s="209" t="s">
        <v>67</v>
      </c>
      <c r="Y41" s="208"/>
      <c r="Z41" s="207"/>
      <c r="AA41" s="206" t="s">
        <v>530</v>
      </c>
      <c r="AB41" s="248"/>
      <c r="AC41" s="248"/>
      <c r="AD41" s="248"/>
      <c r="AE41" s="248">
        <v>1</v>
      </c>
      <c r="AF41" s="248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61"/>
    </row>
    <row r="42" spans="1:44" s="1" customFormat="1" ht="39.75" customHeight="1" x14ac:dyDescent="0.3">
      <c r="A42" s="213">
        <v>39</v>
      </c>
      <c r="B42" s="212" t="s">
        <v>707</v>
      </c>
      <c r="C42" s="209" t="s">
        <v>563</v>
      </c>
      <c r="D42" s="211" t="s">
        <v>601</v>
      </c>
      <c r="E42" s="209" t="s">
        <v>602</v>
      </c>
      <c r="F42" s="210" t="s">
        <v>163</v>
      </c>
      <c r="G42" s="209">
        <v>1</v>
      </c>
      <c r="H42" s="210" t="s">
        <v>68</v>
      </c>
      <c r="I42" s="209" t="s">
        <v>197</v>
      </c>
      <c r="J42" s="209" t="s">
        <v>120</v>
      </c>
      <c r="K42" s="210" t="s">
        <v>125</v>
      </c>
      <c r="L42" s="210" t="s">
        <v>67</v>
      </c>
      <c r="M42" s="209" t="s">
        <v>66</v>
      </c>
      <c r="N42" s="208"/>
      <c r="O42" s="209"/>
      <c r="P42" s="208"/>
      <c r="Q42" s="209" t="s">
        <v>67</v>
      </c>
      <c r="R42" s="209" t="s">
        <v>67</v>
      </c>
      <c r="S42" s="208"/>
      <c r="T42" s="209"/>
      <c r="U42" s="208"/>
      <c r="V42" s="209" t="s">
        <v>529</v>
      </c>
      <c r="W42" s="208" t="s">
        <v>92</v>
      </c>
      <c r="X42" s="209" t="s">
        <v>67</v>
      </c>
      <c r="Y42" s="208"/>
      <c r="Z42" s="207"/>
      <c r="AA42" s="206" t="s">
        <v>530</v>
      </c>
      <c r="AB42" s="248"/>
      <c r="AC42" s="248"/>
      <c r="AD42" s="248"/>
      <c r="AE42" s="248">
        <v>1</v>
      </c>
      <c r="AF42" s="248"/>
      <c r="AG42" s="248"/>
      <c r="AH42" s="248"/>
      <c r="AI42" s="248"/>
      <c r="AJ42" s="248"/>
      <c r="AK42" s="248"/>
      <c r="AL42" s="248"/>
      <c r="AM42" s="248"/>
      <c r="AN42" s="248"/>
      <c r="AO42" s="248"/>
      <c r="AP42" s="248"/>
      <c r="AQ42" s="248"/>
      <c r="AR42" s="61" t="s">
        <v>608</v>
      </c>
    </row>
    <row r="43" spans="1:44" s="1" customFormat="1" ht="39.75" customHeight="1" x14ac:dyDescent="0.3">
      <c r="A43" s="213">
        <v>40</v>
      </c>
      <c r="B43" s="212" t="s">
        <v>708</v>
      </c>
      <c r="C43" s="209" t="s">
        <v>563</v>
      </c>
      <c r="D43" s="211" t="s">
        <v>601</v>
      </c>
      <c r="E43" s="209" t="s">
        <v>602</v>
      </c>
      <c r="F43" s="210" t="s">
        <v>163</v>
      </c>
      <c r="G43" s="209">
        <v>1</v>
      </c>
      <c r="H43" s="210" t="s">
        <v>68</v>
      </c>
      <c r="I43" s="209" t="s">
        <v>197</v>
      </c>
      <c r="J43" s="209" t="s">
        <v>120</v>
      </c>
      <c r="K43" s="210" t="s">
        <v>125</v>
      </c>
      <c r="L43" s="210" t="s">
        <v>67</v>
      </c>
      <c r="M43" s="209" t="s">
        <v>66</v>
      </c>
      <c r="N43" s="208"/>
      <c r="O43" s="209"/>
      <c r="P43" s="208" t="s">
        <v>529</v>
      </c>
      <c r="Q43" s="209" t="s">
        <v>67</v>
      </c>
      <c r="R43" s="209" t="s">
        <v>67</v>
      </c>
      <c r="S43" s="208"/>
      <c r="T43" s="209"/>
      <c r="U43" s="208"/>
      <c r="V43" s="209" t="s">
        <v>529</v>
      </c>
      <c r="W43" s="208" t="s">
        <v>92</v>
      </c>
      <c r="X43" s="209" t="s">
        <v>67</v>
      </c>
      <c r="Y43" s="208"/>
      <c r="Z43" s="207"/>
      <c r="AA43" s="206" t="s">
        <v>530</v>
      </c>
      <c r="AB43" s="248"/>
      <c r="AC43" s="248"/>
      <c r="AD43" s="248"/>
      <c r="AE43" s="248">
        <v>1</v>
      </c>
      <c r="AF43" s="248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61" t="s">
        <v>607</v>
      </c>
    </row>
    <row r="44" spans="1:44" s="1" customFormat="1" ht="39.75" customHeight="1" x14ac:dyDescent="0.3">
      <c r="A44" s="213">
        <v>41</v>
      </c>
      <c r="B44" s="212" t="s">
        <v>709</v>
      </c>
      <c r="C44" s="209" t="s">
        <v>563</v>
      </c>
      <c r="D44" s="211" t="s">
        <v>601</v>
      </c>
      <c r="E44" s="209" t="s">
        <v>606</v>
      </c>
      <c r="F44" s="210" t="s">
        <v>162</v>
      </c>
      <c r="G44" s="209">
        <v>1</v>
      </c>
      <c r="H44" s="210" t="s">
        <v>68</v>
      </c>
      <c r="I44" s="209" t="s">
        <v>66</v>
      </c>
      <c r="J44" s="209" t="s">
        <v>120</v>
      </c>
      <c r="K44" s="210" t="s">
        <v>155</v>
      </c>
      <c r="L44" s="210" t="s">
        <v>67</v>
      </c>
      <c r="M44" s="209" t="s">
        <v>455</v>
      </c>
      <c r="N44" s="208" t="s">
        <v>529</v>
      </c>
      <c r="O44" s="209"/>
      <c r="P44" s="208" t="s">
        <v>529</v>
      </c>
      <c r="Q44" s="209" t="s">
        <v>67</v>
      </c>
      <c r="R44" s="209" t="s">
        <v>67</v>
      </c>
      <c r="S44" s="208" t="s">
        <v>529</v>
      </c>
      <c r="T44" s="209"/>
      <c r="U44" s="208"/>
      <c r="V44" s="209" t="s">
        <v>529</v>
      </c>
      <c r="W44" s="208" t="s">
        <v>91</v>
      </c>
      <c r="X44" s="209" t="s">
        <v>67</v>
      </c>
      <c r="Y44" s="208"/>
      <c r="Z44" s="207"/>
      <c r="AA44" s="206" t="s">
        <v>530</v>
      </c>
      <c r="AB44" s="248">
        <v>1</v>
      </c>
      <c r="AC44" s="248">
        <v>1</v>
      </c>
      <c r="AD44" s="248">
        <v>1</v>
      </c>
      <c r="AE44" s="248"/>
      <c r="AF44" s="248"/>
      <c r="AG44" s="248"/>
      <c r="AH44" s="248"/>
      <c r="AI44" s="248">
        <v>1</v>
      </c>
      <c r="AJ44" s="248"/>
      <c r="AK44" s="248"/>
      <c r="AL44" s="248"/>
      <c r="AM44" s="248"/>
      <c r="AN44" s="248"/>
      <c r="AO44" s="248"/>
      <c r="AP44" s="248"/>
      <c r="AQ44" s="248"/>
      <c r="AR44" s="61" t="s">
        <v>710</v>
      </c>
    </row>
    <row r="45" spans="1:44" s="1" customFormat="1" ht="39.75" customHeight="1" x14ac:dyDescent="0.3">
      <c r="A45" s="213">
        <v>42</v>
      </c>
      <c r="B45" s="212" t="s">
        <v>711</v>
      </c>
      <c r="C45" s="209" t="s">
        <v>563</v>
      </c>
      <c r="D45" s="211" t="s">
        <v>601</v>
      </c>
      <c r="E45" s="209" t="s">
        <v>605</v>
      </c>
      <c r="F45" s="210" t="s">
        <v>604</v>
      </c>
      <c r="G45" s="209">
        <v>1</v>
      </c>
      <c r="H45" s="210" t="s">
        <v>68</v>
      </c>
      <c r="I45" s="209" t="s">
        <v>66</v>
      </c>
      <c r="J45" s="209" t="s">
        <v>120</v>
      </c>
      <c r="K45" s="210" t="s">
        <v>131</v>
      </c>
      <c r="L45" s="210" t="s">
        <v>67</v>
      </c>
      <c r="M45" s="209" t="s">
        <v>457</v>
      </c>
      <c r="N45" s="208"/>
      <c r="O45" s="209"/>
      <c r="P45" s="208"/>
      <c r="Q45" s="209" t="s">
        <v>67</v>
      </c>
      <c r="R45" s="209" t="s">
        <v>67</v>
      </c>
      <c r="S45" s="208"/>
      <c r="T45" s="209"/>
      <c r="U45" s="208"/>
      <c r="V45" s="209" t="s">
        <v>529</v>
      </c>
      <c r="W45" s="208" t="s">
        <v>91</v>
      </c>
      <c r="X45" s="209" t="s">
        <v>67</v>
      </c>
      <c r="Y45" s="208"/>
      <c r="Z45" s="207"/>
      <c r="AA45" s="206" t="s">
        <v>530</v>
      </c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>
        <v>1</v>
      </c>
      <c r="AQ45" s="248">
        <v>1</v>
      </c>
      <c r="AR45" s="61" t="s">
        <v>603</v>
      </c>
    </row>
    <row r="46" spans="1:44" s="1" customFormat="1" ht="39.75" customHeight="1" x14ac:dyDescent="0.3">
      <c r="A46" s="213">
        <v>43</v>
      </c>
      <c r="B46" s="212" t="s">
        <v>712</v>
      </c>
      <c r="C46" s="209" t="s">
        <v>563</v>
      </c>
      <c r="D46" s="211" t="s">
        <v>601</v>
      </c>
      <c r="E46" s="209" t="s">
        <v>601</v>
      </c>
      <c r="F46" s="210" t="s">
        <v>66</v>
      </c>
      <c r="G46" s="209">
        <v>1</v>
      </c>
      <c r="H46" s="210" t="s">
        <v>66</v>
      </c>
      <c r="I46" s="209" t="s">
        <v>66</v>
      </c>
      <c r="J46" s="209" t="s">
        <v>66</v>
      </c>
      <c r="K46" s="210" t="s">
        <v>66</v>
      </c>
      <c r="L46" s="210" t="s">
        <v>67</v>
      </c>
      <c r="M46" s="209" t="s">
        <v>66</v>
      </c>
      <c r="N46" s="208"/>
      <c r="O46" s="209"/>
      <c r="P46" s="208"/>
      <c r="Q46" s="209" t="s">
        <v>67</v>
      </c>
      <c r="R46" s="209" t="s">
        <v>67</v>
      </c>
      <c r="S46" s="208"/>
      <c r="T46" s="209"/>
      <c r="U46" s="208"/>
      <c r="V46" s="209" t="s">
        <v>529</v>
      </c>
      <c r="W46" s="208" t="s">
        <v>92</v>
      </c>
      <c r="X46" s="209" t="s">
        <v>67</v>
      </c>
      <c r="Y46" s="208"/>
      <c r="Z46" s="207"/>
      <c r="AA46" s="206" t="s">
        <v>530</v>
      </c>
      <c r="AB46" s="248"/>
      <c r="AC46" s="248"/>
      <c r="AD46" s="248"/>
      <c r="AE46" s="248">
        <v>1</v>
      </c>
      <c r="AF46" s="248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61" t="s">
        <v>599</v>
      </c>
    </row>
    <row r="47" spans="1:44" s="1" customFormat="1" ht="39.75" customHeight="1" x14ac:dyDescent="0.3">
      <c r="A47" s="213">
        <v>44</v>
      </c>
      <c r="B47" s="212" t="s">
        <v>713</v>
      </c>
      <c r="C47" s="209" t="s">
        <v>563</v>
      </c>
      <c r="D47" s="211" t="s">
        <v>601</v>
      </c>
      <c r="E47" s="209" t="s">
        <v>602</v>
      </c>
      <c r="F47" s="210" t="s">
        <v>163</v>
      </c>
      <c r="G47" s="209">
        <v>1</v>
      </c>
      <c r="H47" s="210" t="s">
        <v>68</v>
      </c>
      <c r="I47" s="209" t="s">
        <v>197</v>
      </c>
      <c r="J47" s="209" t="s">
        <v>120</v>
      </c>
      <c r="K47" s="210" t="s">
        <v>125</v>
      </c>
      <c r="L47" s="210" t="s">
        <v>67</v>
      </c>
      <c r="M47" s="209" t="s">
        <v>66</v>
      </c>
      <c r="N47" s="208"/>
      <c r="O47" s="209"/>
      <c r="P47" s="208" t="s">
        <v>529</v>
      </c>
      <c r="Q47" s="209" t="s">
        <v>67</v>
      </c>
      <c r="R47" s="209" t="s">
        <v>67</v>
      </c>
      <c r="S47" s="208"/>
      <c r="T47" s="209"/>
      <c r="U47" s="208"/>
      <c r="V47" s="209" t="s">
        <v>529</v>
      </c>
      <c r="W47" s="208" t="s">
        <v>92</v>
      </c>
      <c r="X47" s="209" t="s">
        <v>67</v>
      </c>
      <c r="Y47" s="208"/>
      <c r="Z47" s="207"/>
      <c r="AA47" s="206" t="s">
        <v>530</v>
      </c>
      <c r="AB47" s="248"/>
      <c r="AC47" s="248"/>
      <c r="AD47" s="248"/>
      <c r="AE47" s="248">
        <v>1</v>
      </c>
      <c r="AF47" s="248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61" t="s">
        <v>714</v>
      </c>
    </row>
    <row r="48" spans="1:44" s="1" customFormat="1" ht="39.75" customHeight="1" thickBot="1" x14ac:dyDescent="0.35">
      <c r="A48" s="203">
        <v>45</v>
      </c>
      <c r="B48" s="202" t="s">
        <v>715</v>
      </c>
      <c r="C48" s="199" t="s">
        <v>563</v>
      </c>
      <c r="D48" s="201" t="s">
        <v>601</v>
      </c>
      <c r="E48" s="199" t="s">
        <v>601</v>
      </c>
      <c r="F48" s="200" t="s">
        <v>66</v>
      </c>
      <c r="G48" s="199">
        <v>2</v>
      </c>
      <c r="H48" s="200" t="s">
        <v>66</v>
      </c>
      <c r="I48" s="199" t="s">
        <v>66</v>
      </c>
      <c r="J48" s="199" t="s">
        <v>81</v>
      </c>
      <c r="K48" s="200" t="s">
        <v>131</v>
      </c>
      <c r="L48" s="200" t="s">
        <v>600</v>
      </c>
      <c r="M48" s="199" t="s">
        <v>66</v>
      </c>
      <c r="N48" s="198" t="s">
        <v>529</v>
      </c>
      <c r="O48" s="199"/>
      <c r="P48" s="198" t="s">
        <v>529</v>
      </c>
      <c r="Q48" s="199" t="s">
        <v>67</v>
      </c>
      <c r="R48" s="199" t="s">
        <v>67</v>
      </c>
      <c r="S48" s="198"/>
      <c r="T48" s="199"/>
      <c r="U48" s="198"/>
      <c r="V48" s="199" t="s">
        <v>529</v>
      </c>
      <c r="W48" s="198" t="s">
        <v>92</v>
      </c>
      <c r="X48" s="199" t="s">
        <v>67</v>
      </c>
      <c r="Y48" s="198"/>
      <c r="Z48" s="197"/>
      <c r="AA48" s="196" t="s">
        <v>530</v>
      </c>
      <c r="AB48" s="249"/>
      <c r="AC48" s="249"/>
      <c r="AD48" s="249"/>
      <c r="AE48" s="249">
        <v>1</v>
      </c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62" t="s">
        <v>599</v>
      </c>
    </row>
    <row r="49" spans="1:186" s="20" customFormat="1" ht="15" thickBot="1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 s="21">
        <f t="shared" ref="AB49:AQ49" ca="1" si="0">SUM(INDIRECT(ADDRESS(4,COLUMN(),4) &amp; ":" &amp; ADDRESS(ROW()-1,COLUMN(),4)))</f>
        <v>22</v>
      </c>
      <c r="AC49" s="21">
        <f t="shared" ca="1" si="0"/>
        <v>7</v>
      </c>
      <c r="AD49" s="21">
        <f t="shared" ca="1" si="0"/>
        <v>7</v>
      </c>
      <c r="AE49" s="21">
        <f t="shared" ca="1" si="0"/>
        <v>13</v>
      </c>
      <c r="AF49" s="21">
        <f t="shared" ca="1" si="0"/>
        <v>1</v>
      </c>
      <c r="AG49" s="21">
        <f t="shared" ca="1" si="0"/>
        <v>3</v>
      </c>
      <c r="AH49" s="21">
        <f t="shared" ca="1" si="0"/>
        <v>5</v>
      </c>
      <c r="AI49" s="21">
        <f t="shared" ca="1" si="0"/>
        <v>25</v>
      </c>
      <c r="AJ49" s="21">
        <f t="shared" ca="1" si="0"/>
        <v>2</v>
      </c>
      <c r="AK49" s="21">
        <f t="shared" ca="1" si="0"/>
        <v>9</v>
      </c>
      <c r="AL49" s="21">
        <f t="shared" ca="1" si="0"/>
        <v>3</v>
      </c>
      <c r="AM49" s="21">
        <f t="shared" ca="1" si="0"/>
        <v>2</v>
      </c>
      <c r="AN49" s="21">
        <f t="shared" ca="1" si="0"/>
        <v>2</v>
      </c>
      <c r="AO49" s="21">
        <f t="shared" ca="1" si="0"/>
        <v>1</v>
      </c>
      <c r="AP49" s="21">
        <f t="shared" ca="1" si="0"/>
        <v>1</v>
      </c>
      <c r="AQ49" s="21">
        <f t="shared" ca="1" si="0"/>
        <v>1</v>
      </c>
      <c r="AR49" s="22" t="s">
        <v>0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</row>
  </sheetData>
  <sheetProtection autoFilter="0"/>
  <autoFilter ref="A3:AR49" xr:uid="{00000000-0009-0000-0000-000000000000}"/>
  <mergeCells count="5">
    <mergeCell ref="F2:J2"/>
    <mergeCell ref="K2:R2"/>
    <mergeCell ref="S2:Z2"/>
    <mergeCell ref="AB2:AQ2"/>
    <mergeCell ref="S1:AA1"/>
  </mergeCells>
  <phoneticPr fontId="8" type="noConversion"/>
  <pageMargins left="0.23622047244094491" right="0.23622047244094491" top="0.59055118110236227" bottom="0.39370078740157483" header="0.11811023622047245" footer="0.11811023622047245"/>
  <pageSetup paperSize="8" scale="45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716280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6" name="Button 7">
              <controlPr defaultSize="0" print="0" autoFill="0" autoPict="0" macro="[0]!CreateDoor">
                <anchor>
                  <from>
                    <xdr:col>2</xdr:col>
                    <xdr:colOff>83820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731520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83820</xdr:rowOff>
                  </from>
                  <to>
                    <xdr:col>1</xdr:col>
                    <xdr:colOff>731520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83820</xdr:rowOff>
                  </from>
                  <to>
                    <xdr:col>4</xdr:col>
                    <xdr:colOff>754380</xdr:colOff>
                    <xdr:row>1</xdr:row>
                    <xdr:rowOff>579120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D74E-618D-4491-B512-877CF367B027}">
  <sheetPr codeName="Tabelle13">
    <pageSetUpPr fitToPage="1"/>
  </sheetPr>
  <dimension ref="A1:GI49"/>
  <sheetViews>
    <sheetView topLeftCell="N1" zoomScale="70" zoomScaleNormal="70" workbookViewId="0">
      <pane ySplit="3" topLeftCell="A45" activePane="bottomLeft" state="frozen"/>
      <selection pane="bottomLeft" activeCell="H19" sqref="H19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33203125" customWidth="1"/>
    <col min="12" max="12" width="13.3320312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33203125" customWidth="1"/>
    <col min="28" max="38" width="5.6640625" customWidth="1"/>
    <col min="39" max="39" width="52.33203125" customWidth="1"/>
  </cols>
  <sheetData>
    <row r="1" spans="1:39" ht="18.75" customHeight="1" thickBot="1" x14ac:dyDescent="0.35">
      <c r="A1" s="6" t="s">
        <v>663</v>
      </c>
      <c r="B1" s="7"/>
      <c r="C1" s="8"/>
      <c r="D1" s="8"/>
      <c r="E1" s="8"/>
      <c r="F1" s="8"/>
      <c r="G1" s="44"/>
      <c r="H1" s="44"/>
      <c r="I1" s="44"/>
      <c r="J1" s="7"/>
      <c r="K1" s="44"/>
      <c r="L1" s="44"/>
      <c r="M1" s="44"/>
      <c r="N1" s="44"/>
      <c r="O1" s="44"/>
      <c r="P1" s="44"/>
      <c r="Q1" s="44"/>
      <c r="R1" s="45"/>
      <c r="S1" s="19"/>
      <c r="T1" s="18"/>
      <c r="U1" s="18"/>
      <c r="V1" s="19"/>
      <c r="W1" s="18"/>
      <c r="X1" s="247"/>
      <c r="Y1" s="246"/>
      <c r="Z1" s="246"/>
      <c r="AA1" s="245" t="s">
        <v>662</v>
      </c>
      <c r="AB1" s="244">
        <v>1</v>
      </c>
      <c r="AC1" s="244">
        <v>2</v>
      </c>
      <c r="AD1" s="244">
        <v>3</v>
      </c>
      <c r="AE1" s="244">
        <v>4</v>
      </c>
      <c r="AF1" s="244">
        <v>5</v>
      </c>
      <c r="AG1" s="244">
        <v>6</v>
      </c>
      <c r="AH1" s="244">
        <v>7</v>
      </c>
      <c r="AI1" s="244">
        <v>8</v>
      </c>
      <c r="AJ1" s="244">
        <v>9</v>
      </c>
      <c r="AK1" s="244">
        <v>10</v>
      </c>
      <c r="AL1" s="244">
        <v>11</v>
      </c>
      <c r="AM1" s="243"/>
    </row>
    <row r="2" spans="1:39" ht="52.5" customHeight="1" thickBot="1" x14ac:dyDescent="0.35">
      <c r="A2" s="242"/>
      <c r="B2" s="241"/>
      <c r="C2" s="8"/>
      <c r="D2" s="44"/>
      <c r="E2" s="45"/>
      <c r="F2" s="308" t="s">
        <v>26</v>
      </c>
      <c r="G2" s="309"/>
      <c r="H2" s="309"/>
      <c r="I2" s="309"/>
      <c r="J2" s="310"/>
      <c r="K2" s="308" t="s">
        <v>25</v>
      </c>
      <c r="L2" s="309"/>
      <c r="M2" s="309"/>
      <c r="N2" s="309"/>
      <c r="O2" s="309"/>
      <c r="P2" s="309"/>
      <c r="Q2" s="309"/>
      <c r="R2" s="309"/>
      <c r="S2" s="308" t="s">
        <v>24</v>
      </c>
      <c r="T2" s="309"/>
      <c r="U2" s="309"/>
      <c r="V2" s="309"/>
      <c r="W2" s="309"/>
      <c r="X2" s="309"/>
      <c r="Y2" s="309"/>
      <c r="Z2" s="310"/>
      <c r="AA2" s="240" t="s">
        <v>23</v>
      </c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239" t="s">
        <v>41</v>
      </c>
    </row>
    <row r="3" spans="1:39" ht="201.75" customHeight="1" thickBot="1" x14ac:dyDescent="0.35">
      <c r="A3" s="238" t="s">
        <v>22</v>
      </c>
      <c r="B3" s="232" t="s">
        <v>21</v>
      </c>
      <c r="C3" s="232" t="s">
        <v>20</v>
      </c>
      <c r="D3" s="232" t="s">
        <v>19</v>
      </c>
      <c r="E3" s="235" t="s">
        <v>18</v>
      </c>
      <c r="F3" s="237" t="s">
        <v>27</v>
      </c>
      <c r="G3" s="236" t="s">
        <v>17</v>
      </c>
      <c r="H3" s="236" t="s">
        <v>123</v>
      </c>
      <c r="I3" s="236" t="s">
        <v>16</v>
      </c>
      <c r="J3" s="235" t="s">
        <v>15</v>
      </c>
      <c r="K3" s="234" t="s">
        <v>28</v>
      </c>
      <c r="L3" s="232" t="s">
        <v>29</v>
      </c>
      <c r="M3" s="232" t="s">
        <v>42</v>
      </c>
      <c r="N3" s="232" t="s">
        <v>14</v>
      </c>
      <c r="O3" s="232" t="s">
        <v>13</v>
      </c>
      <c r="P3" s="232" t="s">
        <v>12</v>
      </c>
      <c r="Q3" s="232" t="s">
        <v>11</v>
      </c>
      <c r="R3" s="230" t="s">
        <v>10</v>
      </c>
      <c r="S3" s="233" t="s">
        <v>9</v>
      </c>
      <c r="T3" s="232" t="s">
        <v>8</v>
      </c>
      <c r="U3" s="231" t="s">
        <v>7</v>
      </c>
      <c r="V3" s="232" t="s">
        <v>6</v>
      </c>
      <c r="W3" s="231" t="s">
        <v>5</v>
      </c>
      <c r="X3" s="232" t="s">
        <v>4</v>
      </c>
      <c r="Y3" s="231" t="s">
        <v>3</v>
      </c>
      <c r="Z3" s="230" t="s">
        <v>2</v>
      </c>
      <c r="AA3" s="229" t="s">
        <v>1</v>
      </c>
      <c r="AB3" s="228" t="s">
        <v>661</v>
      </c>
      <c r="AC3" s="228" t="s">
        <v>660</v>
      </c>
      <c r="AD3" s="228" t="s">
        <v>659</v>
      </c>
      <c r="AE3" s="228" t="s">
        <v>658</v>
      </c>
      <c r="AF3" s="228" t="s">
        <v>208</v>
      </c>
      <c r="AG3" s="228" t="s">
        <v>203</v>
      </c>
      <c r="AH3" s="228" t="s">
        <v>215</v>
      </c>
      <c r="AI3" s="228" t="s">
        <v>206</v>
      </c>
      <c r="AJ3" s="228" t="s">
        <v>657</v>
      </c>
      <c r="AK3" s="228" t="s">
        <v>280</v>
      </c>
      <c r="AL3" s="228" t="s">
        <v>297</v>
      </c>
      <c r="AM3" s="227"/>
    </row>
    <row r="4" spans="1:39" s="1" customFormat="1" ht="24.75" customHeight="1" x14ac:dyDescent="0.3">
      <c r="A4" s="226">
        <v>1</v>
      </c>
      <c r="B4" s="225">
        <v>1</v>
      </c>
      <c r="C4" s="222" t="s">
        <v>651</v>
      </c>
      <c r="D4" s="224" t="s">
        <v>656</v>
      </c>
      <c r="E4" s="222" t="s">
        <v>585</v>
      </c>
      <c r="F4" s="223" t="s">
        <v>162</v>
      </c>
      <c r="G4" s="222">
        <v>1</v>
      </c>
      <c r="H4" s="223" t="s">
        <v>68</v>
      </c>
      <c r="I4" s="222" t="s">
        <v>66</v>
      </c>
      <c r="J4" s="222" t="s">
        <v>121</v>
      </c>
      <c r="K4" s="223" t="s">
        <v>125</v>
      </c>
      <c r="L4" s="223" t="s">
        <v>67</v>
      </c>
      <c r="M4" s="222" t="s">
        <v>455</v>
      </c>
      <c r="N4" s="221"/>
      <c r="O4" s="222"/>
      <c r="P4" s="221"/>
      <c r="Q4" s="222" t="s">
        <v>67</v>
      </c>
      <c r="R4" s="222" t="s">
        <v>67</v>
      </c>
      <c r="S4" s="221"/>
      <c r="T4" s="222"/>
      <c r="U4" s="221"/>
      <c r="V4" s="222" t="s">
        <v>529</v>
      </c>
      <c r="W4" s="221" t="s">
        <v>92</v>
      </c>
      <c r="X4" s="222" t="s">
        <v>67</v>
      </c>
      <c r="Y4" s="221"/>
      <c r="Z4" s="220"/>
      <c r="AA4" s="219" t="s">
        <v>530</v>
      </c>
      <c r="AB4" s="218"/>
      <c r="AC4" s="217">
        <v>1</v>
      </c>
      <c r="AD4" s="63"/>
      <c r="AE4" s="63"/>
      <c r="AF4" s="63">
        <v>1</v>
      </c>
      <c r="AG4" s="63"/>
      <c r="AH4" s="63"/>
      <c r="AI4" s="63"/>
      <c r="AJ4" s="63"/>
      <c r="AK4" s="63"/>
      <c r="AL4" s="64"/>
      <c r="AM4" s="216"/>
    </row>
    <row r="5" spans="1:39" s="1" customFormat="1" ht="24.75" customHeight="1" x14ac:dyDescent="0.3">
      <c r="A5" s="213">
        <v>2</v>
      </c>
      <c r="B5" s="212">
        <v>2</v>
      </c>
      <c r="C5" s="209" t="s">
        <v>651</v>
      </c>
      <c r="D5" s="211" t="s">
        <v>601</v>
      </c>
      <c r="E5" s="209" t="s">
        <v>655</v>
      </c>
      <c r="F5" s="210" t="s">
        <v>165</v>
      </c>
      <c r="G5" s="209">
        <v>1</v>
      </c>
      <c r="H5" s="210" t="s">
        <v>66</v>
      </c>
      <c r="I5" s="209" t="s">
        <v>66</v>
      </c>
      <c r="J5" s="209" t="s">
        <v>66</v>
      </c>
      <c r="K5" s="210" t="s">
        <v>66</v>
      </c>
      <c r="L5" s="210" t="s">
        <v>66</v>
      </c>
      <c r="M5" s="209" t="s">
        <v>66</v>
      </c>
      <c r="N5" s="208"/>
      <c r="O5" s="209"/>
      <c r="P5" s="208"/>
      <c r="Q5" s="209" t="s">
        <v>67</v>
      </c>
      <c r="R5" s="209" t="s">
        <v>67</v>
      </c>
      <c r="S5" s="208"/>
      <c r="T5" s="209"/>
      <c r="U5" s="208"/>
      <c r="V5" s="209"/>
      <c r="W5" s="208" t="s">
        <v>91</v>
      </c>
      <c r="X5" s="209" t="s">
        <v>67</v>
      </c>
      <c r="Y5" s="208"/>
      <c r="Z5" s="207"/>
      <c r="AA5" s="206" t="s">
        <v>530</v>
      </c>
      <c r="AB5" s="205"/>
      <c r="AC5" s="59"/>
      <c r="AD5" s="59"/>
      <c r="AE5" s="59"/>
      <c r="AF5" s="59"/>
      <c r="AG5" s="59">
        <v>1</v>
      </c>
      <c r="AH5" s="59"/>
      <c r="AI5" s="59"/>
      <c r="AJ5" s="59"/>
      <c r="AK5" s="59"/>
      <c r="AL5" s="65"/>
      <c r="AM5" s="204" t="s">
        <v>654</v>
      </c>
    </row>
    <row r="6" spans="1:39" s="1" customFormat="1" ht="24.75" customHeight="1" x14ac:dyDescent="0.3">
      <c r="A6" s="213">
        <v>3</v>
      </c>
      <c r="B6" s="212">
        <v>3</v>
      </c>
      <c r="C6" s="209" t="s">
        <v>651</v>
      </c>
      <c r="D6" s="211" t="s">
        <v>601</v>
      </c>
      <c r="E6" s="209" t="s">
        <v>582</v>
      </c>
      <c r="F6" s="210" t="s">
        <v>66</v>
      </c>
      <c r="G6" s="209">
        <v>1</v>
      </c>
      <c r="H6" s="210" t="s">
        <v>66</v>
      </c>
      <c r="I6" s="209" t="s">
        <v>66</v>
      </c>
      <c r="J6" s="209" t="s">
        <v>66</v>
      </c>
      <c r="K6" s="210" t="s">
        <v>66</v>
      </c>
      <c r="L6" s="210" t="s">
        <v>66</v>
      </c>
      <c r="M6" s="209" t="s">
        <v>66</v>
      </c>
      <c r="N6" s="208"/>
      <c r="O6" s="209"/>
      <c r="P6" s="208"/>
      <c r="Q6" s="209" t="s">
        <v>67</v>
      </c>
      <c r="R6" s="209" t="s">
        <v>67</v>
      </c>
      <c r="S6" s="208"/>
      <c r="T6" s="209"/>
      <c r="U6" s="208"/>
      <c r="V6" s="209"/>
      <c r="W6" s="208" t="s">
        <v>91</v>
      </c>
      <c r="X6" s="209" t="s">
        <v>67</v>
      </c>
      <c r="Y6" s="208"/>
      <c r="Z6" s="207"/>
      <c r="AA6" s="206" t="s">
        <v>530</v>
      </c>
      <c r="AB6" s="205"/>
      <c r="AC6" s="59"/>
      <c r="AD6" s="59"/>
      <c r="AE6" s="59"/>
      <c r="AF6" s="59"/>
      <c r="AG6" s="59">
        <v>1</v>
      </c>
      <c r="AH6" s="59"/>
      <c r="AI6" s="59"/>
      <c r="AJ6" s="59"/>
      <c r="AK6" s="59"/>
      <c r="AL6" s="65"/>
      <c r="AM6" s="204" t="s">
        <v>653</v>
      </c>
    </row>
    <row r="7" spans="1:39" s="1" customFormat="1" ht="24.75" customHeight="1" x14ac:dyDescent="0.3">
      <c r="A7" s="213">
        <v>4</v>
      </c>
      <c r="B7" s="212">
        <v>4</v>
      </c>
      <c r="C7" s="209" t="s">
        <v>651</v>
      </c>
      <c r="D7" s="211" t="s">
        <v>601</v>
      </c>
      <c r="E7" s="209" t="s">
        <v>612</v>
      </c>
      <c r="F7" s="210" t="s">
        <v>604</v>
      </c>
      <c r="G7" s="209">
        <v>1</v>
      </c>
      <c r="H7" s="210" t="s">
        <v>68</v>
      </c>
      <c r="I7" s="209" t="s">
        <v>66</v>
      </c>
      <c r="J7" s="209" t="s">
        <v>120</v>
      </c>
      <c r="K7" s="210" t="s">
        <v>155</v>
      </c>
      <c r="L7" s="210" t="s">
        <v>67</v>
      </c>
      <c r="M7" s="209" t="s">
        <v>623</v>
      </c>
      <c r="N7" s="208"/>
      <c r="O7" s="209"/>
      <c r="P7" s="208"/>
      <c r="Q7" s="209" t="s">
        <v>67</v>
      </c>
      <c r="R7" s="209" t="s">
        <v>67</v>
      </c>
      <c r="S7" s="208" t="s">
        <v>529</v>
      </c>
      <c r="T7" s="209"/>
      <c r="U7" s="208"/>
      <c r="V7" s="209" t="s">
        <v>529</v>
      </c>
      <c r="W7" s="208" t="s">
        <v>92</v>
      </c>
      <c r="X7" s="209" t="s">
        <v>67</v>
      </c>
      <c r="Y7" s="208"/>
      <c r="Z7" s="207"/>
      <c r="AA7" s="206" t="s">
        <v>530</v>
      </c>
      <c r="AB7" s="205">
        <v>1</v>
      </c>
      <c r="AC7" s="215">
        <v>1</v>
      </c>
      <c r="AD7" s="59">
        <v>1</v>
      </c>
      <c r="AE7" s="59">
        <v>1</v>
      </c>
      <c r="AF7" s="59"/>
      <c r="AG7" s="59"/>
      <c r="AH7" s="59"/>
      <c r="AI7" s="59"/>
      <c r="AJ7" s="59"/>
      <c r="AK7" s="59"/>
      <c r="AL7" s="65"/>
      <c r="AM7" s="214" t="s">
        <v>652</v>
      </c>
    </row>
    <row r="8" spans="1:39" s="1" customFormat="1" ht="24.75" customHeight="1" x14ac:dyDescent="0.3">
      <c r="A8" s="213">
        <v>5</v>
      </c>
      <c r="B8" s="212">
        <v>5</v>
      </c>
      <c r="C8" s="209" t="s">
        <v>651</v>
      </c>
      <c r="D8" s="211" t="s">
        <v>601</v>
      </c>
      <c r="E8" s="209" t="s">
        <v>618</v>
      </c>
      <c r="F8" s="210" t="s">
        <v>162</v>
      </c>
      <c r="G8" s="209">
        <v>1</v>
      </c>
      <c r="H8" s="210" t="s">
        <v>68</v>
      </c>
      <c r="I8" s="209" t="s">
        <v>66</v>
      </c>
      <c r="J8" s="209" t="s">
        <v>121</v>
      </c>
      <c r="K8" s="210" t="s">
        <v>155</v>
      </c>
      <c r="L8" s="210" t="s">
        <v>67</v>
      </c>
      <c r="M8" s="209" t="s">
        <v>450</v>
      </c>
      <c r="N8" s="208" t="s">
        <v>529</v>
      </c>
      <c r="O8" s="209"/>
      <c r="P8" s="208" t="s">
        <v>529</v>
      </c>
      <c r="Q8" s="209" t="s">
        <v>67</v>
      </c>
      <c r="R8" s="209" t="s">
        <v>67</v>
      </c>
      <c r="S8" s="208" t="s">
        <v>529</v>
      </c>
      <c r="T8" s="209"/>
      <c r="U8" s="208"/>
      <c r="V8" s="209" t="s">
        <v>529</v>
      </c>
      <c r="W8" s="208" t="s">
        <v>92</v>
      </c>
      <c r="X8" s="209" t="s">
        <v>67</v>
      </c>
      <c r="Y8" s="208"/>
      <c r="Z8" s="207"/>
      <c r="AA8" s="206" t="s">
        <v>530</v>
      </c>
      <c r="AB8" s="205">
        <v>1</v>
      </c>
      <c r="AC8" s="215">
        <v>1</v>
      </c>
      <c r="AD8" s="59">
        <v>1</v>
      </c>
      <c r="AE8" s="59">
        <v>1</v>
      </c>
      <c r="AF8" s="59">
        <v>1</v>
      </c>
      <c r="AG8" s="59"/>
      <c r="AH8" s="59"/>
      <c r="AI8" s="59"/>
      <c r="AJ8" s="59"/>
      <c r="AK8" s="59"/>
      <c r="AL8" s="65"/>
      <c r="AM8" s="214" t="s">
        <v>650</v>
      </c>
    </row>
    <row r="9" spans="1:39" s="1" customFormat="1" ht="24.75" customHeight="1" x14ac:dyDescent="0.3">
      <c r="A9" s="213">
        <v>6</v>
      </c>
      <c r="B9" s="212">
        <v>6</v>
      </c>
      <c r="C9" s="209" t="s">
        <v>643</v>
      </c>
      <c r="D9" s="211" t="s">
        <v>601</v>
      </c>
      <c r="E9" s="209" t="s">
        <v>649</v>
      </c>
      <c r="F9" s="210" t="s">
        <v>163</v>
      </c>
      <c r="G9" s="209">
        <v>1</v>
      </c>
      <c r="H9" s="210" t="s">
        <v>68</v>
      </c>
      <c r="I9" s="209" t="s">
        <v>66</v>
      </c>
      <c r="J9" s="209" t="s">
        <v>121</v>
      </c>
      <c r="K9" s="210" t="s">
        <v>125</v>
      </c>
      <c r="L9" s="210" t="s">
        <v>67</v>
      </c>
      <c r="M9" s="209" t="s">
        <v>623</v>
      </c>
      <c r="N9" s="208"/>
      <c r="O9" s="209"/>
      <c r="P9" s="208"/>
      <c r="Q9" s="209" t="s">
        <v>67</v>
      </c>
      <c r="R9" s="209" t="s">
        <v>67</v>
      </c>
      <c r="S9" s="208" t="s">
        <v>529</v>
      </c>
      <c r="T9" s="209"/>
      <c r="U9" s="208"/>
      <c r="V9" s="209" t="s">
        <v>529</v>
      </c>
      <c r="W9" s="208" t="s">
        <v>92</v>
      </c>
      <c r="X9" s="209" t="s">
        <v>67</v>
      </c>
      <c r="Y9" s="208" t="s">
        <v>529</v>
      </c>
      <c r="Z9" s="207"/>
      <c r="AA9" s="206" t="s">
        <v>530</v>
      </c>
      <c r="AB9" s="205">
        <v>1</v>
      </c>
      <c r="AC9" s="59"/>
      <c r="AD9" s="59"/>
      <c r="AE9" s="59"/>
      <c r="AF9" s="59"/>
      <c r="AG9" s="59"/>
      <c r="AH9" s="59"/>
      <c r="AI9" s="59"/>
      <c r="AJ9" s="59"/>
      <c r="AK9" s="59"/>
      <c r="AL9" s="65"/>
      <c r="AM9" s="204"/>
    </row>
    <row r="10" spans="1:39" s="1" customFormat="1" ht="24.75" customHeight="1" x14ac:dyDescent="0.3">
      <c r="A10" s="213">
        <v>7</v>
      </c>
      <c r="B10" s="212">
        <v>7</v>
      </c>
      <c r="C10" s="209" t="s">
        <v>643</v>
      </c>
      <c r="D10" s="211" t="s">
        <v>601</v>
      </c>
      <c r="E10" s="209" t="s">
        <v>580</v>
      </c>
      <c r="F10" s="210" t="s">
        <v>163</v>
      </c>
      <c r="G10" s="209">
        <v>1</v>
      </c>
      <c r="H10" s="210" t="s">
        <v>68</v>
      </c>
      <c r="I10" s="209" t="s">
        <v>66</v>
      </c>
      <c r="J10" s="209" t="s">
        <v>121</v>
      </c>
      <c r="K10" s="210" t="s">
        <v>125</v>
      </c>
      <c r="L10" s="210" t="s">
        <v>67</v>
      </c>
      <c r="M10" s="209" t="s">
        <v>66</v>
      </c>
      <c r="N10" s="208"/>
      <c r="O10" s="209"/>
      <c r="P10" s="208"/>
      <c r="Q10" s="209" t="s">
        <v>67</v>
      </c>
      <c r="R10" s="209" t="s">
        <v>67</v>
      </c>
      <c r="S10" s="208"/>
      <c r="T10" s="209"/>
      <c r="U10" s="208"/>
      <c r="V10" s="209" t="s">
        <v>529</v>
      </c>
      <c r="W10" s="208" t="s">
        <v>92</v>
      </c>
      <c r="X10" s="209" t="s">
        <v>67</v>
      </c>
      <c r="Y10" s="208"/>
      <c r="Z10" s="207"/>
      <c r="AA10" s="206" t="s">
        <v>530</v>
      </c>
      <c r="AB10" s="205"/>
      <c r="AC10" s="59"/>
      <c r="AD10" s="59"/>
      <c r="AE10" s="59"/>
      <c r="AF10" s="59"/>
      <c r="AG10" s="59">
        <v>1</v>
      </c>
      <c r="AH10" s="59"/>
      <c r="AI10" s="59"/>
      <c r="AJ10" s="59"/>
      <c r="AK10" s="59"/>
      <c r="AL10" s="65"/>
      <c r="AM10" s="204"/>
    </row>
    <row r="11" spans="1:39" s="1" customFormat="1" ht="24.75" customHeight="1" x14ac:dyDescent="0.3">
      <c r="A11" s="213">
        <v>8</v>
      </c>
      <c r="B11" s="212">
        <v>8</v>
      </c>
      <c r="C11" s="209" t="s">
        <v>643</v>
      </c>
      <c r="D11" s="211" t="s">
        <v>601</v>
      </c>
      <c r="E11" s="209" t="s">
        <v>645</v>
      </c>
      <c r="F11" s="210" t="s">
        <v>163</v>
      </c>
      <c r="G11" s="209">
        <v>1</v>
      </c>
      <c r="H11" s="210" t="s">
        <v>68</v>
      </c>
      <c r="I11" s="209" t="s">
        <v>66</v>
      </c>
      <c r="J11" s="209" t="s">
        <v>121</v>
      </c>
      <c r="K11" s="210" t="s">
        <v>125</v>
      </c>
      <c r="L11" s="210" t="s">
        <v>67</v>
      </c>
      <c r="M11" s="209" t="s">
        <v>623</v>
      </c>
      <c r="N11" s="208"/>
      <c r="O11" s="209"/>
      <c r="P11" s="208"/>
      <c r="Q11" s="209" t="s">
        <v>67</v>
      </c>
      <c r="R11" s="209" t="s">
        <v>67</v>
      </c>
      <c r="S11" s="208" t="s">
        <v>529</v>
      </c>
      <c r="T11" s="209"/>
      <c r="U11" s="208"/>
      <c r="V11" s="209" t="s">
        <v>529</v>
      </c>
      <c r="W11" s="208" t="s">
        <v>92</v>
      </c>
      <c r="X11" s="209" t="s">
        <v>67</v>
      </c>
      <c r="Y11" s="208"/>
      <c r="Z11" s="207"/>
      <c r="AA11" s="206" t="s">
        <v>530</v>
      </c>
      <c r="AB11" s="205">
        <v>1</v>
      </c>
      <c r="AC11" s="59"/>
      <c r="AD11" s="59"/>
      <c r="AE11" s="59"/>
      <c r="AF11" s="59"/>
      <c r="AG11" s="59"/>
      <c r="AH11" s="59"/>
      <c r="AI11" s="59"/>
      <c r="AJ11" s="59"/>
      <c r="AK11" s="59"/>
      <c r="AL11" s="65"/>
      <c r="AM11" s="204" t="s">
        <v>648</v>
      </c>
    </row>
    <row r="12" spans="1:39" s="1" customFormat="1" ht="24.75" customHeight="1" x14ac:dyDescent="0.3">
      <c r="A12" s="213">
        <v>9</v>
      </c>
      <c r="B12" s="212">
        <v>9</v>
      </c>
      <c r="C12" s="209" t="s">
        <v>643</v>
      </c>
      <c r="D12" s="211" t="s">
        <v>601</v>
      </c>
      <c r="E12" s="209" t="s">
        <v>647</v>
      </c>
      <c r="F12" s="210" t="s">
        <v>163</v>
      </c>
      <c r="G12" s="209">
        <v>1</v>
      </c>
      <c r="H12" s="210" t="s">
        <v>68</v>
      </c>
      <c r="I12" s="209" t="s">
        <v>66</v>
      </c>
      <c r="J12" s="209" t="s">
        <v>121</v>
      </c>
      <c r="K12" s="210" t="s">
        <v>125</v>
      </c>
      <c r="L12" s="210" t="s">
        <v>67</v>
      </c>
      <c r="M12" s="209" t="s">
        <v>457</v>
      </c>
      <c r="N12" s="208"/>
      <c r="O12" s="209"/>
      <c r="P12" s="208"/>
      <c r="Q12" s="209" t="s">
        <v>67</v>
      </c>
      <c r="R12" s="209" t="s">
        <v>67</v>
      </c>
      <c r="S12" s="208" t="s">
        <v>529</v>
      </c>
      <c r="T12" s="209"/>
      <c r="U12" s="208"/>
      <c r="V12" s="209" t="s">
        <v>529</v>
      </c>
      <c r="W12" s="208" t="s">
        <v>91</v>
      </c>
      <c r="X12" s="209" t="s">
        <v>67</v>
      </c>
      <c r="Y12" s="208"/>
      <c r="Z12" s="207"/>
      <c r="AA12" s="206" t="s">
        <v>530</v>
      </c>
      <c r="AB12" s="205">
        <v>1</v>
      </c>
      <c r="AC12" s="59"/>
      <c r="AD12" s="59"/>
      <c r="AE12" s="59"/>
      <c r="AF12" s="59"/>
      <c r="AG12" s="59"/>
      <c r="AH12" s="59"/>
      <c r="AI12" s="59"/>
      <c r="AJ12" s="59"/>
      <c r="AK12" s="59"/>
      <c r="AL12" s="65"/>
      <c r="AM12" s="204"/>
    </row>
    <row r="13" spans="1:39" s="1" customFormat="1" ht="24.75" customHeight="1" x14ac:dyDescent="0.3">
      <c r="A13" s="213">
        <v>10</v>
      </c>
      <c r="B13" s="212">
        <v>10</v>
      </c>
      <c r="C13" s="209" t="s">
        <v>643</v>
      </c>
      <c r="D13" s="211" t="s">
        <v>646</v>
      </c>
      <c r="E13" s="209" t="s">
        <v>645</v>
      </c>
      <c r="F13" s="210" t="s">
        <v>163</v>
      </c>
      <c r="G13" s="209">
        <v>1</v>
      </c>
      <c r="H13" s="210" t="s">
        <v>68</v>
      </c>
      <c r="I13" s="209" t="s">
        <v>66</v>
      </c>
      <c r="J13" s="209" t="s">
        <v>121</v>
      </c>
      <c r="K13" s="210" t="s">
        <v>125</v>
      </c>
      <c r="L13" s="210" t="s">
        <v>67</v>
      </c>
      <c r="M13" s="209" t="s">
        <v>454</v>
      </c>
      <c r="N13" s="208"/>
      <c r="O13" s="209"/>
      <c r="P13" s="208"/>
      <c r="Q13" s="209" t="s">
        <v>67</v>
      </c>
      <c r="R13" s="209" t="s">
        <v>67</v>
      </c>
      <c r="S13" s="208" t="s">
        <v>529</v>
      </c>
      <c r="T13" s="209"/>
      <c r="U13" s="208"/>
      <c r="V13" s="209" t="s">
        <v>529</v>
      </c>
      <c r="W13" s="208" t="s">
        <v>92</v>
      </c>
      <c r="X13" s="209" t="s">
        <v>49</v>
      </c>
      <c r="Y13" s="208" t="s">
        <v>529</v>
      </c>
      <c r="Z13" s="207"/>
      <c r="AA13" s="206" t="s">
        <v>644</v>
      </c>
      <c r="AB13" s="205"/>
      <c r="AC13" s="59"/>
      <c r="AD13" s="59"/>
      <c r="AE13" s="59"/>
      <c r="AF13" s="59"/>
      <c r="AG13" s="59"/>
      <c r="AH13" s="59"/>
      <c r="AI13" s="59"/>
      <c r="AJ13" s="59"/>
      <c r="AK13" s="59"/>
      <c r="AL13" s="65"/>
      <c r="AM13" s="204"/>
    </row>
    <row r="14" spans="1:39" s="1" customFormat="1" ht="24.75" customHeight="1" x14ac:dyDescent="0.3">
      <c r="A14" s="213">
        <v>11</v>
      </c>
      <c r="B14" s="212">
        <v>11</v>
      </c>
      <c r="C14" s="209" t="s">
        <v>643</v>
      </c>
      <c r="D14" s="211" t="s">
        <v>601</v>
      </c>
      <c r="E14" s="209" t="s">
        <v>618</v>
      </c>
      <c r="F14" s="210" t="s">
        <v>604</v>
      </c>
      <c r="G14" s="209">
        <v>1</v>
      </c>
      <c r="H14" s="210" t="s">
        <v>38</v>
      </c>
      <c r="I14" s="209" t="s">
        <v>66</v>
      </c>
      <c r="J14" s="209" t="s">
        <v>121</v>
      </c>
      <c r="K14" s="210" t="s">
        <v>155</v>
      </c>
      <c r="L14" s="210" t="s">
        <v>67</v>
      </c>
      <c r="M14" s="209" t="s">
        <v>66</v>
      </c>
      <c r="N14" s="208" t="s">
        <v>529</v>
      </c>
      <c r="O14" s="209"/>
      <c r="P14" s="208"/>
      <c r="Q14" s="209" t="s">
        <v>67</v>
      </c>
      <c r="R14" s="209" t="s">
        <v>67</v>
      </c>
      <c r="S14" s="208"/>
      <c r="T14" s="209"/>
      <c r="U14" s="208"/>
      <c r="V14" s="209" t="s">
        <v>529</v>
      </c>
      <c r="W14" s="208" t="s">
        <v>92</v>
      </c>
      <c r="X14" s="209" t="s">
        <v>67</v>
      </c>
      <c r="Y14" s="208"/>
      <c r="Z14" s="207"/>
      <c r="AA14" s="206" t="s">
        <v>530</v>
      </c>
      <c r="AB14" s="205"/>
      <c r="AC14" s="59"/>
      <c r="AD14" s="59"/>
      <c r="AE14" s="59"/>
      <c r="AF14" s="59"/>
      <c r="AG14" s="59">
        <v>1</v>
      </c>
      <c r="AH14" s="59"/>
      <c r="AI14" s="59"/>
      <c r="AJ14" s="59"/>
      <c r="AK14" s="59"/>
      <c r="AL14" s="65"/>
      <c r="AM14" s="204"/>
    </row>
    <row r="15" spans="1:39" s="1" customFormat="1" ht="24.75" customHeight="1" x14ac:dyDescent="0.3">
      <c r="A15" s="213">
        <v>12</v>
      </c>
      <c r="B15" s="212">
        <v>12</v>
      </c>
      <c r="C15" s="209" t="s">
        <v>643</v>
      </c>
      <c r="D15" s="211" t="s">
        <v>601</v>
      </c>
      <c r="E15" s="209" t="s">
        <v>612</v>
      </c>
      <c r="F15" s="210" t="s">
        <v>604</v>
      </c>
      <c r="G15" s="209">
        <v>1</v>
      </c>
      <c r="H15" s="210" t="s">
        <v>68</v>
      </c>
      <c r="I15" s="209" t="s">
        <v>66</v>
      </c>
      <c r="J15" s="209" t="s">
        <v>120</v>
      </c>
      <c r="K15" s="210" t="s">
        <v>155</v>
      </c>
      <c r="L15" s="210" t="s">
        <v>67</v>
      </c>
      <c r="M15" s="209" t="s">
        <v>623</v>
      </c>
      <c r="N15" s="208" t="s">
        <v>529</v>
      </c>
      <c r="O15" s="209"/>
      <c r="P15" s="208"/>
      <c r="Q15" s="209" t="s">
        <v>67</v>
      </c>
      <c r="R15" s="209" t="s">
        <v>67</v>
      </c>
      <c r="S15" s="208" t="s">
        <v>529</v>
      </c>
      <c r="T15" s="209"/>
      <c r="U15" s="208"/>
      <c r="V15" s="209" t="s">
        <v>529</v>
      </c>
      <c r="W15" s="208" t="s">
        <v>92</v>
      </c>
      <c r="X15" s="209" t="s">
        <v>67</v>
      </c>
      <c r="Y15" s="208"/>
      <c r="Z15" s="207"/>
      <c r="AA15" s="206" t="s">
        <v>530</v>
      </c>
      <c r="AB15" s="205">
        <v>1</v>
      </c>
      <c r="AC15" s="215">
        <v>1</v>
      </c>
      <c r="AD15" s="59">
        <v>1</v>
      </c>
      <c r="AE15" s="59">
        <v>1</v>
      </c>
      <c r="AF15" s="59"/>
      <c r="AG15" s="59"/>
      <c r="AH15" s="59"/>
      <c r="AI15" s="59"/>
      <c r="AJ15" s="59"/>
      <c r="AK15" s="59"/>
      <c r="AL15" s="65"/>
      <c r="AM15" s="214" t="s">
        <v>622</v>
      </c>
    </row>
    <row r="16" spans="1:39" s="1" customFormat="1" ht="24.75" customHeight="1" x14ac:dyDescent="0.3">
      <c r="A16" s="213">
        <v>13</v>
      </c>
      <c r="B16" s="212">
        <v>13</v>
      </c>
      <c r="C16" s="209" t="s">
        <v>640</v>
      </c>
      <c r="D16" s="211" t="s">
        <v>601</v>
      </c>
      <c r="E16" s="209" t="s">
        <v>618</v>
      </c>
      <c r="F16" s="210" t="s">
        <v>604</v>
      </c>
      <c r="G16" s="209">
        <v>1</v>
      </c>
      <c r="H16" s="210" t="s">
        <v>38</v>
      </c>
      <c r="I16" s="209" t="s">
        <v>66</v>
      </c>
      <c r="J16" s="209" t="s">
        <v>121</v>
      </c>
      <c r="K16" s="210" t="s">
        <v>155</v>
      </c>
      <c r="L16" s="210" t="s">
        <v>67</v>
      </c>
      <c r="M16" s="209" t="s">
        <v>66</v>
      </c>
      <c r="N16" s="208" t="s">
        <v>529</v>
      </c>
      <c r="O16" s="209"/>
      <c r="P16" s="208"/>
      <c r="Q16" s="209" t="s">
        <v>67</v>
      </c>
      <c r="R16" s="209" t="s">
        <v>67</v>
      </c>
      <c r="S16" s="208"/>
      <c r="T16" s="209"/>
      <c r="U16" s="208"/>
      <c r="V16" s="209" t="s">
        <v>529</v>
      </c>
      <c r="W16" s="208" t="s">
        <v>92</v>
      </c>
      <c r="X16" s="209" t="s">
        <v>67</v>
      </c>
      <c r="Y16" s="208"/>
      <c r="Z16" s="207"/>
      <c r="AA16" s="206" t="s">
        <v>530</v>
      </c>
      <c r="AB16" s="205"/>
      <c r="AC16" s="59"/>
      <c r="AD16" s="59"/>
      <c r="AE16" s="59"/>
      <c r="AF16" s="59"/>
      <c r="AG16" s="59">
        <v>1</v>
      </c>
      <c r="AH16" s="59"/>
      <c r="AI16" s="59"/>
      <c r="AJ16" s="59"/>
      <c r="AK16" s="59"/>
      <c r="AL16" s="65"/>
      <c r="AM16" s="204"/>
    </row>
    <row r="17" spans="1:39" s="1" customFormat="1" ht="24.75" customHeight="1" x14ac:dyDescent="0.3">
      <c r="A17" s="213">
        <v>14</v>
      </c>
      <c r="B17" s="212">
        <v>14</v>
      </c>
      <c r="C17" s="209" t="s">
        <v>640</v>
      </c>
      <c r="D17" s="211" t="s">
        <v>601</v>
      </c>
      <c r="E17" s="209" t="s">
        <v>612</v>
      </c>
      <c r="F17" s="210" t="s">
        <v>604</v>
      </c>
      <c r="G17" s="209">
        <v>1</v>
      </c>
      <c r="H17" s="210" t="s">
        <v>68</v>
      </c>
      <c r="I17" s="209" t="s">
        <v>66</v>
      </c>
      <c r="J17" s="209" t="s">
        <v>120</v>
      </c>
      <c r="K17" s="210" t="s">
        <v>155</v>
      </c>
      <c r="L17" s="210" t="s">
        <v>67</v>
      </c>
      <c r="M17" s="209" t="s">
        <v>642</v>
      </c>
      <c r="N17" s="208" t="s">
        <v>529</v>
      </c>
      <c r="O17" s="209"/>
      <c r="P17" s="208"/>
      <c r="Q17" s="209" t="s">
        <v>67</v>
      </c>
      <c r="R17" s="209" t="s">
        <v>67</v>
      </c>
      <c r="S17" s="208" t="s">
        <v>529</v>
      </c>
      <c r="T17" s="209"/>
      <c r="U17" s="208"/>
      <c r="V17" s="209" t="s">
        <v>529</v>
      </c>
      <c r="W17" s="208" t="s">
        <v>91</v>
      </c>
      <c r="X17" s="209" t="s">
        <v>67</v>
      </c>
      <c r="Y17" s="208"/>
      <c r="Z17" s="207"/>
      <c r="AA17" s="206" t="s">
        <v>530</v>
      </c>
      <c r="AB17" s="205">
        <v>1</v>
      </c>
      <c r="AC17" s="215">
        <v>1</v>
      </c>
      <c r="AD17" s="59">
        <v>1</v>
      </c>
      <c r="AE17" s="59">
        <v>1</v>
      </c>
      <c r="AF17" s="59"/>
      <c r="AG17" s="59"/>
      <c r="AH17" s="59"/>
      <c r="AI17" s="59"/>
      <c r="AJ17" s="59"/>
      <c r="AK17" s="59"/>
      <c r="AL17" s="65"/>
      <c r="AM17" s="214" t="s">
        <v>622</v>
      </c>
    </row>
    <row r="18" spans="1:39" s="1" customFormat="1" ht="24.75" customHeight="1" x14ac:dyDescent="0.3">
      <c r="A18" s="213">
        <v>15</v>
      </c>
      <c r="B18" s="212">
        <v>15</v>
      </c>
      <c r="C18" s="209" t="s">
        <v>640</v>
      </c>
      <c r="D18" s="211" t="s">
        <v>601</v>
      </c>
      <c r="E18" s="209" t="s">
        <v>641</v>
      </c>
      <c r="F18" s="210" t="s">
        <v>163</v>
      </c>
      <c r="G18" s="209">
        <v>1</v>
      </c>
      <c r="H18" s="210" t="s">
        <v>68</v>
      </c>
      <c r="I18" s="209" t="s">
        <v>75</v>
      </c>
      <c r="J18" s="209" t="s">
        <v>121</v>
      </c>
      <c r="K18" s="210" t="s">
        <v>139</v>
      </c>
      <c r="L18" s="210" t="s">
        <v>67</v>
      </c>
      <c r="M18" s="209" t="s">
        <v>457</v>
      </c>
      <c r="N18" s="208" t="s">
        <v>529</v>
      </c>
      <c r="O18" s="209"/>
      <c r="P18" s="208"/>
      <c r="Q18" s="209" t="s">
        <v>67</v>
      </c>
      <c r="R18" s="209" t="s">
        <v>67</v>
      </c>
      <c r="S18" s="208"/>
      <c r="T18" s="209"/>
      <c r="U18" s="208"/>
      <c r="V18" s="209" t="s">
        <v>529</v>
      </c>
      <c r="W18" s="208" t="s">
        <v>91</v>
      </c>
      <c r="X18" s="209" t="s">
        <v>67</v>
      </c>
      <c r="Y18" s="208"/>
      <c r="Z18" s="207"/>
      <c r="AA18" s="206" t="s">
        <v>530</v>
      </c>
      <c r="AB18" s="205">
        <v>1</v>
      </c>
      <c r="AC18" s="59"/>
      <c r="AD18" s="59"/>
      <c r="AE18" s="59"/>
      <c r="AF18" s="59"/>
      <c r="AG18" s="59"/>
      <c r="AH18" s="59"/>
      <c r="AI18" s="59"/>
      <c r="AJ18" s="59"/>
      <c r="AK18" s="59"/>
      <c r="AL18" s="65"/>
      <c r="AM18" s="204"/>
    </row>
    <row r="19" spans="1:39" s="1" customFormat="1" ht="24.75" customHeight="1" x14ac:dyDescent="0.3">
      <c r="A19" s="213">
        <v>16</v>
      </c>
      <c r="B19" s="212">
        <v>16</v>
      </c>
      <c r="C19" s="209" t="s">
        <v>640</v>
      </c>
      <c r="D19" s="211" t="s">
        <v>601</v>
      </c>
      <c r="E19" s="209" t="s">
        <v>639</v>
      </c>
      <c r="F19" s="210" t="s">
        <v>170</v>
      </c>
      <c r="G19" s="209">
        <v>2</v>
      </c>
      <c r="H19" s="210" t="s">
        <v>68</v>
      </c>
      <c r="I19" s="209" t="s">
        <v>66</v>
      </c>
      <c r="J19" s="209" t="s">
        <v>81</v>
      </c>
      <c r="K19" s="210" t="s">
        <v>127</v>
      </c>
      <c r="L19" s="210" t="s">
        <v>600</v>
      </c>
      <c r="M19" s="209" t="s">
        <v>456</v>
      </c>
      <c r="N19" s="208" t="s">
        <v>529</v>
      </c>
      <c r="O19" s="209"/>
      <c r="P19" s="208"/>
      <c r="Q19" s="209" t="s">
        <v>67</v>
      </c>
      <c r="R19" s="209" t="s">
        <v>67</v>
      </c>
      <c r="S19" s="208"/>
      <c r="T19" s="209"/>
      <c r="U19" s="208"/>
      <c r="V19" s="209" t="s">
        <v>529</v>
      </c>
      <c r="W19" s="208" t="s">
        <v>91</v>
      </c>
      <c r="X19" s="209" t="s">
        <v>67</v>
      </c>
      <c r="Y19" s="208"/>
      <c r="Z19" s="207"/>
      <c r="AA19" s="206" t="s">
        <v>530</v>
      </c>
      <c r="AB19" s="205"/>
      <c r="AC19" s="59"/>
      <c r="AD19" s="59"/>
      <c r="AE19" s="59"/>
      <c r="AF19" s="59"/>
      <c r="AG19" s="59"/>
      <c r="AH19" s="59">
        <v>1</v>
      </c>
      <c r="AI19" s="59"/>
      <c r="AJ19" s="59"/>
      <c r="AK19" s="59"/>
      <c r="AL19" s="65">
        <v>1</v>
      </c>
      <c r="AM19" s="204" t="s">
        <v>638</v>
      </c>
    </row>
    <row r="20" spans="1:39" s="1" customFormat="1" ht="24.75" customHeight="1" x14ac:dyDescent="0.3">
      <c r="A20" s="213">
        <v>17</v>
      </c>
      <c r="B20" s="212">
        <v>17</v>
      </c>
      <c r="C20" s="209" t="s">
        <v>636</v>
      </c>
      <c r="D20" s="211" t="s">
        <v>601</v>
      </c>
      <c r="E20" s="209" t="s">
        <v>618</v>
      </c>
      <c r="F20" s="210" t="s">
        <v>604</v>
      </c>
      <c r="G20" s="209">
        <v>1</v>
      </c>
      <c r="H20" s="210" t="s">
        <v>68</v>
      </c>
      <c r="I20" s="209" t="s">
        <v>66</v>
      </c>
      <c r="J20" s="209" t="s">
        <v>121</v>
      </c>
      <c r="K20" s="210" t="s">
        <v>155</v>
      </c>
      <c r="L20" s="210" t="s">
        <v>67</v>
      </c>
      <c r="M20" s="209" t="s">
        <v>623</v>
      </c>
      <c r="N20" s="208" t="s">
        <v>529</v>
      </c>
      <c r="O20" s="209"/>
      <c r="P20" s="208"/>
      <c r="Q20" s="209" t="s">
        <v>67</v>
      </c>
      <c r="R20" s="209" t="s">
        <v>67</v>
      </c>
      <c r="S20" s="208" t="s">
        <v>529</v>
      </c>
      <c r="T20" s="209"/>
      <c r="U20" s="208"/>
      <c r="V20" s="209" t="s">
        <v>529</v>
      </c>
      <c r="W20" s="208" t="s">
        <v>91</v>
      </c>
      <c r="X20" s="209" t="s">
        <v>67</v>
      </c>
      <c r="Y20" s="208"/>
      <c r="Z20" s="207"/>
      <c r="AA20" s="206" t="s">
        <v>530</v>
      </c>
      <c r="AB20" s="205">
        <v>1</v>
      </c>
      <c r="AC20" s="59"/>
      <c r="AD20" s="59"/>
      <c r="AE20" s="59"/>
      <c r="AF20" s="59"/>
      <c r="AG20" s="59"/>
      <c r="AH20" s="59"/>
      <c r="AI20" s="59"/>
      <c r="AJ20" s="59"/>
      <c r="AK20" s="59"/>
      <c r="AL20" s="65"/>
      <c r="AM20" s="204"/>
    </row>
    <row r="21" spans="1:39" s="1" customFormat="1" ht="24.75" customHeight="1" x14ac:dyDescent="0.3">
      <c r="A21" s="213">
        <v>18</v>
      </c>
      <c r="B21" s="212">
        <v>18</v>
      </c>
      <c r="C21" s="209" t="s">
        <v>636</v>
      </c>
      <c r="D21" s="211" t="s">
        <v>601</v>
      </c>
      <c r="E21" s="209" t="s">
        <v>612</v>
      </c>
      <c r="F21" s="210" t="s">
        <v>604</v>
      </c>
      <c r="G21" s="209">
        <v>1</v>
      </c>
      <c r="H21" s="210" t="s">
        <v>68</v>
      </c>
      <c r="I21" s="209" t="s">
        <v>66</v>
      </c>
      <c r="J21" s="209" t="s">
        <v>120</v>
      </c>
      <c r="K21" s="210" t="s">
        <v>155</v>
      </c>
      <c r="L21" s="210" t="s">
        <v>67</v>
      </c>
      <c r="M21" s="209" t="s">
        <v>457</v>
      </c>
      <c r="N21" s="208" t="s">
        <v>529</v>
      </c>
      <c r="O21" s="209"/>
      <c r="P21" s="208"/>
      <c r="Q21" s="209" t="s">
        <v>67</v>
      </c>
      <c r="R21" s="209" t="s">
        <v>67</v>
      </c>
      <c r="S21" s="208" t="s">
        <v>529</v>
      </c>
      <c r="T21" s="209" t="s">
        <v>529</v>
      </c>
      <c r="U21" s="208"/>
      <c r="V21" s="209" t="s">
        <v>529</v>
      </c>
      <c r="W21" s="208" t="s">
        <v>92</v>
      </c>
      <c r="X21" s="209" t="s">
        <v>49</v>
      </c>
      <c r="Y21" s="208" t="s">
        <v>529</v>
      </c>
      <c r="Z21" s="207"/>
      <c r="AA21" s="206" t="s">
        <v>530</v>
      </c>
      <c r="AB21" s="205">
        <v>1</v>
      </c>
      <c r="AC21" s="215">
        <v>1</v>
      </c>
      <c r="AD21" s="59">
        <v>1</v>
      </c>
      <c r="AE21" s="59">
        <v>1</v>
      </c>
      <c r="AF21" s="59"/>
      <c r="AG21" s="59"/>
      <c r="AH21" s="59"/>
      <c r="AI21" s="59"/>
      <c r="AJ21" s="59"/>
      <c r="AK21" s="59"/>
      <c r="AL21" s="65"/>
      <c r="AM21" s="214" t="s">
        <v>622</v>
      </c>
    </row>
    <row r="22" spans="1:39" s="1" customFormat="1" ht="24.75" customHeight="1" x14ac:dyDescent="0.3">
      <c r="A22" s="213">
        <v>19</v>
      </c>
      <c r="B22" s="212">
        <v>19</v>
      </c>
      <c r="C22" s="209" t="s">
        <v>636</v>
      </c>
      <c r="D22" s="211" t="s">
        <v>601</v>
      </c>
      <c r="E22" s="209" t="s">
        <v>637</v>
      </c>
      <c r="F22" s="210" t="s">
        <v>163</v>
      </c>
      <c r="G22" s="209">
        <v>1</v>
      </c>
      <c r="H22" s="210" t="s">
        <v>68</v>
      </c>
      <c r="I22" s="209" t="s">
        <v>75</v>
      </c>
      <c r="J22" s="209" t="s">
        <v>120</v>
      </c>
      <c r="K22" s="210" t="s">
        <v>131</v>
      </c>
      <c r="L22" s="210" t="s">
        <v>67</v>
      </c>
      <c r="M22" s="209" t="s">
        <v>623</v>
      </c>
      <c r="N22" s="208" t="s">
        <v>529</v>
      </c>
      <c r="O22" s="209"/>
      <c r="P22" s="208"/>
      <c r="Q22" s="209" t="s">
        <v>67</v>
      </c>
      <c r="R22" s="209" t="s">
        <v>67</v>
      </c>
      <c r="S22" s="208"/>
      <c r="T22" s="209"/>
      <c r="U22" s="208"/>
      <c r="V22" s="209" t="s">
        <v>529</v>
      </c>
      <c r="W22" s="208" t="s">
        <v>91</v>
      </c>
      <c r="X22" s="209" t="s">
        <v>67</v>
      </c>
      <c r="Y22" s="208"/>
      <c r="Z22" s="207"/>
      <c r="AA22" s="206" t="s">
        <v>530</v>
      </c>
      <c r="AB22" s="205">
        <v>1</v>
      </c>
      <c r="AC22" s="59"/>
      <c r="AD22" s="59"/>
      <c r="AE22" s="59"/>
      <c r="AF22" s="59"/>
      <c r="AG22" s="59"/>
      <c r="AH22" s="59"/>
      <c r="AI22" s="59"/>
      <c r="AJ22" s="59"/>
      <c r="AK22" s="59"/>
      <c r="AL22" s="65"/>
      <c r="AM22" s="204"/>
    </row>
    <row r="23" spans="1:39" s="1" customFormat="1" ht="24.75" customHeight="1" x14ac:dyDescent="0.3">
      <c r="A23" s="213">
        <v>20</v>
      </c>
      <c r="B23" s="212">
        <v>20</v>
      </c>
      <c r="C23" s="209" t="s">
        <v>636</v>
      </c>
      <c r="D23" s="211" t="s">
        <v>601</v>
      </c>
      <c r="E23" s="209" t="s">
        <v>635</v>
      </c>
      <c r="F23" s="210" t="s">
        <v>163</v>
      </c>
      <c r="G23" s="209">
        <v>1</v>
      </c>
      <c r="H23" s="210" t="s">
        <v>68</v>
      </c>
      <c r="I23" s="209" t="s">
        <v>75</v>
      </c>
      <c r="J23" s="209" t="s">
        <v>121</v>
      </c>
      <c r="K23" s="210" t="s">
        <v>124</v>
      </c>
      <c r="L23" s="210" t="s">
        <v>67</v>
      </c>
      <c r="M23" s="209" t="s">
        <v>66</v>
      </c>
      <c r="N23" s="208" t="s">
        <v>529</v>
      </c>
      <c r="O23" s="209"/>
      <c r="P23" s="208"/>
      <c r="Q23" s="209" t="s">
        <v>67</v>
      </c>
      <c r="R23" s="209" t="s">
        <v>67</v>
      </c>
      <c r="S23" s="208"/>
      <c r="T23" s="209"/>
      <c r="U23" s="208"/>
      <c r="V23" s="209"/>
      <c r="W23" s="208" t="s">
        <v>91</v>
      </c>
      <c r="X23" s="209" t="s">
        <v>67</v>
      </c>
      <c r="Y23" s="208"/>
      <c r="Z23" s="207"/>
      <c r="AA23" s="206" t="s">
        <v>530</v>
      </c>
      <c r="AB23" s="205"/>
      <c r="AC23" s="59"/>
      <c r="AD23" s="59"/>
      <c r="AE23" s="59"/>
      <c r="AF23" s="59"/>
      <c r="AG23" s="59">
        <v>1</v>
      </c>
      <c r="AH23" s="59"/>
      <c r="AI23" s="59"/>
      <c r="AJ23" s="59"/>
      <c r="AK23" s="59"/>
      <c r="AL23" s="65"/>
      <c r="AM23" s="204" t="s">
        <v>634</v>
      </c>
    </row>
    <row r="24" spans="1:39" s="1" customFormat="1" ht="24.75" customHeight="1" x14ac:dyDescent="0.3">
      <c r="A24" s="213">
        <v>21</v>
      </c>
      <c r="B24" s="212">
        <v>21</v>
      </c>
      <c r="C24" s="209" t="s">
        <v>631</v>
      </c>
      <c r="D24" s="211" t="s">
        <v>601</v>
      </c>
      <c r="E24" s="209" t="s">
        <v>618</v>
      </c>
      <c r="F24" s="210" t="s">
        <v>604</v>
      </c>
      <c r="G24" s="209">
        <v>1</v>
      </c>
      <c r="H24" s="210" t="s">
        <v>68</v>
      </c>
      <c r="I24" s="209" t="s">
        <v>66</v>
      </c>
      <c r="J24" s="209" t="s">
        <v>121</v>
      </c>
      <c r="K24" s="210" t="s">
        <v>155</v>
      </c>
      <c r="L24" s="210" t="s">
        <v>67</v>
      </c>
      <c r="M24" s="209" t="s">
        <v>623</v>
      </c>
      <c r="N24" s="208" t="s">
        <v>529</v>
      </c>
      <c r="O24" s="209"/>
      <c r="P24" s="208"/>
      <c r="Q24" s="209" t="s">
        <v>67</v>
      </c>
      <c r="R24" s="209" t="s">
        <v>67</v>
      </c>
      <c r="S24" s="208" t="s">
        <v>529</v>
      </c>
      <c r="T24" s="209"/>
      <c r="U24" s="208"/>
      <c r="V24" s="209" t="s">
        <v>529</v>
      </c>
      <c r="W24" s="208" t="s">
        <v>92</v>
      </c>
      <c r="X24" s="209" t="s">
        <v>67</v>
      </c>
      <c r="Y24" s="208"/>
      <c r="Z24" s="207"/>
      <c r="AA24" s="206" t="s">
        <v>530</v>
      </c>
      <c r="AB24" s="205">
        <v>1</v>
      </c>
      <c r="AC24" s="215">
        <v>1</v>
      </c>
      <c r="AD24" s="59">
        <v>1</v>
      </c>
      <c r="AE24" s="59">
        <v>1</v>
      </c>
      <c r="AF24" s="59"/>
      <c r="AG24" s="59"/>
      <c r="AH24" s="59"/>
      <c r="AI24" s="59"/>
      <c r="AJ24" s="59"/>
      <c r="AK24" s="59"/>
      <c r="AL24" s="65"/>
      <c r="AM24" s="214" t="s">
        <v>625</v>
      </c>
    </row>
    <row r="25" spans="1:39" s="1" customFormat="1" ht="24.75" customHeight="1" x14ac:dyDescent="0.3">
      <c r="A25" s="213">
        <v>22</v>
      </c>
      <c r="B25" s="212">
        <v>22</v>
      </c>
      <c r="C25" s="209" t="s">
        <v>631</v>
      </c>
      <c r="D25" s="211" t="s">
        <v>601</v>
      </c>
      <c r="E25" s="209" t="s">
        <v>612</v>
      </c>
      <c r="F25" s="210" t="s">
        <v>604</v>
      </c>
      <c r="G25" s="209">
        <v>1</v>
      </c>
      <c r="H25" s="210" t="s">
        <v>68</v>
      </c>
      <c r="I25" s="209" t="s">
        <v>66</v>
      </c>
      <c r="J25" s="209" t="s">
        <v>120</v>
      </c>
      <c r="K25" s="210" t="s">
        <v>155</v>
      </c>
      <c r="L25" s="210" t="s">
        <v>67</v>
      </c>
      <c r="M25" s="209" t="s">
        <v>623</v>
      </c>
      <c r="N25" s="208" t="s">
        <v>529</v>
      </c>
      <c r="O25" s="209"/>
      <c r="P25" s="208"/>
      <c r="Q25" s="209" t="s">
        <v>67</v>
      </c>
      <c r="R25" s="209" t="s">
        <v>67</v>
      </c>
      <c r="S25" s="208" t="s">
        <v>529</v>
      </c>
      <c r="T25" s="209"/>
      <c r="U25" s="208"/>
      <c r="V25" s="209" t="s">
        <v>529</v>
      </c>
      <c r="W25" s="208" t="s">
        <v>92</v>
      </c>
      <c r="X25" s="209" t="s">
        <v>67</v>
      </c>
      <c r="Y25" s="208"/>
      <c r="Z25" s="207"/>
      <c r="AA25" s="206" t="s">
        <v>530</v>
      </c>
      <c r="AB25" s="205">
        <v>1</v>
      </c>
      <c r="AC25" s="215">
        <v>1</v>
      </c>
      <c r="AD25" s="59">
        <v>1</v>
      </c>
      <c r="AE25" s="59">
        <v>1</v>
      </c>
      <c r="AF25" s="59"/>
      <c r="AG25" s="59"/>
      <c r="AH25" s="59"/>
      <c r="AI25" s="59"/>
      <c r="AJ25" s="59"/>
      <c r="AK25" s="59"/>
      <c r="AL25" s="65"/>
      <c r="AM25" s="214" t="s">
        <v>625</v>
      </c>
    </row>
    <row r="26" spans="1:39" s="1" customFormat="1" ht="24.75" customHeight="1" x14ac:dyDescent="0.3">
      <c r="A26" s="213">
        <v>23</v>
      </c>
      <c r="B26" s="212">
        <v>23</v>
      </c>
      <c r="C26" s="209" t="s">
        <v>631</v>
      </c>
      <c r="D26" s="211" t="s">
        <v>601</v>
      </c>
      <c r="E26" s="209" t="s">
        <v>630</v>
      </c>
      <c r="F26" s="210" t="s">
        <v>170</v>
      </c>
      <c r="G26" s="209">
        <v>2</v>
      </c>
      <c r="H26" s="210" t="s">
        <v>68</v>
      </c>
      <c r="I26" s="209" t="s">
        <v>633</v>
      </c>
      <c r="J26" s="209" t="s">
        <v>80</v>
      </c>
      <c r="K26" s="210" t="s">
        <v>131</v>
      </c>
      <c r="L26" s="210" t="s">
        <v>600</v>
      </c>
      <c r="M26" s="209" t="s">
        <v>456</v>
      </c>
      <c r="N26" s="208" t="s">
        <v>529</v>
      </c>
      <c r="O26" s="209"/>
      <c r="P26" s="208"/>
      <c r="Q26" s="209" t="s">
        <v>67</v>
      </c>
      <c r="R26" s="209" t="s">
        <v>67</v>
      </c>
      <c r="S26" s="208"/>
      <c r="T26" s="209"/>
      <c r="U26" s="208"/>
      <c r="V26" s="209" t="s">
        <v>529</v>
      </c>
      <c r="W26" s="208" t="s">
        <v>91</v>
      </c>
      <c r="X26" s="209" t="s">
        <v>67</v>
      </c>
      <c r="Y26" s="208"/>
      <c r="Z26" s="207"/>
      <c r="AA26" s="206" t="s">
        <v>530</v>
      </c>
      <c r="AB26" s="205">
        <v>1</v>
      </c>
      <c r="AC26" s="59"/>
      <c r="AD26" s="59"/>
      <c r="AE26" s="59"/>
      <c r="AF26" s="59"/>
      <c r="AG26" s="59"/>
      <c r="AH26" s="59"/>
      <c r="AI26" s="59"/>
      <c r="AJ26" s="59"/>
      <c r="AK26" s="59"/>
      <c r="AL26" s="65"/>
      <c r="AM26" s="204" t="s">
        <v>632</v>
      </c>
    </row>
    <row r="27" spans="1:39" s="1" customFormat="1" ht="24.75" customHeight="1" x14ac:dyDescent="0.3">
      <c r="A27" s="213">
        <v>24</v>
      </c>
      <c r="B27" s="212">
        <v>24</v>
      </c>
      <c r="C27" s="209" t="s">
        <v>631</v>
      </c>
      <c r="D27" s="211" t="s">
        <v>601</v>
      </c>
      <c r="E27" s="209" t="s">
        <v>630</v>
      </c>
      <c r="F27" s="210" t="s">
        <v>163</v>
      </c>
      <c r="G27" s="209">
        <v>1</v>
      </c>
      <c r="H27" s="210" t="s">
        <v>68</v>
      </c>
      <c r="I27" s="209" t="s">
        <v>75</v>
      </c>
      <c r="J27" s="209" t="s">
        <v>120</v>
      </c>
      <c r="K27" s="210" t="s">
        <v>125</v>
      </c>
      <c r="L27" s="210" t="s">
        <v>67</v>
      </c>
      <c r="M27" s="209" t="s">
        <v>457</v>
      </c>
      <c r="N27" s="208"/>
      <c r="O27" s="209"/>
      <c r="P27" s="208"/>
      <c r="Q27" s="209" t="s">
        <v>67</v>
      </c>
      <c r="R27" s="209" t="s">
        <v>67</v>
      </c>
      <c r="S27" s="208"/>
      <c r="T27" s="209"/>
      <c r="U27" s="208"/>
      <c r="V27" s="209" t="s">
        <v>529</v>
      </c>
      <c r="W27" s="208" t="s">
        <v>92</v>
      </c>
      <c r="X27" s="209" t="s">
        <v>67</v>
      </c>
      <c r="Y27" s="208"/>
      <c r="Z27" s="207"/>
      <c r="AA27" s="206" t="s">
        <v>530</v>
      </c>
      <c r="AB27" s="205">
        <v>1</v>
      </c>
      <c r="AC27" s="59"/>
      <c r="AD27" s="59"/>
      <c r="AE27" s="59"/>
      <c r="AF27" s="59"/>
      <c r="AG27" s="59"/>
      <c r="AH27" s="59"/>
      <c r="AI27" s="59"/>
      <c r="AJ27" s="59"/>
      <c r="AK27" s="59"/>
      <c r="AL27" s="65"/>
      <c r="AM27" s="204"/>
    </row>
    <row r="28" spans="1:39" s="1" customFormat="1" ht="24.75" customHeight="1" x14ac:dyDescent="0.3">
      <c r="A28" s="213">
        <v>25</v>
      </c>
      <c r="B28" s="212">
        <v>25</v>
      </c>
      <c r="C28" s="209" t="s">
        <v>631</v>
      </c>
      <c r="D28" s="211" t="s">
        <v>601</v>
      </c>
      <c r="E28" s="209" t="s">
        <v>630</v>
      </c>
      <c r="F28" s="210" t="s">
        <v>163</v>
      </c>
      <c r="G28" s="209">
        <v>1</v>
      </c>
      <c r="H28" s="210" t="s">
        <v>68</v>
      </c>
      <c r="I28" s="209" t="s">
        <v>75</v>
      </c>
      <c r="J28" s="209" t="s">
        <v>120</v>
      </c>
      <c r="K28" s="210" t="s">
        <v>131</v>
      </c>
      <c r="L28" s="210" t="s">
        <v>67</v>
      </c>
      <c r="M28" s="209" t="s">
        <v>457</v>
      </c>
      <c r="N28" s="208" t="s">
        <v>529</v>
      </c>
      <c r="O28" s="209"/>
      <c r="P28" s="208"/>
      <c r="Q28" s="209" t="s">
        <v>67</v>
      </c>
      <c r="R28" s="209" t="s">
        <v>67</v>
      </c>
      <c r="S28" s="208"/>
      <c r="T28" s="209"/>
      <c r="U28" s="208"/>
      <c r="V28" s="209" t="s">
        <v>529</v>
      </c>
      <c r="W28" s="208" t="s">
        <v>91</v>
      </c>
      <c r="X28" s="209" t="s">
        <v>67</v>
      </c>
      <c r="Y28" s="208"/>
      <c r="Z28" s="207"/>
      <c r="AA28" s="206" t="s">
        <v>530</v>
      </c>
      <c r="AB28" s="205">
        <v>1</v>
      </c>
      <c r="AC28" s="59"/>
      <c r="AD28" s="59"/>
      <c r="AE28" s="59"/>
      <c r="AF28" s="59"/>
      <c r="AG28" s="59"/>
      <c r="AH28" s="59"/>
      <c r="AI28" s="59"/>
      <c r="AJ28" s="59"/>
      <c r="AK28" s="59"/>
      <c r="AL28" s="65"/>
      <c r="AM28" s="204"/>
    </row>
    <row r="29" spans="1:39" s="1" customFormat="1" ht="24.75" customHeight="1" x14ac:dyDescent="0.3">
      <c r="A29" s="213">
        <v>26</v>
      </c>
      <c r="B29" s="212">
        <v>26</v>
      </c>
      <c r="C29" s="209" t="s">
        <v>626</v>
      </c>
      <c r="D29" s="211" t="s">
        <v>601</v>
      </c>
      <c r="E29" s="209" t="s">
        <v>573</v>
      </c>
      <c r="F29" s="210" t="s">
        <v>163</v>
      </c>
      <c r="G29" s="209">
        <v>1</v>
      </c>
      <c r="H29" s="210" t="s">
        <v>68</v>
      </c>
      <c r="I29" s="209" t="s">
        <v>66</v>
      </c>
      <c r="J29" s="209" t="s">
        <v>120</v>
      </c>
      <c r="K29" s="210" t="s">
        <v>155</v>
      </c>
      <c r="L29" s="210" t="s">
        <v>67</v>
      </c>
      <c r="M29" s="209" t="s">
        <v>454</v>
      </c>
      <c r="N29" s="208" t="s">
        <v>529</v>
      </c>
      <c r="O29" s="209"/>
      <c r="P29" s="208"/>
      <c r="Q29" s="209" t="s">
        <v>67</v>
      </c>
      <c r="R29" s="209" t="s">
        <v>67</v>
      </c>
      <c r="S29" s="208" t="s">
        <v>529</v>
      </c>
      <c r="T29" s="209"/>
      <c r="U29" s="208"/>
      <c r="V29" s="209" t="s">
        <v>529</v>
      </c>
      <c r="W29" s="208" t="s">
        <v>92</v>
      </c>
      <c r="X29" s="209" t="s">
        <v>67</v>
      </c>
      <c r="Y29" s="208"/>
      <c r="Z29" s="207"/>
      <c r="AA29" s="206" t="s">
        <v>530</v>
      </c>
      <c r="AB29" s="205">
        <v>1</v>
      </c>
      <c r="AC29" s="59"/>
      <c r="AD29" s="59"/>
      <c r="AE29" s="59"/>
      <c r="AF29" s="59"/>
      <c r="AG29" s="59"/>
      <c r="AH29" s="59"/>
      <c r="AI29" s="59">
        <v>1</v>
      </c>
      <c r="AJ29" s="59"/>
      <c r="AK29" s="59"/>
      <c r="AL29" s="65"/>
      <c r="AM29" s="204" t="s">
        <v>629</v>
      </c>
    </row>
    <row r="30" spans="1:39" s="1" customFormat="1" ht="24.75" customHeight="1" x14ac:dyDescent="0.3">
      <c r="A30" s="213">
        <v>27</v>
      </c>
      <c r="B30" s="212">
        <v>27</v>
      </c>
      <c r="C30" s="209" t="s">
        <v>626</v>
      </c>
      <c r="D30" s="211" t="s">
        <v>601</v>
      </c>
      <c r="E30" s="209" t="s">
        <v>628</v>
      </c>
      <c r="F30" s="210" t="s">
        <v>163</v>
      </c>
      <c r="G30" s="209">
        <v>1</v>
      </c>
      <c r="H30" s="210" t="s">
        <v>68</v>
      </c>
      <c r="I30" s="209" t="s">
        <v>66</v>
      </c>
      <c r="J30" s="209" t="s">
        <v>120</v>
      </c>
      <c r="K30" s="210" t="s">
        <v>155</v>
      </c>
      <c r="L30" s="210" t="s">
        <v>67</v>
      </c>
      <c r="M30" s="209" t="s">
        <v>457</v>
      </c>
      <c r="N30" s="208" t="s">
        <v>529</v>
      </c>
      <c r="O30" s="209"/>
      <c r="P30" s="208"/>
      <c r="Q30" s="209" t="s">
        <v>67</v>
      </c>
      <c r="R30" s="209" t="s">
        <v>67</v>
      </c>
      <c r="S30" s="208" t="s">
        <v>529</v>
      </c>
      <c r="T30" s="209"/>
      <c r="U30" s="208"/>
      <c r="V30" s="209" t="s">
        <v>529</v>
      </c>
      <c r="W30" s="208" t="s">
        <v>92</v>
      </c>
      <c r="X30" s="209" t="s">
        <v>67</v>
      </c>
      <c r="Y30" s="208"/>
      <c r="Z30" s="207"/>
      <c r="AA30" s="206" t="s">
        <v>530</v>
      </c>
      <c r="AB30" s="205">
        <v>1</v>
      </c>
      <c r="AC30" s="59"/>
      <c r="AD30" s="59"/>
      <c r="AE30" s="59"/>
      <c r="AF30" s="59"/>
      <c r="AG30" s="59"/>
      <c r="AH30" s="59"/>
      <c r="AI30" s="59">
        <v>1</v>
      </c>
      <c r="AJ30" s="59"/>
      <c r="AK30" s="59"/>
      <c r="AL30" s="65"/>
      <c r="AM30" s="204"/>
    </row>
    <row r="31" spans="1:39" s="1" customFormat="1" ht="24.75" customHeight="1" x14ac:dyDescent="0.3">
      <c r="A31" s="213">
        <v>28</v>
      </c>
      <c r="B31" s="212">
        <v>28</v>
      </c>
      <c r="C31" s="209" t="s">
        <v>626</v>
      </c>
      <c r="D31" s="211" t="s">
        <v>601</v>
      </c>
      <c r="E31" s="209" t="s">
        <v>618</v>
      </c>
      <c r="F31" s="210" t="s">
        <v>604</v>
      </c>
      <c r="G31" s="209">
        <v>1</v>
      </c>
      <c r="H31" s="210" t="s">
        <v>68</v>
      </c>
      <c r="I31" s="209" t="s">
        <v>66</v>
      </c>
      <c r="J31" s="209" t="s">
        <v>121</v>
      </c>
      <c r="K31" s="210" t="s">
        <v>155</v>
      </c>
      <c r="L31" s="210" t="s">
        <v>67</v>
      </c>
      <c r="M31" s="209" t="s">
        <v>457</v>
      </c>
      <c r="N31" s="208" t="s">
        <v>529</v>
      </c>
      <c r="O31" s="209"/>
      <c r="P31" s="208"/>
      <c r="Q31" s="209" t="s">
        <v>67</v>
      </c>
      <c r="R31" s="209" t="s">
        <v>67</v>
      </c>
      <c r="S31" s="208" t="s">
        <v>529</v>
      </c>
      <c r="T31" s="209"/>
      <c r="U31" s="208"/>
      <c r="V31" s="209" t="s">
        <v>529</v>
      </c>
      <c r="W31" s="208" t="s">
        <v>92</v>
      </c>
      <c r="X31" s="209" t="s">
        <v>67</v>
      </c>
      <c r="Y31" s="208"/>
      <c r="Z31" s="207"/>
      <c r="AA31" s="206" t="s">
        <v>530</v>
      </c>
      <c r="AB31" s="205">
        <v>1</v>
      </c>
      <c r="AC31" s="215">
        <v>1</v>
      </c>
      <c r="AD31" s="59">
        <v>1</v>
      </c>
      <c r="AE31" s="59">
        <v>1</v>
      </c>
      <c r="AF31" s="59"/>
      <c r="AG31" s="59"/>
      <c r="AH31" s="59"/>
      <c r="AI31" s="59"/>
      <c r="AJ31" s="59"/>
      <c r="AK31" s="59"/>
      <c r="AL31" s="65"/>
      <c r="AM31" s="214" t="s">
        <v>627</v>
      </c>
    </row>
    <row r="32" spans="1:39" s="1" customFormat="1" ht="24.75" customHeight="1" x14ac:dyDescent="0.3">
      <c r="A32" s="213">
        <v>29</v>
      </c>
      <c r="B32" s="212">
        <v>29</v>
      </c>
      <c r="C32" s="209" t="s">
        <v>626</v>
      </c>
      <c r="D32" s="211" t="s">
        <v>601</v>
      </c>
      <c r="E32" s="209" t="s">
        <v>612</v>
      </c>
      <c r="F32" s="210" t="s">
        <v>604</v>
      </c>
      <c r="G32" s="209">
        <v>1</v>
      </c>
      <c r="H32" s="210" t="s">
        <v>68</v>
      </c>
      <c r="I32" s="209" t="s">
        <v>66</v>
      </c>
      <c r="J32" s="209" t="s">
        <v>120</v>
      </c>
      <c r="K32" s="210" t="s">
        <v>155</v>
      </c>
      <c r="L32" s="210" t="s">
        <v>67</v>
      </c>
      <c r="M32" s="209" t="s">
        <v>457</v>
      </c>
      <c r="N32" s="208" t="s">
        <v>529</v>
      </c>
      <c r="O32" s="209"/>
      <c r="P32" s="208"/>
      <c r="Q32" s="209" t="s">
        <v>67</v>
      </c>
      <c r="R32" s="209" t="s">
        <v>67</v>
      </c>
      <c r="S32" s="208" t="s">
        <v>529</v>
      </c>
      <c r="T32" s="209" t="s">
        <v>529</v>
      </c>
      <c r="U32" s="208"/>
      <c r="V32" s="209" t="s">
        <v>529</v>
      </c>
      <c r="W32" s="208" t="s">
        <v>92</v>
      </c>
      <c r="X32" s="209" t="s">
        <v>49</v>
      </c>
      <c r="Y32" s="208" t="s">
        <v>529</v>
      </c>
      <c r="Z32" s="207"/>
      <c r="AA32" s="206" t="s">
        <v>530</v>
      </c>
      <c r="AB32" s="205">
        <v>1</v>
      </c>
      <c r="AC32" s="215">
        <v>1</v>
      </c>
      <c r="AD32" s="59">
        <v>1</v>
      </c>
      <c r="AE32" s="59">
        <v>1</v>
      </c>
      <c r="AF32" s="59"/>
      <c r="AG32" s="59"/>
      <c r="AH32" s="59"/>
      <c r="AI32" s="59"/>
      <c r="AJ32" s="59"/>
      <c r="AK32" s="59"/>
      <c r="AL32" s="65"/>
      <c r="AM32" s="214" t="s">
        <v>625</v>
      </c>
    </row>
    <row r="33" spans="1:39" s="1" customFormat="1" ht="24.75" customHeight="1" x14ac:dyDescent="0.3">
      <c r="A33" s="213">
        <v>30</v>
      </c>
      <c r="B33" s="212">
        <v>30</v>
      </c>
      <c r="C33" s="209" t="s">
        <v>620</v>
      </c>
      <c r="D33" s="209" t="s">
        <v>621</v>
      </c>
      <c r="E33" s="209" t="s">
        <v>618</v>
      </c>
      <c r="F33" s="210" t="s">
        <v>604</v>
      </c>
      <c r="G33" s="209">
        <v>1</v>
      </c>
      <c r="H33" s="210" t="s">
        <v>68</v>
      </c>
      <c r="I33" s="209" t="s">
        <v>66</v>
      </c>
      <c r="J33" s="209" t="s">
        <v>121</v>
      </c>
      <c r="K33" s="210" t="s">
        <v>155</v>
      </c>
      <c r="L33" s="210" t="s">
        <v>67</v>
      </c>
      <c r="M33" s="209" t="s">
        <v>66</v>
      </c>
      <c r="N33" s="208" t="s">
        <v>529</v>
      </c>
      <c r="O33" s="209"/>
      <c r="P33" s="208"/>
      <c r="Q33" s="209" t="s">
        <v>67</v>
      </c>
      <c r="R33" s="209" t="s">
        <v>67</v>
      </c>
      <c r="S33" s="208"/>
      <c r="T33" s="209"/>
      <c r="U33" s="208"/>
      <c r="V33" s="209"/>
      <c r="W33" s="208" t="s">
        <v>92</v>
      </c>
      <c r="X33" s="209" t="s">
        <v>67</v>
      </c>
      <c r="Y33" s="208"/>
      <c r="Z33" s="207"/>
      <c r="AA33" s="206" t="s">
        <v>530</v>
      </c>
      <c r="AB33" s="205"/>
      <c r="AC33" s="59"/>
      <c r="AD33" s="59"/>
      <c r="AE33" s="59"/>
      <c r="AF33" s="59"/>
      <c r="AG33" s="59">
        <v>1</v>
      </c>
      <c r="AH33" s="59"/>
      <c r="AI33" s="59"/>
      <c r="AJ33" s="59"/>
      <c r="AK33" s="59"/>
      <c r="AL33" s="65"/>
      <c r="AM33" s="204" t="s">
        <v>624</v>
      </c>
    </row>
    <row r="34" spans="1:39" s="1" customFormat="1" ht="24.75" customHeight="1" x14ac:dyDescent="0.3">
      <c r="A34" s="213">
        <v>31</v>
      </c>
      <c r="B34" s="212">
        <v>31</v>
      </c>
      <c r="C34" s="209" t="s">
        <v>620</v>
      </c>
      <c r="D34" s="211" t="s">
        <v>601</v>
      </c>
      <c r="E34" s="209" t="s">
        <v>612</v>
      </c>
      <c r="F34" s="210" t="s">
        <v>604</v>
      </c>
      <c r="G34" s="209">
        <v>1</v>
      </c>
      <c r="H34" s="210" t="s">
        <v>68</v>
      </c>
      <c r="I34" s="209" t="s">
        <v>66</v>
      </c>
      <c r="J34" s="209" t="s">
        <v>120</v>
      </c>
      <c r="K34" s="210" t="s">
        <v>155</v>
      </c>
      <c r="L34" s="210" t="s">
        <v>67</v>
      </c>
      <c r="M34" s="209" t="s">
        <v>623</v>
      </c>
      <c r="N34" s="208" t="s">
        <v>529</v>
      </c>
      <c r="O34" s="209"/>
      <c r="P34" s="208"/>
      <c r="Q34" s="209" t="s">
        <v>67</v>
      </c>
      <c r="R34" s="209" t="s">
        <v>67</v>
      </c>
      <c r="S34" s="208" t="s">
        <v>529</v>
      </c>
      <c r="T34" s="209" t="s">
        <v>529</v>
      </c>
      <c r="U34" s="208"/>
      <c r="V34" s="209" t="s">
        <v>529</v>
      </c>
      <c r="W34" s="208" t="s">
        <v>91</v>
      </c>
      <c r="X34" s="209" t="s">
        <v>67</v>
      </c>
      <c r="Y34" s="208" t="s">
        <v>529</v>
      </c>
      <c r="Z34" s="207"/>
      <c r="AA34" s="206" t="s">
        <v>530</v>
      </c>
      <c r="AB34" s="205">
        <v>1</v>
      </c>
      <c r="AC34" s="215">
        <v>1</v>
      </c>
      <c r="AD34" s="59"/>
      <c r="AE34" s="59">
        <v>1</v>
      </c>
      <c r="AF34" s="59"/>
      <c r="AG34" s="59"/>
      <c r="AH34" s="59"/>
      <c r="AI34" s="59"/>
      <c r="AJ34" s="59"/>
      <c r="AK34" s="59"/>
      <c r="AL34" s="65"/>
      <c r="AM34" s="214" t="s">
        <v>622</v>
      </c>
    </row>
    <row r="35" spans="1:39" s="1" customFormat="1" ht="24.75" customHeight="1" x14ac:dyDescent="0.3">
      <c r="A35" s="213">
        <v>32</v>
      </c>
      <c r="B35" s="212">
        <v>32</v>
      </c>
      <c r="C35" s="209" t="s">
        <v>620</v>
      </c>
      <c r="D35" s="211" t="s">
        <v>601</v>
      </c>
      <c r="E35" s="209" t="s">
        <v>621</v>
      </c>
      <c r="F35" s="210" t="s">
        <v>163</v>
      </c>
      <c r="G35" s="209">
        <v>1</v>
      </c>
      <c r="H35" s="210" t="s">
        <v>68</v>
      </c>
      <c r="I35" s="209" t="s">
        <v>197</v>
      </c>
      <c r="J35" s="209" t="s">
        <v>120</v>
      </c>
      <c r="K35" s="210" t="s">
        <v>125</v>
      </c>
      <c r="L35" s="210" t="s">
        <v>67</v>
      </c>
      <c r="M35" s="209" t="s">
        <v>457</v>
      </c>
      <c r="N35" s="208"/>
      <c r="O35" s="209"/>
      <c r="P35" s="208"/>
      <c r="Q35" s="209" t="s">
        <v>67</v>
      </c>
      <c r="R35" s="209" t="s">
        <v>67</v>
      </c>
      <c r="S35" s="208" t="s">
        <v>529</v>
      </c>
      <c r="T35" s="209" t="s">
        <v>529</v>
      </c>
      <c r="U35" s="208"/>
      <c r="V35" s="209" t="s">
        <v>529</v>
      </c>
      <c r="W35" s="208" t="s">
        <v>91</v>
      </c>
      <c r="X35" s="209" t="s">
        <v>67</v>
      </c>
      <c r="Y35" s="208" t="s">
        <v>529</v>
      </c>
      <c r="Z35" s="207"/>
      <c r="AA35" s="206" t="s">
        <v>530</v>
      </c>
      <c r="AB35" s="205">
        <v>1</v>
      </c>
      <c r="AC35" s="59"/>
      <c r="AD35" s="59"/>
      <c r="AE35" s="59"/>
      <c r="AF35" s="59"/>
      <c r="AG35" s="59"/>
      <c r="AH35" s="59"/>
      <c r="AI35" s="59"/>
      <c r="AJ35" s="59"/>
      <c r="AK35" s="59"/>
      <c r="AL35" s="65"/>
      <c r="AM35" s="204"/>
    </row>
    <row r="36" spans="1:39" s="1" customFormat="1" ht="24.75" customHeight="1" x14ac:dyDescent="0.3">
      <c r="A36" s="213">
        <v>33</v>
      </c>
      <c r="B36" s="212">
        <v>33</v>
      </c>
      <c r="C36" s="209" t="s">
        <v>620</v>
      </c>
      <c r="D36" s="211" t="s">
        <v>601</v>
      </c>
      <c r="E36" s="209" t="s">
        <v>619</v>
      </c>
      <c r="F36" s="210" t="s">
        <v>170</v>
      </c>
      <c r="G36" s="209">
        <v>2</v>
      </c>
      <c r="H36" s="210" t="s">
        <v>39</v>
      </c>
      <c r="I36" s="209" t="s">
        <v>151</v>
      </c>
      <c r="J36" s="209" t="s">
        <v>80</v>
      </c>
      <c r="K36" s="210" t="s">
        <v>139</v>
      </c>
      <c r="L36" s="210" t="s">
        <v>143</v>
      </c>
      <c r="M36" s="209" t="s">
        <v>456</v>
      </c>
      <c r="N36" s="208" t="s">
        <v>529</v>
      </c>
      <c r="O36" s="209"/>
      <c r="P36" s="208"/>
      <c r="Q36" s="209" t="s">
        <v>67</v>
      </c>
      <c r="R36" s="209" t="s">
        <v>67</v>
      </c>
      <c r="S36" s="208"/>
      <c r="T36" s="209"/>
      <c r="U36" s="208"/>
      <c r="V36" s="209" t="s">
        <v>529</v>
      </c>
      <c r="W36" s="208" t="s">
        <v>92</v>
      </c>
      <c r="X36" s="209" t="s">
        <v>67</v>
      </c>
      <c r="Y36" s="208"/>
      <c r="Z36" s="207"/>
      <c r="AA36" s="206" t="s">
        <v>530</v>
      </c>
      <c r="AB36" s="205">
        <v>1</v>
      </c>
      <c r="AC36" s="59"/>
      <c r="AD36" s="59"/>
      <c r="AE36" s="59"/>
      <c r="AF36" s="59"/>
      <c r="AG36" s="59"/>
      <c r="AH36" s="59"/>
      <c r="AI36" s="59"/>
      <c r="AJ36" s="59"/>
      <c r="AK36" s="59"/>
      <c r="AL36" s="65"/>
      <c r="AM36" s="204"/>
    </row>
    <row r="37" spans="1:39" s="1" customFormat="1" ht="24.75" customHeight="1" x14ac:dyDescent="0.3">
      <c r="A37" s="213">
        <v>34</v>
      </c>
      <c r="B37" s="212">
        <v>34</v>
      </c>
      <c r="C37" s="209" t="s">
        <v>568</v>
      </c>
      <c r="D37" s="211" t="s">
        <v>613</v>
      </c>
      <c r="E37" s="209" t="s">
        <v>618</v>
      </c>
      <c r="F37" s="210" t="s">
        <v>66</v>
      </c>
      <c r="G37" s="209">
        <v>1</v>
      </c>
      <c r="H37" s="210" t="s">
        <v>66</v>
      </c>
      <c r="I37" s="209" t="s">
        <v>66</v>
      </c>
      <c r="J37" s="209" t="s">
        <v>66</v>
      </c>
      <c r="K37" s="210" t="s">
        <v>66</v>
      </c>
      <c r="L37" s="210" t="s">
        <v>66</v>
      </c>
      <c r="M37" s="209" t="s">
        <v>66</v>
      </c>
      <c r="N37" s="208"/>
      <c r="O37" s="209"/>
      <c r="P37" s="208"/>
      <c r="Q37" s="209" t="s">
        <v>67</v>
      </c>
      <c r="R37" s="209" t="s">
        <v>67</v>
      </c>
      <c r="S37" s="208"/>
      <c r="T37" s="209"/>
      <c r="U37" s="208"/>
      <c r="V37" s="209"/>
      <c r="W37" s="208" t="s">
        <v>92</v>
      </c>
      <c r="X37" s="209" t="s">
        <v>67</v>
      </c>
      <c r="Y37" s="208"/>
      <c r="Z37" s="207"/>
      <c r="AA37" s="206" t="s">
        <v>530</v>
      </c>
      <c r="AB37" s="205"/>
      <c r="AC37" s="59"/>
      <c r="AD37" s="59"/>
      <c r="AE37" s="59"/>
      <c r="AF37" s="59"/>
      <c r="AG37" s="59">
        <v>1</v>
      </c>
      <c r="AH37" s="59"/>
      <c r="AI37" s="59"/>
      <c r="AJ37" s="59"/>
      <c r="AK37" s="59"/>
      <c r="AL37" s="65"/>
      <c r="AM37" s="204" t="s">
        <v>617</v>
      </c>
    </row>
    <row r="38" spans="1:39" s="1" customFormat="1" ht="24.75" customHeight="1" x14ac:dyDescent="0.3">
      <c r="A38" s="213">
        <v>35</v>
      </c>
      <c r="B38" s="212">
        <v>35</v>
      </c>
      <c r="C38" s="209" t="s">
        <v>568</v>
      </c>
      <c r="D38" s="211" t="s">
        <v>601</v>
      </c>
      <c r="E38" s="209" t="s">
        <v>616</v>
      </c>
      <c r="F38" s="210" t="s">
        <v>162</v>
      </c>
      <c r="G38" s="209">
        <v>1</v>
      </c>
      <c r="H38" s="210" t="s">
        <v>68</v>
      </c>
      <c r="I38" s="209" t="s">
        <v>66</v>
      </c>
      <c r="J38" s="209" t="s">
        <v>120</v>
      </c>
      <c r="K38" s="210" t="s">
        <v>155</v>
      </c>
      <c r="L38" s="210" t="s">
        <v>67</v>
      </c>
      <c r="M38" s="209" t="s">
        <v>615</v>
      </c>
      <c r="N38" s="208" t="s">
        <v>529</v>
      </c>
      <c r="O38" s="209"/>
      <c r="P38" s="208"/>
      <c r="Q38" s="209" t="s">
        <v>67</v>
      </c>
      <c r="R38" s="209" t="s">
        <v>67</v>
      </c>
      <c r="S38" s="208" t="s">
        <v>529</v>
      </c>
      <c r="T38" s="209"/>
      <c r="U38" s="208"/>
      <c r="V38" s="209"/>
      <c r="W38" s="208" t="s">
        <v>91</v>
      </c>
      <c r="X38" s="209" t="s">
        <v>67</v>
      </c>
      <c r="Y38" s="208"/>
      <c r="Z38" s="207"/>
      <c r="AA38" s="206" t="s">
        <v>530</v>
      </c>
      <c r="AB38" s="205">
        <v>1</v>
      </c>
      <c r="AC38" s="215">
        <v>1</v>
      </c>
      <c r="AD38" s="59">
        <v>1</v>
      </c>
      <c r="AE38" s="59">
        <v>1</v>
      </c>
      <c r="AF38" s="59">
        <v>1</v>
      </c>
      <c r="AG38" s="59"/>
      <c r="AH38" s="59"/>
      <c r="AI38" s="59"/>
      <c r="AJ38" s="59"/>
      <c r="AK38" s="59"/>
      <c r="AL38" s="65"/>
      <c r="AM38" s="214" t="s">
        <v>614</v>
      </c>
    </row>
    <row r="39" spans="1:39" s="1" customFormat="1" ht="24.75" customHeight="1" x14ac:dyDescent="0.3">
      <c r="A39" s="213">
        <v>36</v>
      </c>
      <c r="B39" s="212">
        <v>36</v>
      </c>
      <c r="C39" s="209" t="s">
        <v>568</v>
      </c>
      <c r="D39" s="211" t="s">
        <v>613</v>
      </c>
      <c r="E39" s="209" t="s">
        <v>612</v>
      </c>
      <c r="F39" s="210" t="s">
        <v>164</v>
      </c>
      <c r="G39" s="209">
        <v>1</v>
      </c>
      <c r="H39" s="210" t="s">
        <v>68</v>
      </c>
      <c r="I39" s="209" t="s">
        <v>76</v>
      </c>
      <c r="J39" s="209" t="s">
        <v>120</v>
      </c>
      <c r="K39" s="210" t="s">
        <v>153</v>
      </c>
      <c r="L39" s="210" t="s">
        <v>67</v>
      </c>
      <c r="M39" s="209" t="s">
        <v>456</v>
      </c>
      <c r="N39" s="208" t="s">
        <v>529</v>
      </c>
      <c r="O39" s="209"/>
      <c r="P39" s="208"/>
      <c r="Q39" s="209" t="s">
        <v>67</v>
      </c>
      <c r="R39" s="209" t="s">
        <v>67</v>
      </c>
      <c r="S39" s="208" t="s">
        <v>529</v>
      </c>
      <c r="T39" s="209"/>
      <c r="U39" s="208"/>
      <c r="V39" s="209" t="s">
        <v>529</v>
      </c>
      <c r="W39" s="208" t="s">
        <v>91</v>
      </c>
      <c r="X39" s="209" t="s">
        <v>105</v>
      </c>
      <c r="Y39" s="208"/>
      <c r="Z39" s="207"/>
      <c r="AA39" s="206" t="s">
        <v>530</v>
      </c>
      <c r="AB39" s="205">
        <v>1</v>
      </c>
      <c r="AC39" s="59"/>
      <c r="AD39" s="59"/>
      <c r="AE39" s="59"/>
      <c r="AF39" s="59"/>
      <c r="AG39" s="59"/>
      <c r="AH39" s="59">
        <v>1</v>
      </c>
      <c r="AI39" s="59"/>
      <c r="AJ39" s="59"/>
      <c r="AK39" s="59"/>
      <c r="AL39" s="65"/>
      <c r="AM39" s="204" t="s">
        <v>611</v>
      </c>
    </row>
    <row r="40" spans="1:39" s="1" customFormat="1" ht="24.75" customHeight="1" x14ac:dyDescent="0.3">
      <c r="A40" s="213">
        <v>37</v>
      </c>
      <c r="B40" s="212">
        <v>37</v>
      </c>
      <c r="C40" s="209" t="s">
        <v>563</v>
      </c>
      <c r="D40" s="211" t="s">
        <v>601</v>
      </c>
      <c r="E40" s="209" t="s">
        <v>610</v>
      </c>
      <c r="F40" s="210" t="s">
        <v>162</v>
      </c>
      <c r="G40" s="209">
        <v>1</v>
      </c>
      <c r="H40" s="210" t="s">
        <v>68</v>
      </c>
      <c r="I40" s="209" t="s">
        <v>66</v>
      </c>
      <c r="J40" s="209" t="s">
        <v>121</v>
      </c>
      <c r="K40" s="210" t="s">
        <v>125</v>
      </c>
      <c r="L40" s="210" t="s">
        <v>67</v>
      </c>
      <c r="M40" s="209" t="s">
        <v>456</v>
      </c>
      <c r="N40" s="208"/>
      <c r="O40" s="209"/>
      <c r="P40" s="208"/>
      <c r="Q40" s="209" t="s">
        <v>67</v>
      </c>
      <c r="R40" s="209" t="s">
        <v>67</v>
      </c>
      <c r="S40" s="208"/>
      <c r="T40" s="209"/>
      <c r="U40" s="208"/>
      <c r="V40" s="209" t="s">
        <v>529</v>
      </c>
      <c r="W40" s="208" t="s">
        <v>92</v>
      </c>
      <c r="X40" s="209" t="s">
        <v>67</v>
      </c>
      <c r="Y40" s="208"/>
      <c r="Z40" s="207"/>
      <c r="AA40" s="206" t="s">
        <v>530</v>
      </c>
      <c r="AB40" s="205">
        <v>1</v>
      </c>
      <c r="AC40" s="215">
        <v>1</v>
      </c>
      <c r="AD40" s="59"/>
      <c r="AE40" s="59"/>
      <c r="AF40" s="59">
        <v>1</v>
      </c>
      <c r="AG40" s="59"/>
      <c r="AH40" s="59"/>
      <c r="AI40" s="59"/>
      <c r="AJ40" s="59"/>
      <c r="AK40" s="59"/>
      <c r="AL40" s="65"/>
      <c r="AM40" s="214" t="s">
        <v>609</v>
      </c>
    </row>
    <row r="41" spans="1:39" s="1" customFormat="1" ht="24.75" customHeight="1" x14ac:dyDescent="0.3">
      <c r="A41" s="213">
        <v>38</v>
      </c>
      <c r="B41" s="212">
        <v>38</v>
      </c>
      <c r="C41" s="209" t="s">
        <v>563</v>
      </c>
      <c r="D41" s="211" t="s">
        <v>601</v>
      </c>
      <c r="E41" s="209" t="s">
        <v>66</v>
      </c>
      <c r="F41" s="210" t="s">
        <v>66</v>
      </c>
      <c r="G41" s="209">
        <v>1</v>
      </c>
      <c r="H41" s="210" t="s">
        <v>66</v>
      </c>
      <c r="I41" s="209" t="s">
        <v>66</v>
      </c>
      <c r="J41" s="209" t="s">
        <v>66</v>
      </c>
      <c r="K41" s="210" t="s">
        <v>66</v>
      </c>
      <c r="L41" s="210" t="s">
        <v>66</v>
      </c>
      <c r="M41" s="209" t="s">
        <v>66</v>
      </c>
      <c r="N41" s="208"/>
      <c r="O41" s="209"/>
      <c r="P41" s="208"/>
      <c r="Q41" s="209" t="s">
        <v>67</v>
      </c>
      <c r="R41" s="209" t="s">
        <v>67</v>
      </c>
      <c r="S41" s="208"/>
      <c r="T41" s="209"/>
      <c r="U41" s="208"/>
      <c r="V41" s="209" t="s">
        <v>529</v>
      </c>
      <c r="W41" s="208" t="s">
        <v>92</v>
      </c>
      <c r="X41" s="209" t="s">
        <v>67</v>
      </c>
      <c r="Y41" s="208"/>
      <c r="Z41" s="207"/>
      <c r="AA41" s="206" t="s">
        <v>530</v>
      </c>
      <c r="AB41" s="205"/>
      <c r="AC41" s="59"/>
      <c r="AD41" s="59"/>
      <c r="AE41" s="59"/>
      <c r="AF41" s="59"/>
      <c r="AG41" s="59">
        <v>1</v>
      </c>
      <c r="AH41" s="59"/>
      <c r="AI41" s="59"/>
      <c r="AJ41" s="59"/>
      <c r="AK41" s="59"/>
      <c r="AL41" s="65"/>
      <c r="AM41" s="204"/>
    </row>
    <row r="42" spans="1:39" s="1" customFormat="1" ht="24.75" customHeight="1" x14ac:dyDescent="0.3">
      <c r="A42" s="213">
        <v>39</v>
      </c>
      <c r="B42" s="212">
        <v>39</v>
      </c>
      <c r="C42" s="209" t="s">
        <v>563</v>
      </c>
      <c r="D42" s="211" t="s">
        <v>601</v>
      </c>
      <c r="E42" s="209" t="s">
        <v>602</v>
      </c>
      <c r="F42" s="210" t="s">
        <v>163</v>
      </c>
      <c r="G42" s="209">
        <v>1</v>
      </c>
      <c r="H42" s="210" t="s">
        <v>68</v>
      </c>
      <c r="I42" s="209" t="s">
        <v>197</v>
      </c>
      <c r="J42" s="209" t="s">
        <v>120</v>
      </c>
      <c r="K42" s="210" t="s">
        <v>125</v>
      </c>
      <c r="L42" s="210" t="s">
        <v>67</v>
      </c>
      <c r="M42" s="209" t="s">
        <v>66</v>
      </c>
      <c r="N42" s="208"/>
      <c r="O42" s="209"/>
      <c r="P42" s="208"/>
      <c r="Q42" s="209" t="s">
        <v>67</v>
      </c>
      <c r="R42" s="209" t="s">
        <v>67</v>
      </c>
      <c r="S42" s="208"/>
      <c r="T42" s="209"/>
      <c r="U42" s="208"/>
      <c r="V42" s="209" t="s">
        <v>529</v>
      </c>
      <c r="W42" s="208" t="s">
        <v>92</v>
      </c>
      <c r="X42" s="209" t="s">
        <v>67</v>
      </c>
      <c r="Y42" s="208"/>
      <c r="Z42" s="207"/>
      <c r="AA42" s="206" t="s">
        <v>530</v>
      </c>
      <c r="AB42" s="205"/>
      <c r="AC42" s="59"/>
      <c r="AD42" s="59"/>
      <c r="AE42" s="59"/>
      <c r="AF42" s="59"/>
      <c r="AG42" s="59">
        <v>1</v>
      </c>
      <c r="AH42" s="59"/>
      <c r="AI42" s="59"/>
      <c r="AJ42" s="59"/>
      <c r="AK42" s="59"/>
      <c r="AL42" s="65"/>
      <c r="AM42" s="204" t="s">
        <v>608</v>
      </c>
    </row>
    <row r="43" spans="1:39" s="1" customFormat="1" ht="24.75" customHeight="1" x14ac:dyDescent="0.3">
      <c r="A43" s="213">
        <v>40</v>
      </c>
      <c r="B43" s="212">
        <v>40</v>
      </c>
      <c r="C43" s="209" t="s">
        <v>563</v>
      </c>
      <c r="D43" s="211" t="s">
        <v>601</v>
      </c>
      <c r="E43" s="209" t="s">
        <v>602</v>
      </c>
      <c r="F43" s="210" t="s">
        <v>163</v>
      </c>
      <c r="G43" s="209">
        <v>1</v>
      </c>
      <c r="H43" s="210" t="s">
        <v>68</v>
      </c>
      <c r="I43" s="209" t="s">
        <v>197</v>
      </c>
      <c r="J43" s="209" t="s">
        <v>120</v>
      </c>
      <c r="K43" s="210" t="s">
        <v>125</v>
      </c>
      <c r="L43" s="210" t="s">
        <v>67</v>
      </c>
      <c r="M43" s="209" t="s">
        <v>66</v>
      </c>
      <c r="N43" s="208"/>
      <c r="O43" s="209"/>
      <c r="P43" s="208" t="s">
        <v>529</v>
      </c>
      <c r="Q43" s="209" t="s">
        <v>67</v>
      </c>
      <c r="R43" s="209" t="s">
        <v>67</v>
      </c>
      <c r="S43" s="208"/>
      <c r="T43" s="209"/>
      <c r="U43" s="208"/>
      <c r="V43" s="209" t="s">
        <v>529</v>
      </c>
      <c r="W43" s="208" t="s">
        <v>92</v>
      </c>
      <c r="X43" s="209" t="s">
        <v>67</v>
      </c>
      <c r="Y43" s="208"/>
      <c r="Z43" s="207"/>
      <c r="AA43" s="206" t="s">
        <v>530</v>
      </c>
      <c r="AB43" s="205"/>
      <c r="AC43" s="59"/>
      <c r="AD43" s="59"/>
      <c r="AE43" s="59"/>
      <c r="AF43" s="59"/>
      <c r="AG43" s="59">
        <v>1</v>
      </c>
      <c r="AH43" s="59"/>
      <c r="AI43" s="59"/>
      <c r="AJ43" s="59"/>
      <c r="AK43" s="59"/>
      <c r="AL43" s="65"/>
      <c r="AM43" s="204" t="s">
        <v>607</v>
      </c>
    </row>
    <row r="44" spans="1:39" s="1" customFormat="1" ht="24.75" customHeight="1" x14ac:dyDescent="0.3">
      <c r="A44" s="213">
        <v>41</v>
      </c>
      <c r="B44" s="212">
        <v>41</v>
      </c>
      <c r="C44" s="209" t="s">
        <v>563</v>
      </c>
      <c r="D44" s="211" t="s">
        <v>601</v>
      </c>
      <c r="E44" s="209" t="s">
        <v>606</v>
      </c>
      <c r="F44" s="210" t="s">
        <v>162</v>
      </c>
      <c r="G44" s="209">
        <v>1</v>
      </c>
      <c r="H44" s="210" t="s">
        <v>68</v>
      </c>
      <c r="I44" s="209" t="s">
        <v>66</v>
      </c>
      <c r="J44" s="209" t="s">
        <v>120</v>
      </c>
      <c r="K44" s="210" t="s">
        <v>155</v>
      </c>
      <c r="L44" s="210" t="s">
        <v>67</v>
      </c>
      <c r="M44" s="209" t="s">
        <v>455</v>
      </c>
      <c r="N44" s="208" t="s">
        <v>529</v>
      </c>
      <c r="O44" s="209"/>
      <c r="P44" s="208" t="s">
        <v>529</v>
      </c>
      <c r="Q44" s="209" t="s">
        <v>67</v>
      </c>
      <c r="R44" s="209" t="s">
        <v>67</v>
      </c>
      <c r="S44" s="208" t="s">
        <v>529</v>
      </c>
      <c r="T44" s="209"/>
      <c r="U44" s="208"/>
      <c r="V44" s="209" t="s">
        <v>529</v>
      </c>
      <c r="W44" s="208" t="s">
        <v>91</v>
      </c>
      <c r="X44" s="209" t="s">
        <v>67</v>
      </c>
      <c r="Y44" s="208"/>
      <c r="Z44" s="207"/>
      <c r="AA44" s="206" t="s">
        <v>530</v>
      </c>
      <c r="AB44" s="205">
        <v>1</v>
      </c>
      <c r="AC44" s="59">
        <v>1</v>
      </c>
      <c r="AD44" s="59"/>
      <c r="AE44" s="59"/>
      <c r="AF44" s="59">
        <v>1</v>
      </c>
      <c r="AG44" s="59"/>
      <c r="AH44" s="59"/>
      <c r="AI44" s="59"/>
      <c r="AJ44" s="59"/>
      <c r="AK44" s="59"/>
      <c r="AL44" s="65"/>
      <c r="AM44" s="204"/>
    </row>
    <row r="45" spans="1:39" s="1" customFormat="1" ht="24.75" customHeight="1" x14ac:dyDescent="0.3">
      <c r="A45" s="213">
        <v>42</v>
      </c>
      <c r="B45" s="212">
        <v>42</v>
      </c>
      <c r="C45" s="209" t="s">
        <v>563</v>
      </c>
      <c r="D45" s="211" t="s">
        <v>601</v>
      </c>
      <c r="E45" s="209" t="s">
        <v>605</v>
      </c>
      <c r="F45" s="210" t="s">
        <v>604</v>
      </c>
      <c r="G45" s="209">
        <v>1</v>
      </c>
      <c r="H45" s="210" t="s">
        <v>68</v>
      </c>
      <c r="I45" s="209" t="s">
        <v>66</v>
      </c>
      <c r="J45" s="209" t="s">
        <v>120</v>
      </c>
      <c r="K45" s="210" t="s">
        <v>131</v>
      </c>
      <c r="L45" s="210" t="s">
        <v>67</v>
      </c>
      <c r="M45" s="209" t="s">
        <v>457</v>
      </c>
      <c r="N45" s="208"/>
      <c r="O45" s="209"/>
      <c r="P45" s="208"/>
      <c r="Q45" s="209" t="s">
        <v>67</v>
      </c>
      <c r="R45" s="209" t="s">
        <v>67</v>
      </c>
      <c r="S45" s="208"/>
      <c r="T45" s="209"/>
      <c r="U45" s="208"/>
      <c r="V45" s="209" t="s">
        <v>529</v>
      </c>
      <c r="W45" s="208" t="s">
        <v>91</v>
      </c>
      <c r="X45" s="209" t="s">
        <v>67</v>
      </c>
      <c r="Y45" s="208"/>
      <c r="Z45" s="207"/>
      <c r="AA45" s="206" t="s">
        <v>530</v>
      </c>
      <c r="AB45" s="205"/>
      <c r="AC45" s="59"/>
      <c r="AD45" s="59"/>
      <c r="AE45" s="59"/>
      <c r="AF45" s="59"/>
      <c r="AG45" s="59"/>
      <c r="AH45" s="59"/>
      <c r="AI45" s="59"/>
      <c r="AJ45" s="59">
        <v>1</v>
      </c>
      <c r="AK45" s="59">
        <v>1</v>
      </c>
      <c r="AL45" s="65"/>
      <c r="AM45" s="204" t="s">
        <v>603</v>
      </c>
    </row>
    <row r="46" spans="1:39" s="1" customFormat="1" ht="24.75" customHeight="1" x14ac:dyDescent="0.3">
      <c r="A46" s="213">
        <v>43</v>
      </c>
      <c r="B46" s="212">
        <v>43</v>
      </c>
      <c r="C46" s="209" t="s">
        <v>563</v>
      </c>
      <c r="D46" s="211" t="s">
        <v>601</v>
      </c>
      <c r="E46" s="209" t="s">
        <v>601</v>
      </c>
      <c r="F46" s="210" t="s">
        <v>66</v>
      </c>
      <c r="G46" s="209">
        <v>1</v>
      </c>
      <c r="H46" s="210" t="s">
        <v>66</v>
      </c>
      <c r="I46" s="209" t="s">
        <v>66</v>
      </c>
      <c r="J46" s="209" t="s">
        <v>66</v>
      </c>
      <c r="K46" s="210" t="s">
        <v>66</v>
      </c>
      <c r="L46" s="210" t="s">
        <v>67</v>
      </c>
      <c r="M46" s="209" t="s">
        <v>66</v>
      </c>
      <c r="N46" s="208"/>
      <c r="O46" s="209"/>
      <c r="P46" s="208"/>
      <c r="Q46" s="209" t="s">
        <v>67</v>
      </c>
      <c r="R46" s="209" t="s">
        <v>67</v>
      </c>
      <c r="S46" s="208"/>
      <c r="T46" s="209"/>
      <c r="U46" s="208"/>
      <c r="V46" s="209" t="s">
        <v>529</v>
      </c>
      <c r="W46" s="208" t="s">
        <v>92</v>
      </c>
      <c r="X46" s="209" t="s">
        <v>67</v>
      </c>
      <c r="Y46" s="208"/>
      <c r="Z46" s="207"/>
      <c r="AA46" s="206" t="s">
        <v>530</v>
      </c>
      <c r="AB46" s="205"/>
      <c r="AC46" s="59"/>
      <c r="AD46" s="59"/>
      <c r="AE46" s="59"/>
      <c r="AF46" s="59"/>
      <c r="AG46" s="59">
        <v>1</v>
      </c>
      <c r="AH46" s="59"/>
      <c r="AI46" s="59"/>
      <c r="AJ46" s="59"/>
      <c r="AK46" s="59"/>
      <c r="AL46" s="65"/>
      <c r="AM46" s="204" t="s">
        <v>599</v>
      </c>
    </row>
    <row r="47" spans="1:39" s="1" customFormat="1" ht="24.75" customHeight="1" x14ac:dyDescent="0.3">
      <c r="A47" s="213">
        <v>44</v>
      </c>
      <c r="B47" s="212">
        <v>44</v>
      </c>
      <c r="C47" s="209" t="s">
        <v>563</v>
      </c>
      <c r="D47" s="211" t="s">
        <v>601</v>
      </c>
      <c r="E47" s="209" t="s">
        <v>602</v>
      </c>
      <c r="F47" s="210" t="s">
        <v>163</v>
      </c>
      <c r="G47" s="209">
        <v>1</v>
      </c>
      <c r="H47" s="210" t="s">
        <v>68</v>
      </c>
      <c r="I47" s="209" t="s">
        <v>197</v>
      </c>
      <c r="J47" s="209" t="s">
        <v>120</v>
      </c>
      <c r="K47" s="210" t="s">
        <v>125</v>
      </c>
      <c r="L47" s="210" t="s">
        <v>67</v>
      </c>
      <c r="M47" s="209" t="s">
        <v>66</v>
      </c>
      <c r="N47" s="208"/>
      <c r="O47" s="209"/>
      <c r="P47" s="208" t="s">
        <v>529</v>
      </c>
      <c r="Q47" s="209" t="s">
        <v>67</v>
      </c>
      <c r="R47" s="209" t="s">
        <v>67</v>
      </c>
      <c r="S47" s="208"/>
      <c r="T47" s="209"/>
      <c r="U47" s="208"/>
      <c r="V47" s="209" t="s">
        <v>529</v>
      </c>
      <c r="W47" s="208" t="s">
        <v>92</v>
      </c>
      <c r="X47" s="209" t="s">
        <v>67</v>
      </c>
      <c r="Y47" s="208"/>
      <c r="Z47" s="207"/>
      <c r="AA47" s="206" t="s">
        <v>530</v>
      </c>
      <c r="AB47" s="205"/>
      <c r="AC47" s="59"/>
      <c r="AD47" s="59"/>
      <c r="AE47" s="59"/>
      <c r="AF47" s="59"/>
      <c r="AG47" s="59">
        <v>1</v>
      </c>
      <c r="AH47" s="59"/>
      <c r="AI47" s="59"/>
      <c r="AJ47" s="59"/>
      <c r="AK47" s="59"/>
      <c r="AL47" s="65"/>
      <c r="AM47" s="204"/>
    </row>
    <row r="48" spans="1:39" s="1" customFormat="1" ht="24.75" customHeight="1" thickBot="1" x14ac:dyDescent="0.35">
      <c r="A48" s="203">
        <v>45</v>
      </c>
      <c r="B48" s="202">
        <v>45</v>
      </c>
      <c r="C48" s="199" t="s">
        <v>563</v>
      </c>
      <c r="D48" s="201" t="s">
        <v>601</v>
      </c>
      <c r="E48" s="199" t="s">
        <v>601</v>
      </c>
      <c r="F48" s="200" t="s">
        <v>66</v>
      </c>
      <c r="G48" s="199">
        <v>2</v>
      </c>
      <c r="H48" s="200" t="s">
        <v>66</v>
      </c>
      <c r="I48" s="199" t="s">
        <v>66</v>
      </c>
      <c r="J48" s="199" t="s">
        <v>81</v>
      </c>
      <c r="K48" s="200" t="s">
        <v>131</v>
      </c>
      <c r="L48" s="200" t="s">
        <v>600</v>
      </c>
      <c r="M48" s="199" t="s">
        <v>66</v>
      </c>
      <c r="N48" s="198" t="s">
        <v>529</v>
      </c>
      <c r="O48" s="199"/>
      <c r="P48" s="198" t="s">
        <v>529</v>
      </c>
      <c r="Q48" s="199" t="s">
        <v>67</v>
      </c>
      <c r="R48" s="199" t="s">
        <v>67</v>
      </c>
      <c r="S48" s="198"/>
      <c r="T48" s="199"/>
      <c r="U48" s="198"/>
      <c r="V48" s="199" t="s">
        <v>529</v>
      </c>
      <c r="W48" s="198" t="s">
        <v>92</v>
      </c>
      <c r="X48" s="199" t="s">
        <v>67</v>
      </c>
      <c r="Y48" s="198"/>
      <c r="Z48" s="197"/>
      <c r="AA48" s="196" t="s">
        <v>530</v>
      </c>
      <c r="AB48" s="195"/>
      <c r="AC48" s="66"/>
      <c r="AD48" s="66"/>
      <c r="AE48" s="66"/>
      <c r="AF48" s="66"/>
      <c r="AG48" s="66">
        <v>1</v>
      </c>
      <c r="AH48" s="66"/>
      <c r="AI48" s="66"/>
      <c r="AJ48" s="66"/>
      <c r="AK48" s="66"/>
      <c r="AL48" s="67"/>
      <c r="AM48" s="194" t="s">
        <v>599</v>
      </c>
    </row>
    <row r="49" spans="1:191" s="20" customFormat="1" ht="15" thickBot="1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 s="21">
        <f t="shared" ref="AB49:AL49" ca="1" si="0">SUM(INDIRECT(ADDRESS(4,COLUMN(),4) &amp; ":" &amp; ADDRESS(ROW()-1,COLUMN(),4)))</f>
        <v>27</v>
      </c>
      <c r="AC49" s="21">
        <f t="shared" ca="1" si="0"/>
        <v>14</v>
      </c>
      <c r="AD49" s="21">
        <f t="shared" ca="1" si="0"/>
        <v>10</v>
      </c>
      <c r="AE49" s="21">
        <f t="shared" ca="1" si="0"/>
        <v>11</v>
      </c>
      <c r="AF49" s="21">
        <f t="shared" ca="1" si="0"/>
        <v>5</v>
      </c>
      <c r="AG49" s="21">
        <f t="shared" ca="1" si="0"/>
        <v>14</v>
      </c>
      <c r="AH49" s="21">
        <f t="shared" ca="1" si="0"/>
        <v>2</v>
      </c>
      <c r="AI49" s="21">
        <f t="shared" ca="1" si="0"/>
        <v>2</v>
      </c>
      <c r="AJ49" s="21">
        <f t="shared" ca="1" si="0"/>
        <v>1</v>
      </c>
      <c r="AK49" s="21">
        <f t="shared" ca="1" si="0"/>
        <v>1</v>
      </c>
      <c r="AL49" s="21">
        <f t="shared" ca="1" si="0"/>
        <v>1</v>
      </c>
      <c r="AM49" s="22" t="s">
        <v>0</v>
      </c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</row>
  </sheetData>
  <sheetProtection autoFilter="0"/>
  <autoFilter ref="A3:AM49" xr:uid="{00000000-0009-0000-0000-000000000000}"/>
  <mergeCells count="4">
    <mergeCell ref="F2:J2"/>
    <mergeCell ref="K2:R2"/>
    <mergeCell ref="S2:Z2"/>
    <mergeCell ref="AB2:AL2"/>
  </mergeCells>
  <pageMargins left="0.23622047244094491" right="0.23622047244094491" top="0.59055118110236227" bottom="0.39370078740157483" header="0.11811023622047245" footer="0.11811023622047245"/>
  <pageSetup paperSize="8" scale="52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5" name="Button 5">
              <controlPr defaultSize="0" print="0" autoFill="0" autoPict="0" macro="[0]!CreateTemplate">
                <anchor>
                  <from>
                    <xdr:col>0</xdr:col>
                    <xdr:colOff>60960</xdr:colOff>
                    <xdr:row>1</xdr:row>
                    <xdr:rowOff>76200</xdr:rowOff>
                  </from>
                  <to>
                    <xdr:col>0</xdr:col>
                    <xdr:colOff>708660</xdr:colOff>
                    <xdr:row>1</xdr:row>
                    <xdr:rowOff>594360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6" name="Button 7">
              <controlPr defaultSize="0" print="0" autoFill="0" autoPict="0" macro="[0]!CreateDoor">
                <anchor>
                  <from>
                    <xdr:col>2</xdr:col>
                    <xdr:colOff>83820</xdr:colOff>
                    <xdr:row>1</xdr:row>
                    <xdr:rowOff>76200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76200</xdr:rowOff>
                  </from>
                  <to>
                    <xdr:col>3</xdr:col>
                    <xdr:colOff>731520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8" r:id="rId8" name="Button 9">
              <controlPr defaultSize="0" print="0" autoFill="0" autoPict="0" macro="[0]!CreateInspection">
                <anchor>
                  <from>
                    <xdr:col>1</xdr:col>
                    <xdr:colOff>60960</xdr:colOff>
                    <xdr:row>1</xdr:row>
                    <xdr:rowOff>99060</xdr:rowOff>
                  </from>
                  <to>
                    <xdr:col>1</xdr:col>
                    <xdr:colOff>731520</xdr:colOff>
                    <xdr:row>1</xdr:row>
                    <xdr:rowOff>594360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9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99060</xdr:rowOff>
                  </from>
                  <to>
                    <xdr:col>4</xdr:col>
                    <xdr:colOff>754380</xdr:colOff>
                    <xdr:row>1</xdr:row>
                    <xdr:rowOff>594360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EDBF-6E91-4731-844E-ACE8D1E2D0BB}">
  <sheetPr codeName="Tabelle14">
    <pageSetUpPr fitToPage="1"/>
  </sheetPr>
  <dimension ref="A1:U230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109375" bestFit="1" customWidth="1"/>
    <col min="7" max="7" width="13.6640625" customWidth="1"/>
    <col min="8" max="8" width="10.88671875" bestFit="1" customWidth="1"/>
    <col min="9" max="9" width="18.109375" bestFit="1" customWidth="1"/>
    <col min="10" max="10" width="13.44140625" bestFit="1" customWidth="1"/>
    <col min="21" max="21" width="11.44140625" style="29"/>
  </cols>
  <sheetData>
    <row r="1" spans="1:21" ht="15" thickBot="1" x14ac:dyDescent="0.35">
      <c r="A1" s="6" t="s">
        <v>663</v>
      </c>
    </row>
    <row r="2" spans="1:21" ht="43.8" thickBot="1" x14ac:dyDescent="0.35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">
      <c r="A3" s="55">
        <v>25</v>
      </c>
      <c r="B3" s="46" t="s">
        <v>661</v>
      </c>
      <c r="C3" s="55"/>
      <c r="D3" s="55"/>
      <c r="E3" s="55"/>
      <c r="F3" s="55"/>
      <c r="G3" s="55"/>
      <c r="H3" s="55"/>
      <c r="I3" s="55"/>
      <c r="J3" s="55"/>
      <c r="K3" s="56"/>
      <c r="L3" s="56"/>
      <c r="M3" s="57"/>
      <c r="N3" s="37"/>
      <c r="O3" s="36"/>
      <c r="P3" s="36"/>
      <c r="Q3" s="36"/>
      <c r="R3" s="36"/>
      <c r="S3" s="36"/>
      <c r="T3" s="36"/>
      <c r="U3" s="38"/>
    </row>
    <row r="4" spans="1:21" x14ac:dyDescent="0.3">
      <c r="A4" s="12">
        <v>14</v>
      </c>
      <c r="B4" s="46" t="s">
        <v>203</v>
      </c>
      <c r="C4" s="12"/>
      <c r="D4" s="12"/>
      <c r="E4" s="23"/>
      <c r="F4" s="23"/>
      <c r="G4" s="24"/>
      <c r="H4" s="12"/>
      <c r="I4" s="12"/>
      <c r="J4" s="12"/>
      <c r="K4" s="12"/>
      <c r="L4" s="12"/>
      <c r="M4" s="26"/>
      <c r="N4" s="25"/>
      <c r="O4" s="35"/>
      <c r="P4" s="35"/>
      <c r="Q4" s="35"/>
      <c r="R4" s="12"/>
      <c r="S4" s="26">
        <f t="shared" ref="S4:S13" si="0">R4+M4</f>
        <v>0</v>
      </c>
      <c r="T4" s="27">
        <f t="shared" ref="T4:T13" si="1">S4*A4</f>
        <v>0</v>
      </c>
      <c r="U4" s="43"/>
    </row>
    <row r="5" spans="1:21" x14ac:dyDescent="0.3">
      <c r="A5" s="12">
        <v>14</v>
      </c>
      <c r="B5" s="46" t="s">
        <v>660</v>
      </c>
      <c r="C5" s="12"/>
      <c r="D5" s="12"/>
      <c r="E5" s="12"/>
      <c r="F5" s="12"/>
      <c r="G5" s="12"/>
      <c r="H5" s="12"/>
      <c r="I5" s="12"/>
      <c r="J5" s="12"/>
      <c r="K5" s="23"/>
      <c r="L5" s="23"/>
      <c r="M5" s="24"/>
      <c r="N5" s="12"/>
      <c r="O5" s="12"/>
      <c r="P5" s="12"/>
      <c r="Q5" s="12"/>
      <c r="R5" s="12"/>
      <c r="S5" s="26">
        <f t="shared" si="0"/>
        <v>0</v>
      </c>
      <c r="T5" s="27">
        <f t="shared" si="1"/>
        <v>0</v>
      </c>
      <c r="U5" s="34"/>
    </row>
    <row r="6" spans="1:21" x14ac:dyDescent="0.3">
      <c r="A6" s="12">
        <v>10</v>
      </c>
      <c r="B6" s="46" t="s">
        <v>659</v>
      </c>
      <c r="C6" s="12"/>
      <c r="D6" s="12"/>
      <c r="E6" s="12"/>
      <c r="F6" s="12"/>
      <c r="G6" s="12"/>
      <c r="H6" s="12"/>
      <c r="I6" s="12"/>
      <c r="J6" s="12"/>
      <c r="K6" s="23"/>
      <c r="L6" s="23"/>
      <c r="M6" s="24"/>
      <c r="N6" s="12"/>
      <c r="O6" s="12"/>
      <c r="P6" s="12"/>
      <c r="Q6" s="12"/>
      <c r="R6" s="12"/>
      <c r="S6" s="26">
        <f t="shared" si="0"/>
        <v>0</v>
      </c>
      <c r="T6" s="27">
        <f t="shared" si="1"/>
        <v>0</v>
      </c>
      <c r="U6" s="34"/>
    </row>
    <row r="7" spans="1:21" x14ac:dyDescent="0.3">
      <c r="A7" s="12">
        <v>5</v>
      </c>
      <c r="B7" s="46" t="s">
        <v>208</v>
      </c>
      <c r="C7" s="12"/>
      <c r="D7" s="12"/>
      <c r="E7" s="12"/>
      <c r="F7" s="12"/>
      <c r="G7" s="12"/>
      <c r="H7" s="12"/>
      <c r="I7" s="12"/>
      <c r="J7" s="12"/>
      <c r="K7" s="23"/>
      <c r="L7" s="23"/>
      <c r="M7" s="24"/>
      <c r="N7" s="12"/>
      <c r="O7" s="12"/>
      <c r="P7" s="12"/>
      <c r="Q7" s="12"/>
      <c r="R7" s="12"/>
      <c r="S7" s="26">
        <f t="shared" si="0"/>
        <v>0</v>
      </c>
      <c r="T7" s="27">
        <f t="shared" si="1"/>
        <v>0</v>
      </c>
      <c r="U7" s="34"/>
    </row>
    <row r="8" spans="1:21" x14ac:dyDescent="0.3">
      <c r="A8" s="12">
        <v>2</v>
      </c>
      <c r="B8" s="46" t="s">
        <v>215</v>
      </c>
      <c r="C8" s="12"/>
      <c r="D8" s="12"/>
      <c r="E8" s="12"/>
      <c r="F8" s="12"/>
      <c r="G8" s="12"/>
      <c r="H8" s="12"/>
      <c r="I8" s="12"/>
      <c r="J8" s="12"/>
      <c r="K8" s="23"/>
      <c r="L8" s="23"/>
      <c r="M8" s="24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">
      <c r="A9" s="12">
        <v>2</v>
      </c>
      <c r="B9" s="46" t="s">
        <v>206</v>
      </c>
      <c r="C9" s="12"/>
      <c r="D9" s="12"/>
      <c r="E9" s="12"/>
      <c r="F9" s="12"/>
      <c r="G9" s="12"/>
      <c r="H9" s="12"/>
      <c r="I9" s="12"/>
      <c r="J9" s="12"/>
      <c r="K9" s="23"/>
      <c r="L9" s="23"/>
      <c r="M9" s="24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">
      <c r="A10" s="12">
        <v>1</v>
      </c>
      <c r="B10" s="46" t="s">
        <v>340</v>
      </c>
      <c r="C10" s="12"/>
      <c r="D10" s="12"/>
      <c r="E10" s="12"/>
      <c r="F10" s="12"/>
      <c r="G10" s="12"/>
      <c r="H10" s="12"/>
      <c r="I10" s="12"/>
      <c r="J10" s="12"/>
      <c r="K10" s="23"/>
      <c r="L10" s="23"/>
      <c r="M10" s="24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">
      <c r="A11" s="12">
        <v>1</v>
      </c>
      <c r="B11" s="46" t="s">
        <v>280</v>
      </c>
      <c r="C11" s="12"/>
      <c r="D11" s="12"/>
      <c r="E11" s="12"/>
      <c r="F11" s="12"/>
      <c r="G11" s="12"/>
      <c r="H11" s="12"/>
      <c r="I11" s="12"/>
      <c r="J11" s="12"/>
      <c r="K11" s="23"/>
      <c r="L11" s="23"/>
      <c r="M11" s="24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">
      <c r="A12" s="12">
        <v>1</v>
      </c>
      <c r="B12" s="46" t="s">
        <v>657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">
      <c r="A13" s="12">
        <v>1</v>
      </c>
      <c r="B13" s="46" t="s">
        <v>297</v>
      </c>
      <c r="C13" s="12"/>
      <c r="D13" s="12"/>
      <c r="E13" s="12"/>
      <c r="F13" s="12"/>
      <c r="G13" s="12"/>
      <c r="H13" s="12"/>
      <c r="I13" s="12"/>
      <c r="J13" s="12"/>
      <c r="K13" s="23"/>
      <c r="L13" s="23"/>
      <c r="M13" s="24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">
      <c r="A14" s="12">
        <v>0</v>
      </c>
      <c r="B14" s="46" t="s">
        <v>658</v>
      </c>
      <c r="C14" s="12"/>
      <c r="D14" s="12"/>
      <c r="E14" s="12"/>
      <c r="F14" s="12"/>
      <c r="G14" s="12"/>
      <c r="H14" s="12"/>
      <c r="I14" s="12"/>
      <c r="J14" s="12"/>
      <c r="K14" s="23"/>
      <c r="L14" s="23"/>
      <c r="M14" s="24"/>
      <c r="N14" s="12"/>
      <c r="O14" s="12"/>
      <c r="P14" s="12"/>
      <c r="Q14" s="12"/>
      <c r="R14" s="12"/>
      <c r="S14" s="26"/>
      <c r="T14" s="27"/>
      <c r="U14" s="43"/>
    </row>
    <row r="15" spans="1:21" x14ac:dyDescent="0.3">
      <c r="A15" s="35">
        <v>0</v>
      </c>
      <c r="B15" s="46" t="s">
        <v>202</v>
      </c>
      <c r="C15" s="35"/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12"/>
      <c r="O15" s="12"/>
      <c r="P15" s="12"/>
      <c r="Q15" s="12"/>
      <c r="R15" s="12"/>
      <c r="S15" s="26">
        <f t="shared" ref="S15:S46" si="2">R15+M15</f>
        <v>0</v>
      </c>
      <c r="T15" s="27">
        <f t="shared" ref="T15:T46" si="3">S15*A15</f>
        <v>0</v>
      </c>
      <c r="U15" s="30">
        <v>43227</v>
      </c>
    </row>
    <row r="16" spans="1:21" x14ac:dyDescent="0.3">
      <c r="A16" s="12">
        <v>0</v>
      </c>
      <c r="B16" s="12" t="s">
        <v>201</v>
      </c>
      <c r="C16" s="12"/>
      <c r="D16" s="12"/>
      <c r="E16" s="23"/>
      <c r="F16" s="23"/>
      <c r="G16" s="24"/>
      <c r="H16" s="12"/>
      <c r="I16" s="12"/>
      <c r="J16" s="12"/>
      <c r="K16" s="12"/>
      <c r="L16" s="12"/>
      <c r="M16" s="26"/>
      <c r="N16" s="12"/>
      <c r="O16" s="12"/>
      <c r="P16" s="12"/>
      <c r="Q16" s="12"/>
      <c r="R16" s="12"/>
      <c r="S16" s="26">
        <f t="shared" si="2"/>
        <v>0</v>
      </c>
      <c r="T16" s="27">
        <f t="shared" si="3"/>
        <v>0</v>
      </c>
      <c r="U16" s="30"/>
    </row>
    <row r="17" spans="1:21" x14ac:dyDescent="0.3">
      <c r="A17" s="12">
        <v>0</v>
      </c>
      <c r="B17" s="46" t="s">
        <v>282</v>
      </c>
      <c r="C17" s="12"/>
      <c r="D17" s="12"/>
      <c r="E17" s="12"/>
      <c r="F17" s="12"/>
      <c r="G17" s="12"/>
      <c r="H17" s="12"/>
      <c r="I17" s="12"/>
      <c r="J17" s="12"/>
      <c r="K17" s="23"/>
      <c r="L17" s="23"/>
      <c r="M17" s="24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">
      <c r="A18" s="12">
        <v>0</v>
      </c>
      <c r="B18" s="46" t="s">
        <v>294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">
      <c r="A19" s="12">
        <v>0</v>
      </c>
      <c r="B19" s="46" t="s">
        <v>299</v>
      </c>
      <c r="C19" s="12"/>
      <c r="D19" s="12"/>
      <c r="E19" s="23"/>
      <c r="F19" s="23"/>
      <c r="G19" s="24"/>
      <c r="H19" s="12"/>
      <c r="I19" s="12"/>
      <c r="J19" s="12"/>
      <c r="K19" s="12"/>
      <c r="L19" s="12"/>
      <c r="M19" s="26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">
      <c r="A20" s="12">
        <v>0</v>
      </c>
      <c r="B20" s="12" t="s">
        <v>200</v>
      </c>
      <c r="C20" s="12"/>
      <c r="D20" s="12"/>
      <c r="E20" s="23"/>
      <c r="F20" s="23"/>
      <c r="G20" s="24"/>
      <c r="H20" s="12"/>
      <c r="I20" s="12"/>
      <c r="J20" s="12"/>
      <c r="K20" s="12"/>
      <c r="L20" s="12"/>
      <c r="M20" s="26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">
      <c r="A21" s="12">
        <v>0</v>
      </c>
      <c r="B21" s="46" t="s">
        <v>204</v>
      </c>
      <c r="C21" s="12"/>
      <c r="D21" s="12"/>
      <c r="E21" s="23"/>
      <c r="F21" s="23"/>
      <c r="G21" s="24"/>
      <c r="H21" s="12"/>
      <c r="I21" s="12"/>
      <c r="J21" s="12"/>
      <c r="K21" s="12"/>
      <c r="L21" s="12"/>
      <c r="M21" s="26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">
      <c r="A22" s="12">
        <v>0</v>
      </c>
      <c r="B22" s="46" t="s">
        <v>205</v>
      </c>
      <c r="C22" s="12"/>
      <c r="D22" s="12"/>
      <c r="E22" s="23"/>
      <c r="F22" s="23"/>
      <c r="G22" s="24"/>
      <c r="H22" s="12"/>
      <c r="I22" s="12"/>
      <c r="J22" s="12"/>
      <c r="K22" s="12"/>
      <c r="L22" s="12"/>
      <c r="M22" s="26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">
      <c r="A23" s="12">
        <v>0</v>
      </c>
      <c r="B23" s="46" t="s">
        <v>207</v>
      </c>
      <c r="C23" s="12"/>
      <c r="D23" s="12"/>
      <c r="E23" s="12"/>
      <c r="F23" s="12"/>
      <c r="G23" s="12"/>
      <c r="H23" s="12"/>
      <c r="I23" s="12"/>
      <c r="J23" s="12"/>
      <c r="K23" s="23"/>
      <c r="L23" s="23"/>
      <c r="M23" s="24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">
      <c r="A24" s="12">
        <v>0</v>
      </c>
      <c r="B24" s="46" t="s">
        <v>209</v>
      </c>
      <c r="C24" s="12"/>
      <c r="D24" s="12"/>
      <c r="E24" s="23"/>
      <c r="F24" s="23"/>
      <c r="G24" s="24"/>
      <c r="H24" s="12"/>
      <c r="I24" s="12"/>
      <c r="J24" s="12"/>
      <c r="K24" s="12"/>
      <c r="L24" s="12"/>
      <c r="M24" s="26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">
      <c r="A25" s="12">
        <v>0</v>
      </c>
      <c r="B25" s="46" t="s">
        <v>210</v>
      </c>
      <c r="C25" s="12"/>
      <c r="D25" s="12"/>
      <c r="E25" s="23"/>
      <c r="F25" s="23"/>
      <c r="G25" s="24"/>
      <c r="H25" s="12"/>
      <c r="I25" s="12"/>
      <c r="J25" s="12"/>
      <c r="K25" s="12"/>
      <c r="L25" s="12"/>
      <c r="M25" s="26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">
      <c r="A26" s="12">
        <v>0</v>
      </c>
      <c r="B26" s="46" t="s">
        <v>211</v>
      </c>
      <c r="C26" s="12"/>
      <c r="D26" s="12"/>
      <c r="E26" s="23"/>
      <c r="F26" s="23"/>
      <c r="G26" s="24"/>
      <c r="H26" s="12"/>
      <c r="I26" s="12"/>
      <c r="J26" s="12"/>
      <c r="K26" s="12"/>
      <c r="L26" s="12"/>
      <c r="M26" s="26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">
      <c r="A27" s="12">
        <v>0</v>
      </c>
      <c r="B27" s="46" t="s">
        <v>212</v>
      </c>
      <c r="C27" s="12"/>
      <c r="D27" s="12"/>
      <c r="E27" s="23"/>
      <c r="F27" s="23"/>
      <c r="G27" s="24"/>
      <c r="H27" s="12"/>
      <c r="I27" s="12"/>
      <c r="J27" s="12"/>
      <c r="K27" s="12"/>
      <c r="L27" s="12"/>
      <c r="M27" s="26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">
      <c r="A28" s="12">
        <v>0</v>
      </c>
      <c r="B28" s="46" t="s">
        <v>213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">
      <c r="A29" s="35">
        <v>0</v>
      </c>
      <c r="B29" s="46" t="s">
        <v>214</v>
      </c>
      <c r="C29" s="35"/>
      <c r="D29" s="35"/>
      <c r="E29" s="25"/>
      <c r="F29" s="25"/>
      <c r="G29" s="25"/>
      <c r="H29" s="25"/>
      <c r="I29" s="25"/>
      <c r="J29" s="25"/>
      <c r="K29" s="23"/>
      <c r="L29" s="23"/>
      <c r="M29" s="24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">
      <c r="A30" s="12">
        <v>0</v>
      </c>
      <c r="B30" s="46" t="s">
        <v>216</v>
      </c>
      <c r="C30" s="12"/>
      <c r="D30" s="12"/>
      <c r="E30" s="23"/>
      <c r="F30" s="23"/>
      <c r="G30" s="24"/>
      <c r="H30" s="12"/>
      <c r="I30" s="12"/>
      <c r="J30" s="12"/>
      <c r="K30" s="12"/>
      <c r="L30" s="12"/>
      <c r="M30" s="26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">
      <c r="A31" s="12">
        <v>0</v>
      </c>
      <c r="B31" s="46" t="s">
        <v>217</v>
      </c>
      <c r="C31" s="12"/>
      <c r="D31" s="12"/>
      <c r="E31" s="23"/>
      <c r="F31" s="23"/>
      <c r="G31" s="24"/>
      <c r="H31" s="12"/>
      <c r="I31" s="12"/>
      <c r="J31" s="12"/>
      <c r="K31" s="12"/>
      <c r="L31" s="12"/>
      <c r="M31" s="26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">
      <c r="A32" s="12">
        <v>0</v>
      </c>
      <c r="B32" s="46" t="s">
        <v>218</v>
      </c>
      <c r="C32" s="12"/>
      <c r="D32" s="12"/>
      <c r="E32" s="12"/>
      <c r="F32" s="12"/>
      <c r="G32" s="12"/>
      <c r="H32" s="12"/>
      <c r="I32" s="12"/>
      <c r="J32" s="12"/>
      <c r="K32" s="23"/>
      <c r="L32" s="23"/>
      <c r="M32" s="24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">
      <c r="A33" s="12">
        <v>0</v>
      </c>
      <c r="B33" s="46" t="s">
        <v>219</v>
      </c>
      <c r="C33" s="12"/>
      <c r="D33" s="12"/>
      <c r="E33" s="12"/>
      <c r="F33" s="12"/>
      <c r="G33" s="12"/>
      <c r="H33" s="12"/>
      <c r="I33" s="12"/>
      <c r="J33" s="12"/>
      <c r="K33" s="23"/>
      <c r="L33" s="23"/>
      <c r="M33" s="24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">
      <c r="A34" s="35">
        <v>0</v>
      </c>
      <c r="B34" s="46" t="s">
        <v>220</v>
      </c>
      <c r="C34" s="35"/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">
      <c r="A35" s="35">
        <v>0</v>
      </c>
      <c r="B35" s="46" t="s">
        <v>221</v>
      </c>
      <c r="C35" s="35"/>
      <c r="D35" s="35"/>
      <c r="E35" s="25"/>
      <c r="F35" s="25"/>
      <c r="G35" s="25"/>
      <c r="H35" s="25"/>
      <c r="I35" s="25"/>
      <c r="J35" s="25"/>
      <c r="K35" s="23"/>
      <c r="L35" s="23"/>
      <c r="M35" s="24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">
      <c r="A36" s="12">
        <v>0</v>
      </c>
      <c r="B36" s="46" t="s">
        <v>222</v>
      </c>
      <c r="C36" s="12"/>
      <c r="D36" s="12"/>
      <c r="E36" s="23"/>
      <c r="F36" s="23"/>
      <c r="G36" s="24"/>
      <c r="H36" s="12"/>
      <c r="I36" s="12"/>
      <c r="J36" s="12"/>
      <c r="K36" s="12"/>
      <c r="L36" s="12"/>
      <c r="M36" s="26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">
      <c r="A37" s="12">
        <v>0</v>
      </c>
      <c r="B37" s="46" t="s">
        <v>223</v>
      </c>
      <c r="C37" s="12"/>
      <c r="D37" s="12"/>
      <c r="E37" s="12"/>
      <c r="F37" s="12"/>
      <c r="G37" s="12"/>
      <c r="H37" s="12"/>
      <c r="I37" s="12"/>
      <c r="J37" s="12"/>
      <c r="K37" s="23"/>
      <c r="L37" s="23"/>
      <c r="M37" s="24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">
      <c r="A38" s="35">
        <v>0</v>
      </c>
      <c r="B38" s="46" t="s">
        <v>224</v>
      </c>
      <c r="C38" s="35"/>
      <c r="D38" s="35"/>
      <c r="E38" s="25"/>
      <c r="F38" s="25"/>
      <c r="G38" s="25"/>
      <c r="H38" s="25"/>
      <c r="I38" s="25"/>
      <c r="J38" s="25"/>
      <c r="K38" s="23"/>
      <c r="L38" s="23"/>
      <c r="M38" s="24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">
      <c r="A39" s="12">
        <v>0</v>
      </c>
      <c r="B39" s="46" t="s">
        <v>225</v>
      </c>
      <c r="C39" s="12"/>
      <c r="D39" s="12"/>
      <c r="E39" s="23"/>
      <c r="F39" s="23"/>
      <c r="G39" s="24"/>
      <c r="H39" s="12"/>
      <c r="I39" s="12"/>
      <c r="J39" s="12"/>
      <c r="K39" s="12"/>
      <c r="L39" s="12"/>
      <c r="M39" s="26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">
      <c r="A40" s="12">
        <v>0</v>
      </c>
      <c r="B40" s="46" t="s">
        <v>226</v>
      </c>
      <c r="C40" s="12"/>
      <c r="D40" s="12"/>
      <c r="E40" s="23"/>
      <c r="F40" s="23"/>
      <c r="G40" s="24"/>
      <c r="H40" s="12"/>
      <c r="I40" s="12"/>
      <c r="J40" s="12"/>
      <c r="K40" s="12"/>
      <c r="L40" s="12"/>
      <c r="M40" s="26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">
      <c r="A41" s="12">
        <v>0</v>
      </c>
      <c r="B41" s="46" t="s">
        <v>227</v>
      </c>
      <c r="C41" s="12"/>
      <c r="D41" s="12"/>
      <c r="E41" s="12"/>
      <c r="F41" s="12"/>
      <c r="G41" s="12"/>
      <c r="H41" s="12"/>
      <c r="I41" s="12"/>
      <c r="J41" s="12"/>
      <c r="K41" s="23"/>
      <c r="L41" s="23"/>
      <c r="M41" s="24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">
      <c r="A42" s="12">
        <v>0</v>
      </c>
      <c r="B42" s="46" t="s">
        <v>228</v>
      </c>
      <c r="C42" s="12"/>
      <c r="D42" s="12"/>
      <c r="E42" s="12"/>
      <c r="F42" s="12"/>
      <c r="G42" s="12"/>
      <c r="H42" s="12"/>
      <c r="I42" s="12"/>
      <c r="J42" s="12"/>
      <c r="K42" s="23"/>
      <c r="L42" s="23"/>
      <c r="M42" s="24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">
      <c r="A43" s="12">
        <v>0</v>
      </c>
      <c r="B43" s="46" t="s">
        <v>229</v>
      </c>
      <c r="C43" s="12"/>
      <c r="D43" s="12"/>
      <c r="E43" s="12"/>
      <c r="F43" s="12"/>
      <c r="G43" s="12"/>
      <c r="H43" s="12"/>
      <c r="I43" s="12"/>
      <c r="J43" s="12"/>
      <c r="K43" s="23"/>
      <c r="L43" s="23"/>
      <c r="M43" s="24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">
      <c r="A44" s="35">
        <v>0</v>
      </c>
      <c r="B44" s="46" t="s">
        <v>230</v>
      </c>
      <c r="C44" s="35"/>
      <c r="D44" s="35"/>
      <c r="E44" s="25"/>
      <c r="F44" s="25"/>
      <c r="G44" s="25"/>
      <c r="H44" s="25"/>
      <c r="I44" s="25"/>
      <c r="J44" s="25"/>
      <c r="K44" s="23"/>
      <c r="L44" s="23"/>
      <c r="M44" s="24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">
      <c r="A45" s="35">
        <v>0</v>
      </c>
      <c r="B45" s="46" t="s">
        <v>231</v>
      </c>
      <c r="C45" s="35"/>
      <c r="D45" s="35"/>
      <c r="E45" s="25"/>
      <c r="F45" s="25"/>
      <c r="G45" s="25"/>
      <c r="H45" s="25"/>
      <c r="I45" s="25"/>
      <c r="J45" s="25"/>
      <c r="K45" s="23"/>
      <c r="L45" s="23"/>
      <c r="M45" s="24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">
      <c r="A46" s="35">
        <v>0</v>
      </c>
      <c r="B46" s="46" t="s">
        <v>232</v>
      </c>
      <c r="C46" s="35"/>
      <c r="D46" s="35"/>
      <c r="E46" s="25"/>
      <c r="F46" s="25"/>
      <c r="G46" s="25"/>
      <c r="H46" s="25"/>
      <c r="I46" s="25"/>
      <c r="J46" s="25"/>
      <c r="K46" s="23"/>
      <c r="L46" s="23"/>
      <c r="M46" s="24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">
      <c r="A47" s="12">
        <v>0</v>
      </c>
      <c r="B47" s="46" t="s">
        <v>233</v>
      </c>
      <c r="C47" s="12"/>
      <c r="D47" s="12"/>
      <c r="E47" s="12"/>
      <c r="F47" s="12"/>
      <c r="G47" s="12"/>
      <c r="H47" s="12"/>
      <c r="I47" s="12"/>
      <c r="J47" s="12"/>
      <c r="K47" s="23"/>
      <c r="L47" s="23"/>
      <c r="M47" s="24"/>
      <c r="N47" s="12"/>
      <c r="O47" s="12"/>
      <c r="P47" s="12"/>
      <c r="Q47" s="12"/>
      <c r="R47" s="12"/>
      <c r="S47" s="26">
        <f t="shared" ref="S47:S78" si="4">R47+M47</f>
        <v>0</v>
      </c>
      <c r="T47" s="27">
        <f t="shared" ref="T47:T78" si="5">S47*A47</f>
        <v>0</v>
      </c>
      <c r="U47" s="30"/>
    </row>
    <row r="48" spans="1:21" x14ac:dyDescent="0.3">
      <c r="A48" s="12">
        <v>0</v>
      </c>
      <c r="B48" s="46" t="s">
        <v>234</v>
      </c>
      <c r="C48" s="12"/>
      <c r="D48" s="12"/>
      <c r="E48" s="12"/>
      <c r="F48" s="12"/>
      <c r="G48" s="12"/>
      <c r="H48" s="12"/>
      <c r="I48" s="12"/>
      <c r="J48" s="12"/>
      <c r="K48" s="23"/>
      <c r="L48" s="23"/>
      <c r="M48" s="24"/>
      <c r="N48" s="12"/>
      <c r="O48" s="12"/>
      <c r="P48" s="12"/>
      <c r="Q48" s="12"/>
      <c r="R48" s="12"/>
      <c r="S48" s="26">
        <f t="shared" si="4"/>
        <v>0</v>
      </c>
      <c r="T48" s="27">
        <f t="shared" si="5"/>
        <v>0</v>
      </c>
      <c r="U48" s="30"/>
    </row>
    <row r="49" spans="1:21" x14ac:dyDescent="0.3">
      <c r="A49" s="35">
        <v>0</v>
      </c>
      <c r="B49" s="46" t="s">
        <v>235</v>
      </c>
      <c r="C49" s="35"/>
      <c r="D49" s="35"/>
      <c r="E49" s="25"/>
      <c r="F49" s="25"/>
      <c r="G49" s="25"/>
      <c r="H49" s="25"/>
      <c r="I49" s="25"/>
      <c r="J49" s="25"/>
      <c r="K49" s="23"/>
      <c r="L49" s="23"/>
      <c r="M49" s="24"/>
      <c r="N49" s="12"/>
      <c r="O49" s="12"/>
      <c r="P49" s="12"/>
      <c r="Q49" s="12"/>
      <c r="R49" s="12"/>
      <c r="S49" s="26">
        <f t="shared" si="4"/>
        <v>0</v>
      </c>
      <c r="T49" s="27">
        <f t="shared" si="5"/>
        <v>0</v>
      </c>
      <c r="U49" s="30"/>
    </row>
    <row r="50" spans="1:21" x14ac:dyDescent="0.3">
      <c r="A50" s="35">
        <v>0</v>
      </c>
      <c r="B50" s="46" t="s">
        <v>236</v>
      </c>
      <c r="C50" s="35"/>
      <c r="D50" s="35"/>
      <c r="E50" s="25"/>
      <c r="F50" s="25"/>
      <c r="G50" s="25"/>
      <c r="H50" s="25"/>
      <c r="I50" s="25"/>
      <c r="J50" s="25"/>
      <c r="K50" s="23"/>
      <c r="L50" s="23"/>
      <c r="M50" s="24"/>
      <c r="N50" s="12"/>
      <c r="O50" s="12"/>
      <c r="P50" s="12"/>
      <c r="Q50" s="12"/>
      <c r="R50" s="12"/>
      <c r="S50" s="26">
        <f t="shared" si="4"/>
        <v>0</v>
      </c>
      <c r="T50" s="27">
        <f t="shared" si="5"/>
        <v>0</v>
      </c>
      <c r="U50" s="30"/>
    </row>
    <row r="51" spans="1:21" x14ac:dyDescent="0.3">
      <c r="A51" s="35">
        <v>0</v>
      </c>
      <c r="B51" s="46" t="s">
        <v>237</v>
      </c>
      <c r="C51" s="35"/>
      <c r="D51" s="35"/>
      <c r="E51" s="25"/>
      <c r="F51" s="25"/>
      <c r="G51" s="25"/>
      <c r="H51" s="25"/>
      <c r="I51" s="25"/>
      <c r="J51" s="25"/>
      <c r="K51" s="23"/>
      <c r="L51" s="23"/>
      <c r="M51" s="24"/>
      <c r="N51" s="12"/>
      <c r="O51" s="12"/>
      <c r="P51" s="12"/>
      <c r="Q51" s="12"/>
      <c r="R51" s="12"/>
      <c r="S51" s="26">
        <f t="shared" si="4"/>
        <v>0</v>
      </c>
      <c r="T51" s="27">
        <f t="shared" si="5"/>
        <v>0</v>
      </c>
      <c r="U51" s="30"/>
    </row>
    <row r="52" spans="1:21" x14ac:dyDescent="0.3">
      <c r="A52" s="35">
        <v>0</v>
      </c>
      <c r="B52" s="46" t="s">
        <v>238</v>
      </c>
      <c r="C52" s="35"/>
      <c r="D52" s="35"/>
      <c r="E52" s="25"/>
      <c r="F52" s="25"/>
      <c r="G52" s="25"/>
      <c r="H52" s="25"/>
      <c r="I52" s="25"/>
      <c r="J52" s="25"/>
      <c r="K52" s="23"/>
      <c r="L52" s="23"/>
      <c r="M52" s="24"/>
      <c r="N52" s="12"/>
      <c r="O52" s="12"/>
      <c r="P52" s="12"/>
      <c r="Q52" s="12"/>
      <c r="R52" s="12"/>
      <c r="S52" s="26">
        <f t="shared" si="4"/>
        <v>0</v>
      </c>
      <c r="T52" s="27">
        <f t="shared" si="5"/>
        <v>0</v>
      </c>
      <c r="U52" s="30"/>
    </row>
    <row r="53" spans="1:21" x14ac:dyDescent="0.3">
      <c r="A53" s="12">
        <v>0</v>
      </c>
      <c r="B53" s="46" t="s">
        <v>239</v>
      </c>
      <c r="C53" s="12"/>
      <c r="D53" s="12"/>
      <c r="E53" s="12"/>
      <c r="F53" s="12"/>
      <c r="G53" s="12"/>
      <c r="H53" s="12"/>
      <c r="I53" s="12"/>
      <c r="J53" s="12"/>
      <c r="K53" s="23"/>
      <c r="L53" s="23"/>
      <c r="M53" s="24"/>
      <c r="N53" s="12"/>
      <c r="O53" s="12"/>
      <c r="P53" s="12"/>
      <c r="Q53" s="12"/>
      <c r="R53" s="12"/>
      <c r="S53" s="26">
        <f t="shared" si="4"/>
        <v>0</v>
      </c>
      <c r="T53" s="27">
        <f t="shared" si="5"/>
        <v>0</v>
      </c>
      <c r="U53" s="30"/>
    </row>
    <row r="54" spans="1:21" x14ac:dyDescent="0.3">
      <c r="A54" s="12">
        <v>0</v>
      </c>
      <c r="B54" s="46" t="s">
        <v>240</v>
      </c>
      <c r="C54" s="12"/>
      <c r="D54" s="12"/>
      <c r="E54" s="12"/>
      <c r="F54" s="12"/>
      <c r="G54" s="12"/>
      <c r="H54" s="12"/>
      <c r="I54" s="12"/>
      <c r="J54" s="12"/>
      <c r="K54" s="23"/>
      <c r="L54" s="23"/>
      <c r="M54" s="24"/>
      <c r="N54" s="12"/>
      <c r="O54" s="12"/>
      <c r="P54" s="12"/>
      <c r="Q54" s="12"/>
      <c r="R54" s="12"/>
      <c r="S54" s="26">
        <f t="shared" si="4"/>
        <v>0</v>
      </c>
      <c r="T54" s="27">
        <f t="shared" si="5"/>
        <v>0</v>
      </c>
      <c r="U54" s="30"/>
    </row>
    <row r="55" spans="1:21" x14ac:dyDescent="0.3">
      <c r="A55" s="12">
        <v>0</v>
      </c>
      <c r="B55" s="46" t="s">
        <v>241</v>
      </c>
      <c r="C55" s="12"/>
      <c r="D55" s="12"/>
      <c r="E55" s="12"/>
      <c r="F55" s="12"/>
      <c r="G55" s="28"/>
      <c r="H55" s="12"/>
      <c r="I55" s="12"/>
      <c r="J55" s="12"/>
      <c r="K55" s="23"/>
      <c r="L55" s="23"/>
      <c r="M55" s="24"/>
      <c r="N55" s="12"/>
      <c r="O55" s="12"/>
      <c r="P55" s="12"/>
      <c r="Q55" s="12"/>
      <c r="R55" s="12"/>
      <c r="S55" s="26">
        <f t="shared" si="4"/>
        <v>0</v>
      </c>
      <c r="T55" s="27">
        <f t="shared" si="5"/>
        <v>0</v>
      </c>
      <c r="U55" s="30"/>
    </row>
    <row r="56" spans="1:21" x14ac:dyDescent="0.3">
      <c r="A56" s="12">
        <v>0</v>
      </c>
      <c r="B56" s="46" t="s">
        <v>242</v>
      </c>
      <c r="C56" s="12"/>
      <c r="D56" s="12"/>
      <c r="E56" s="12"/>
      <c r="F56" s="12"/>
      <c r="G56" s="12"/>
      <c r="H56" s="12"/>
      <c r="I56" s="12"/>
      <c r="J56" s="12"/>
      <c r="K56" s="23"/>
      <c r="L56" s="23"/>
      <c r="M56" s="24"/>
      <c r="N56" s="12"/>
      <c r="O56" s="12"/>
      <c r="P56" s="12"/>
      <c r="Q56" s="12"/>
      <c r="R56" s="12"/>
      <c r="S56" s="26">
        <f t="shared" si="4"/>
        <v>0</v>
      </c>
      <c r="T56" s="27">
        <f t="shared" si="5"/>
        <v>0</v>
      </c>
      <c r="U56" s="30"/>
    </row>
    <row r="57" spans="1:21" x14ac:dyDescent="0.3">
      <c r="A57" s="12">
        <v>0</v>
      </c>
      <c r="B57" s="46" t="s">
        <v>243</v>
      </c>
      <c r="C57" s="12"/>
      <c r="D57" s="12"/>
      <c r="E57" s="12"/>
      <c r="F57" s="12"/>
      <c r="G57" s="12"/>
      <c r="H57" s="12"/>
      <c r="I57" s="12"/>
      <c r="J57" s="12"/>
      <c r="K57" s="23"/>
      <c r="L57" s="23"/>
      <c r="M57" s="24"/>
      <c r="N57" s="12"/>
      <c r="O57" s="12"/>
      <c r="P57" s="12"/>
      <c r="Q57" s="12"/>
      <c r="R57" s="12"/>
      <c r="S57" s="26">
        <f t="shared" si="4"/>
        <v>0</v>
      </c>
      <c r="T57" s="27">
        <f t="shared" si="5"/>
        <v>0</v>
      </c>
      <c r="U57" s="30"/>
    </row>
    <row r="58" spans="1:21" x14ac:dyDescent="0.3">
      <c r="A58" s="12">
        <v>0</v>
      </c>
      <c r="B58" s="46" t="s">
        <v>244</v>
      </c>
      <c r="C58" s="12"/>
      <c r="D58" s="12"/>
      <c r="E58" s="12"/>
      <c r="F58" s="12"/>
      <c r="G58" s="12"/>
      <c r="H58" s="12"/>
      <c r="I58" s="12"/>
      <c r="J58" s="12"/>
      <c r="K58" s="23"/>
      <c r="L58" s="23"/>
      <c r="M58" s="24"/>
      <c r="N58" s="12"/>
      <c r="O58" s="12"/>
      <c r="P58" s="12"/>
      <c r="Q58" s="12"/>
      <c r="R58" s="12"/>
      <c r="S58" s="26">
        <f t="shared" si="4"/>
        <v>0</v>
      </c>
      <c r="T58" s="27">
        <f t="shared" si="5"/>
        <v>0</v>
      </c>
      <c r="U58" s="30"/>
    </row>
    <row r="59" spans="1:21" x14ac:dyDescent="0.3">
      <c r="A59" s="12">
        <v>0</v>
      </c>
      <c r="B59" s="46" t="s">
        <v>245</v>
      </c>
      <c r="C59" s="12"/>
      <c r="D59" s="12"/>
      <c r="E59" s="12"/>
      <c r="F59" s="12"/>
      <c r="G59" s="12"/>
      <c r="H59" s="12"/>
      <c r="I59" s="12"/>
      <c r="J59" s="12"/>
      <c r="K59" s="23"/>
      <c r="L59" s="23"/>
      <c r="M59" s="24"/>
      <c r="N59" s="12"/>
      <c r="O59" s="12"/>
      <c r="P59" s="12"/>
      <c r="Q59" s="12"/>
      <c r="R59" s="12"/>
      <c r="S59" s="26">
        <f t="shared" si="4"/>
        <v>0</v>
      </c>
      <c r="T59" s="27">
        <f t="shared" si="5"/>
        <v>0</v>
      </c>
      <c r="U59" s="30"/>
    </row>
    <row r="60" spans="1:21" x14ac:dyDescent="0.3">
      <c r="A60" s="12">
        <v>0</v>
      </c>
      <c r="B60" s="46" t="s">
        <v>246</v>
      </c>
      <c r="C60" s="12"/>
      <c r="D60" s="12"/>
      <c r="E60" s="12"/>
      <c r="F60" s="12"/>
      <c r="G60" s="12"/>
      <c r="H60" s="12"/>
      <c r="I60" s="12"/>
      <c r="J60" s="12"/>
      <c r="K60" s="23"/>
      <c r="L60" s="23"/>
      <c r="M60" s="24"/>
      <c r="N60" s="12"/>
      <c r="O60" s="12"/>
      <c r="P60" s="12"/>
      <c r="Q60" s="12"/>
      <c r="R60" s="12"/>
      <c r="S60" s="26">
        <f t="shared" si="4"/>
        <v>0</v>
      </c>
      <c r="T60" s="27">
        <f t="shared" si="5"/>
        <v>0</v>
      </c>
      <c r="U60" s="30"/>
    </row>
    <row r="61" spans="1:21" x14ac:dyDescent="0.3">
      <c r="A61" s="12">
        <v>0</v>
      </c>
      <c r="B61" s="46" t="s">
        <v>247</v>
      </c>
      <c r="C61" s="12"/>
      <c r="D61" s="12"/>
      <c r="E61" s="12"/>
      <c r="F61" s="12"/>
      <c r="G61" s="12"/>
      <c r="H61" s="12"/>
      <c r="I61" s="12"/>
      <c r="J61" s="12"/>
      <c r="K61" s="23"/>
      <c r="L61" s="23"/>
      <c r="M61" s="24"/>
      <c r="N61" s="12"/>
      <c r="O61" s="12"/>
      <c r="P61" s="12"/>
      <c r="Q61" s="12"/>
      <c r="R61" s="12"/>
      <c r="S61" s="26">
        <f t="shared" si="4"/>
        <v>0</v>
      </c>
      <c r="T61" s="27">
        <f t="shared" si="5"/>
        <v>0</v>
      </c>
      <c r="U61" s="30"/>
    </row>
    <row r="62" spans="1:21" x14ac:dyDescent="0.3">
      <c r="A62" s="12">
        <v>0</v>
      </c>
      <c r="B62" s="46" t="s">
        <v>248</v>
      </c>
      <c r="C62" s="12"/>
      <c r="D62" s="12"/>
      <c r="E62" s="12"/>
      <c r="F62" s="12"/>
      <c r="G62" s="12"/>
      <c r="H62" s="12"/>
      <c r="I62" s="12"/>
      <c r="J62" s="12"/>
      <c r="K62" s="23"/>
      <c r="L62" s="23"/>
      <c r="M62" s="24"/>
      <c r="N62" s="12"/>
      <c r="O62" s="12"/>
      <c r="P62" s="12"/>
      <c r="Q62" s="12"/>
      <c r="R62" s="12"/>
      <c r="S62" s="26">
        <f t="shared" si="4"/>
        <v>0</v>
      </c>
      <c r="T62" s="27">
        <f t="shared" si="5"/>
        <v>0</v>
      </c>
      <c r="U62" s="30"/>
    </row>
    <row r="63" spans="1:21" x14ac:dyDescent="0.3">
      <c r="A63" s="12">
        <v>0</v>
      </c>
      <c r="B63" s="46" t="s">
        <v>249</v>
      </c>
      <c r="C63" s="12"/>
      <c r="D63" s="12"/>
      <c r="E63" s="12"/>
      <c r="F63" s="12"/>
      <c r="G63" s="12"/>
      <c r="H63" s="12"/>
      <c r="I63" s="12"/>
      <c r="J63" s="12"/>
      <c r="K63" s="23"/>
      <c r="L63" s="23"/>
      <c r="M63" s="24"/>
      <c r="N63" s="12"/>
      <c r="O63" s="12"/>
      <c r="P63" s="12"/>
      <c r="Q63" s="12"/>
      <c r="R63" s="12"/>
      <c r="S63" s="26">
        <f t="shared" si="4"/>
        <v>0</v>
      </c>
      <c r="T63" s="27">
        <f t="shared" si="5"/>
        <v>0</v>
      </c>
      <c r="U63" s="30"/>
    </row>
    <row r="64" spans="1:21" x14ac:dyDescent="0.3">
      <c r="A64" s="12">
        <v>0</v>
      </c>
      <c r="B64" s="46" t="s">
        <v>250</v>
      </c>
      <c r="C64" s="12"/>
      <c r="D64" s="12"/>
      <c r="E64" s="12"/>
      <c r="F64" s="12"/>
      <c r="G64" s="12"/>
      <c r="H64" s="12"/>
      <c r="I64" s="12"/>
      <c r="J64" s="12"/>
      <c r="K64" s="23"/>
      <c r="L64" s="23"/>
      <c r="M64" s="24"/>
      <c r="N64" s="12"/>
      <c r="O64" s="12"/>
      <c r="P64" s="12"/>
      <c r="Q64" s="12"/>
      <c r="R64" s="12"/>
      <c r="S64" s="26">
        <f t="shared" si="4"/>
        <v>0</v>
      </c>
      <c r="T64" s="27">
        <f t="shared" si="5"/>
        <v>0</v>
      </c>
      <c r="U64" s="30"/>
    </row>
    <row r="65" spans="1:21" x14ac:dyDescent="0.3">
      <c r="A65" s="12">
        <v>0</v>
      </c>
      <c r="B65" s="46" t="s">
        <v>251</v>
      </c>
      <c r="C65" s="12"/>
      <c r="D65" s="12"/>
      <c r="E65" s="12"/>
      <c r="F65" s="12"/>
      <c r="G65" s="12"/>
      <c r="H65" s="12"/>
      <c r="I65" s="12"/>
      <c r="J65" s="12"/>
      <c r="K65" s="23"/>
      <c r="L65" s="23"/>
      <c r="M65" s="24"/>
      <c r="N65" s="12"/>
      <c r="O65" s="12"/>
      <c r="P65" s="12"/>
      <c r="Q65" s="12"/>
      <c r="R65" s="12"/>
      <c r="S65" s="26">
        <f t="shared" si="4"/>
        <v>0</v>
      </c>
      <c r="T65" s="27">
        <f t="shared" si="5"/>
        <v>0</v>
      </c>
      <c r="U65" s="30"/>
    </row>
    <row r="66" spans="1:21" x14ac:dyDescent="0.3">
      <c r="A66" s="12">
        <v>0</v>
      </c>
      <c r="B66" s="46" t="s">
        <v>252</v>
      </c>
      <c r="C66" s="12"/>
      <c r="D66" s="12"/>
      <c r="E66" s="12"/>
      <c r="F66" s="12"/>
      <c r="G66" s="12"/>
      <c r="H66" s="12"/>
      <c r="I66" s="12"/>
      <c r="J66" s="12"/>
      <c r="K66" s="23"/>
      <c r="L66" s="23"/>
      <c r="M66" s="24"/>
      <c r="N66" s="12"/>
      <c r="O66" s="12"/>
      <c r="P66" s="12"/>
      <c r="Q66" s="12"/>
      <c r="R66" s="12"/>
      <c r="S66" s="26">
        <f t="shared" si="4"/>
        <v>0</v>
      </c>
      <c r="T66" s="27">
        <f t="shared" si="5"/>
        <v>0</v>
      </c>
      <c r="U66" s="30"/>
    </row>
    <row r="67" spans="1:21" x14ac:dyDescent="0.3">
      <c r="A67" s="12">
        <v>0</v>
      </c>
      <c r="B67" s="46" t="s">
        <v>253</v>
      </c>
      <c r="C67" s="12"/>
      <c r="D67" s="12"/>
      <c r="E67" s="12"/>
      <c r="F67" s="12"/>
      <c r="G67" s="12"/>
      <c r="H67" s="12"/>
      <c r="I67" s="12"/>
      <c r="J67" s="12"/>
      <c r="K67" s="23"/>
      <c r="L67" s="23"/>
      <c r="M67" s="24"/>
      <c r="N67" s="12"/>
      <c r="O67" s="12"/>
      <c r="P67" s="12"/>
      <c r="Q67" s="12"/>
      <c r="R67" s="12"/>
      <c r="S67" s="26">
        <f t="shared" si="4"/>
        <v>0</v>
      </c>
      <c r="T67" s="27">
        <f t="shared" si="5"/>
        <v>0</v>
      </c>
      <c r="U67" s="30"/>
    </row>
    <row r="68" spans="1:21" x14ac:dyDescent="0.3">
      <c r="A68" s="12">
        <v>0</v>
      </c>
      <c r="B68" s="46" t="s">
        <v>254</v>
      </c>
      <c r="C68" s="12"/>
      <c r="D68" s="12"/>
      <c r="E68" s="12"/>
      <c r="F68" s="12"/>
      <c r="G68" s="28"/>
      <c r="H68" s="12"/>
      <c r="I68" s="12"/>
      <c r="J68" s="12"/>
      <c r="K68" s="23"/>
      <c r="L68" s="23"/>
      <c r="M68" s="24"/>
      <c r="N68" s="12"/>
      <c r="O68" s="12"/>
      <c r="P68" s="12"/>
      <c r="Q68" s="12"/>
      <c r="R68" s="12"/>
      <c r="S68" s="26">
        <f t="shared" si="4"/>
        <v>0</v>
      </c>
      <c r="T68" s="27">
        <f t="shared" si="5"/>
        <v>0</v>
      </c>
      <c r="U68" s="30"/>
    </row>
    <row r="69" spans="1:21" x14ac:dyDescent="0.3">
      <c r="A69" s="12">
        <v>0</v>
      </c>
      <c r="B69" s="46" t="s">
        <v>255</v>
      </c>
      <c r="C69" s="12"/>
      <c r="D69" s="12"/>
      <c r="E69" s="12"/>
      <c r="F69" s="12"/>
      <c r="G69" s="28"/>
      <c r="H69" s="12"/>
      <c r="I69" s="12"/>
      <c r="J69" s="12"/>
      <c r="K69" s="23"/>
      <c r="L69" s="23"/>
      <c r="M69" s="24"/>
      <c r="N69" s="12"/>
      <c r="O69" s="12"/>
      <c r="P69" s="12"/>
      <c r="Q69" s="12"/>
      <c r="R69" s="12"/>
      <c r="S69" s="26">
        <f t="shared" si="4"/>
        <v>0</v>
      </c>
      <c r="T69" s="27">
        <f t="shared" si="5"/>
        <v>0</v>
      </c>
      <c r="U69" s="30"/>
    </row>
    <row r="70" spans="1:21" x14ac:dyDescent="0.3">
      <c r="A70" s="12">
        <v>0</v>
      </c>
      <c r="B70" s="46" t="s">
        <v>256</v>
      </c>
      <c r="C70" s="12"/>
      <c r="D70" s="12"/>
      <c r="E70" s="12"/>
      <c r="F70" s="12"/>
      <c r="G70" s="12"/>
      <c r="H70" s="12"/>
      <c r="I70" s="12"/>
      <c r="J70" s="12"/>
      <c r="K70" s="23"/>
      <c r="L70" s="23"/>
      <c r="M70" s="24"/>
      <c r="N70" s="12"/>
      <c r="O70" s="12"/>
      <c r="P70" s="12"/>
      <c r="Q70" s="12"/>
      <c r="R70" s="12"/>
      <c r="S70" s="26">
        <f t="shared" si="4"/>
        <v>0</v>
      </c>
      <c r="T70" s="27">
        <f t="shared" si="5"/>
        <v>0</v>
      </c>
      <c r="U70" s="30"/>
    </row>
    <row r="71" spans="1:21" x14ac:dyDescent="0.3">
      <c r="A71" s="12">
        <v>0</v>
      </c>
      <c r="B71" s="46" t="s">
        <v>257</v>
      </c>
      <c r="C71" s="12"/>
      <c r="D71" s="12"/>
      <c r="E71" s="12"/>
      <c r="F71" s="12"/>
      <c r="G71" s="12"/>
      <c r="H71" s="12"/>
      <c r="I71" s="12"/>
      <c r="J71" s="12"/>
      <c r="K71" s="23"/>
      <c r="L71" s="23"/>
      <c r="M71" s="24"/>
      <c r="N71" s="12"/>
      <c r="O71" s="12"/>
      <c r="P71" s="12"/>
      <c r="Q71" s="12"/>
      <c r="R71" s="12"/>
      <c r="S71" s="26">
        <f t="shared" si="4"/>
        <v>0</v>
      </c>
      <c r="T71" s="27">
        <f t="shared" si="5"/>
        <v>0</v>
      </c>
      <c r="U71" s="30"/>
    </row>
    <row r="72" spans="1:21" x14ac:dyDescent="0.3">
      <c r="A72" s="12">
        <v>0</v>
      </c>
      <c r="B72" s="46" t="s">
        <v>258</v>
      </c>
      <c r="C72" s="12"/>
      <c r="D72" s="12"/>
      <c r="E72" s="12"/>
      <c r="F72" s="12"/>
      <c r="G72" s="12"/>
      <c r="H72" s="12"/>
      <c r="I72" s="12"/>
      <c r="J72" s="12"/>
      <c r="K72" s="23"/>
      <c r="L72" s="23"/>
      <c r="M72" s="24"/>
      <c r="N72" s="12"/>
      <c r="O72" s="12"/>
      <c r="P72" s="12"/>
      <c r="Q72" s="12"/>
      <c r="R72" s="12"/>
      <c r="S72" s="26">
        <f t="shared" si="4"/>
        <v>0</v>
      </c>
      <c r="T72" s="27">
        <f t="shared" si="5"/>
        <v>0</v>
      </c>
      <c r="U72" s="30"/>
    </row>
    <row r="73" spans="1:21" x14ac:dyDescent="0.3">
      <c r="A73" s="12">
        <v>0</v>
      </c>
      <c r="B73" s="46" t="s">
        <v>259</v>
      </c>
      <c r="C73" s="12"/>
      <c r="D73" s="12"/>
      <c r="E73" s="12"/>
      <c r="F73" s="12"/>
      <c r="G73" s="12"/>
      <c r="H73" s="12"/>
      <c r="I73" s="12"/>
      <c r="J73" s="12"/>
      <c r="K73" s="23"/>
      <c r="L73" s="23"/>
      <c r="M73" s="24"/>
      <c r="N73" s="12"/>
      <c r="O73" s="12"/>
      <c r="P73" s="12"/>
      <c r="Q73" s="12"/>
      <c r="R73" s="12"/>
      <c r="S73" s="26">
        <f t="shared" si="4"/>
        <v>0</v>
      </c>
      <c r="T73" s="27">
        <f t="shared" si="5"/>
        <v>0</v>
      </c>
      <c r="U73" s="30"/>
    </row>
    <row r="74" spans="1:21" x14ac:dyDescent="0.3">
      <c r="A74" s="12">
        <v>0</v>
      </c>
      <c r="B74" s="46" t="s">
        <v>260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4"/>
        <v>0</v>
      </c>
      <c r="T74" s="27">
        <f t="shared" si="5"/>
        <v>0</v>
      </c>
      <c r="U74" s="30"/>
    </row>
    <row r="75" spans="1:21" x14ac:dyDescent="0.3">
      <c r="A75" s="12">
        <v>0</v>
      </c>
      <c r="B75" s="46" t="s">
        <v>261</v>
      </c>
      <c r="C75" s="12"/>
      <c r="D75" s="12"/>
      <c r="E75" s="12"/>
      <c r="F75" s="12"/>
      <c r="G75" s="12"/>
      <c r="H75" s="12"/>
      <c r="I75" s="12"/>
      <c r="J75" s="12"/>
      <c r="K75" s="23"/>
      <c r="L75" s="23"/>
      <c r="M75" s="24"/>
      <c r="N75" s="12"/>
      <c r="O75" s="12"/>
      <c r="P75" s="12"/>
      <c r="Q75" s="12"/>
      <c r="R75" s="12"/>
      <c r="S75" s="26">
        <f t="shared" si="4"/>
        <v>0</v>
      </c>
      <c r="T75" s="27">
        <f t="shared" si="5"/>
        <v>0</v>
      </c>
      <c r="U75" s="30"/>
    </row>
    <row r="76" spans="1:21" x14ac:dyDescent="0.3">
      <c r="A76" s="12">
        <v>0</v>
      </c>
      <c r="B76" s="46" t="s">
        <v>262</v>
      </c>
      <c r="C76" s="12"/>
      <c r="D76" s="12"/>
      <c r="E76" s="12"/>
      <c r="F76" s="12"/>
      <c r="G76" s="12"/>
      <c r="H76" s="12"/>
      <c r="I76" s="12"/>
      <c r="J76" s="12"/>
      <c r="K76" s="23"/>
      <c r="L76" s="23"/>
      <c r="M76" s="24"/>
      <c r="N76" s="12"/>
      <c r="O76" s="12"/>
      <c r="P76" s="12"/>
      <c r="Q76" s="12"/>
      <c r="R76" s="12"/>
      <c r="S76" s="26">
        <f t="shared" si="4"/>
        <v>0</v>
      </c>
      <c r="T76" s="27">
        <f t="shared" si="5"/>
        <v>0</v>
      </c>
      <c r="U76" s="30"/>
    </row>
    <row r="77" spans="1:21" x14ac:dyDescent="0.3">
      <c r="A77" s="12">
        <v>0</v>
      </c>
      <c r="B77" s="46" t="s">
        <v>263</v>
      </c>
      <c r="C77" s="12"/>
      <c r="D77" s="12"/>
      <c r="E77" s="25"/>
      <c r="F77" s="25"/>
      <c r="G77" s="25"/>
      <c r="H77" s="25"/>
      <c r="I77" s="25"/>
      <c r="J77" s="25"/>
      <c r="K77" s="23"/>
      <c r="L77" s="23"/>
      <c r="M77" s="24"/>
      <c r="N77" s="12"/>
      <c r="O77" s="12"/>
      <c r="P77" s="12"/>
      <c r="Q77" s="12"/>
      <c r="R77" s="12"/>
      <c r="S77" s="26">
        <f t="shared" si="4"/>
        <v>0</v>
      </c>
      <c r="T77" s="27">
        <f t="shared" si="5"/>
        <v>0</v>
      </c>
      <c r="U77" s="30"/>
    </row>
    <row r="78" spans="1:21" x14ac:dyDescent="0.3">
      <c r="A78" s="12">
        <v>0</v>
      </c>
      <c r="B78" s="46" t="s">
        <v>264</v>
      </c>
      <c r="C78" s="12"/>
      <c r="D78" s="12"/>
      <c r="E78" s="12"/>
      <c r="F78" s="12"/>
      <c r="G78" s="12"/>
      <c r="H78" s="12"/>
      <c r="I78" s="12"/>
      <c r="J78" s="12"/>
      <c r="K78" s="23"/>
      <c r="L78" s="23"/>
      <c r="M78" s="24"/>
      <c r="N78" s="12"/>
      <c r="O78" s="12"/>
      <c r="P78" s="12"/>
      <c r="Q78" s="12"/>
      <c r="R78" s="12"/>
      <c r="S78" s="26">
        <f t="shared" si="4"/>
        <v>0</v>
      </c>
      <c r="T78" s="27">
        <f t="shared" si="5"/>
        <v>0</v>
      </c>
      <c r="U78" s="30"/>
    </row>
    <row r="79" spans="1:21" x14ac:dyDescent="0.3">
      <c r="A79" s="12">
        <v>0</v>
      </c>
      <c r="B79" s="46" t="s">
        <v>265</v>
      </c>
      <c r="C79" s="12"/>
      <c r="D79" s="12"/>
      <c r="E79" s="12"/>
      <c r="F79" s="12"/>
      <c r="G79" s="12"/>
      <c r="H79" s="12"/>
      <c r="I79" s="12"/>
      <c r="J79" s="12"/>
      <c r="K79" s="23"/>
      <c r="L79" s="23"/>
      <c r="M79" s="24"/>
      <c r="N79" s="12"/>
      <c r="O79" s="12"/>
      <c r="P79" s="12"/>
      <c r="Q79" s="12"/>
      <c r="R79" s="12"/>
      <c r="S79" s="26">
        <f t="shared" ref="S79:S86" si="6">R79+M79</f>
        <v>0</v>
      </c>
      <c r="T79" s="27">
        <f t="shared" ref="T79:T86" si="7">S79*A79</f>
        <v>0</v>
      </c>
      <c r="U79" s="30"/>
    </row>
    <row r="80" spans="1:21" x14ac:dyDescent="0.3">
      <c r="A80" s="12">
        <v>0</v>
      </c>
      <c r="B80" s="47" t="s">
        <v>266</v>
      </c>
      <c r="C80" s="12"/>
      <c r="D80" s="12"/>
      <c r="E80" s="25"/>
      <c r="F80" s="12"/>
      <c r="G80" s="12"/>
      <c r="H80" s="12"/>
      <c r="I80" s="12"/>
      <c r="J80" s="12"/>
      <c r="K80" s="23"/>
      <c r="L80" s="23"/>
      <c r="M80" s="24"/>
      <c r="N80" s="12"/>
      <c r="O80" s="12"/>
      <c r="P80" s="12"/>
      <c r="Q80" s="12"/>
      <c r="R80" s="12"/>
      <c r="S80" s="26">
        <f t="shared" si="6"/>
        <v>0</v>
      </c>
      <c r="T80" s="27">
        <f t="shared" si="7"/>
        <v>0</v>
      </c>
      <c r="U80" s="30"/>
    </row>
    <row r="81" spans="1:21" x14ac:dyDescent="0.3">
      <c r="A81" s="12">
        <v>0</v>
      </c>
      <c r="B81" s="46" t="s">
        <v>267</v>
      </c>
      <c r="C81" s="12"/>
      <c r="D81" s="12"/>
      <c r="E81" s="12"/>
      <c r="F81" s="12"/>
      <c r="G81" s="12"/>
      <c r="H81" s="12"/>
      <c r="I81" s="12"/>
      <c r="J81" s="12"/>
      <c r="K81" s="23"/>
      <c r="L81" s="23"/>
      <c r="M81" s="24"/>
      <c r="N81" s="12"/>
      <c r="O81" s="12"/>
      <c r="P81" s="12"/>
      <c r="Q81" s="12"/>
      <c r="R81" s="12"/>
      <c r="S81" s="26">
        <f t="shared" si="6"/>
        <v>0</v>
      </c>
      <c r="T81" s="27">
        <f t="shared" si="7"/>
        <v>0</v>
      </c>
      <c r="U81" s="30"/>
    </row>
    <row r="82" spans="1:21" x14ac:dyDescent="0.3">
      <c r="A82" s="12">
        <v>0</v>
      </c>
      <c r="B82" s="46" t="s">
        <v>268</v>
      </c>
      <c r="C82" s="12"/>
      <c r="D82" s="12"/>
      <c r="E82" s="12"/>
      <c r="F82" s="12"/>
      <c r="G82" s="12"/>
      <c r="H82" s="12"/>
      <c r="I82" s="12"/>
      <c r="J82" s="12"/>
      <c r="K82" s="23"/>
      <c r="L82" s="23"/>
      <c r="M82" s="24"/>
      <c r="N82" s="12"/>
      <c r="O82" s="12"/>
      <c r="P82" s="12"/>
      <c r="Q82" s="12"/>
      <c r="R82" s="12"/>
      <c r="S82" s="26">
        <f t="shared" si="6"/>
        <v>0</v>
      </c>
      <c r="T82" s="27">
        <f t="shared" si="7"/>
        <v>0</v>
      </c>
      <c r="U82" s="30"/>
    </row>
    <row r="83" spans="1:21" x14ac:dyDescent="0.3">
      <c r="A83" s="12">
        <v>0</v>
      </c>
      <c r="B83" s="46" t="s">
        <v>269</v>
      </c>
      <c r="C83" s="12"/>
      <c r="D83" s="12"/>
      <c r="E83" s="12"/>
      <c r="F83" s="12"/>
      <c r="G83" s="12"/>
      <c r="H83" s="12"/>
      <c r="I83" s="12"/>
      <c r="J83" s="12"/>
      <c r="K83" s="23"/>
      <c r="L83" s="23"/>
      <c r="M83" s="24"/>
      <c r="N83" s="12"/>
      <c r="O83" s="12"/>
      <c r="P83" s="12"/>
      <c r="Q83" s="12"/>
      <c r="R83" s="12"/>
      <c r="S83" s="26">
        <f t="shared" si="6"/>
        <v>0</v>
      </c>
      <c r="T83" s="27">
        <f t="shared" si="7"/>
        <v>0</v>
      </c>
      <c r="U83" s="30"/>
    </row>
    <row r="84" spans="1:21" x14ac:dyDescent="0.3">
      <c r="A84" s="12">
        <v>0</v>
      </c>
      <c r="B84" s="46" t="s">
        <v>270</v>
      </c>
      <c r="C84" s="12"/>
      <c r="D84" s="12"/>
      <c r="E84" s="12"/>
      <c r="F84" s="12"/>
      <c r="G84" s="12"/>
      <c r="H84" s="12"/>
      <c r="I84" s="12"/>
      <c r="J84" s="12"/>
      <c r="K84" s="23"/>
      <c r="L84" s="23"/>
      <c r="M84" s="24"/>
      <c r="N84" s="12"/>
      <c r="O84" s="12"/>
      <c r="P84" s="12"/>
      <c r="Q84" s="12"/>
      <c r="R84" s="12"/>
      <c r="S84" s="26">
        <f t="shared" si="6"/>
        <v>0</v>
      </c>
      <c r="T84" s="27">
        <f t="shared" si="7"/>
        <v>0</v>
      </c>
      <c r="U84" s="30"/>
    </row>
    <row r="85" spans="1:21" x14ac:dyDescent="0.3">
      <c r="A85" s="12">
        <v>0</v>
      </c>
      <c r="B85" s="46" t="s">
        <v>271</v>
      </c>
      <c r="C85" s="12"/>
      <c r="D85" s="12"/>
      <c r="E85" s="12"/>
      <c r="F85" s="12"/>
      <c r="G85" s="12"/>
      <c r="H85" s="12"/>
      <c r="I85" s="12"/>
      <c r="J85" s="12"/>
      <c r="K85" s="23"/>
      <c r="L85" s="23"/>
      <c r="M85" s="24"/>
      <c r="N85" s="12"/>
      <c r="O85" s="12"/>
      <c r="P85" s="12"/>
      <c r="Q85" s="12"/>
      <c r="R85" s="12"/>
      <c r="S85" s="26">
        <f t="shared" si="6"/>
        <v>0</v>
      </c>
      <c r="T85" s="27">
        <f t="shared" si="7"/>
        <v>0</v>
      </c>
      <c r="U85" s="30"/>
    </row>
    <row r="86" spans="1:21" x14ac:dyDescent="0.3">
      <c r="A86" s="12">
        <v>0</v>
      </c>
      <c r="B86" s="46" t="s">
        <v>272</v>
      </c>
      <c r="C86" s="12"/>
      <c r="D86" s="12"/>
      <c r="E86" s="12"/>
      <c r="F86" s="12"/>
      <c r="G86" s="12"/>
      <c r="H86" s="12"/>
      <c r="I86" s="12"/>
      <c r="J86" s="12"/>
      <c r="K86" s="23"/>
      <c r="L86" s="23"/>
      <c r="M86" s="24"/>
      <c r="N86" s="12"/>
      <c r="O86" s="12"/>
      <c r="P86" s="12"/>
      <c r="Q86" s="12"/>
      <c r="R86" s="12"/>
      <c r="S86" s="26">
        <f t="shared" si="6"/>
        <v>0</v>
      </c>
      <c r="T86" s="27">
        <f t="shared" si="7"/>
        <v>0</v>
      </c>
      <c r="U86" s="30"/>
    </row>
    <row r="87" spans="1:21" x14ac:dyDescent="0.3">
      <c r="A87" s="12">
        <v>0</v>
      </c>
      <c r="B87" s="46" t="s">
        <v>273</v>
      </c>
      <c r="C87" s="12"/>
      <c r="D87" s="12"/>
      <c r="E87" s="12"/>
      <c r="F87" s="12"/>
      <c r="G87" s="12"/>
      <c r="H87" s="12"/>
      <c r="I87" s="12"/>
      <c r="J87" s="12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">
      <c r="A88" s="12">
        <v>0</v>
      </c>
      <c r="B88" s="46" t="s">
        <v>274</v>
      </c>
      <c r="C88" s="12"/>
      <c r="D88" s="12"/>
      <c r="E88" s="12"/>
      <c r="F88" s="12"/>
      <c r="G88" s="12"/>
      <c r="H88" s="12"/>
      <c r="I88" s="12"/>
      <c r="J88" s="12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">
      <c r="A89" s="12">
        <v>0</v>
      </c>
      <c r="B89" s="46" t="s">
        <v>275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6" t="s">
        <v>276</v>
      </c>
      <c r="C90" s="12"/>
      <c r="D90" s="12"/>
      <c r="E90" s="12"/>
      <c r="F90" s="12"/>
      <c r="G90" s="12"/>
      <c r="H90" s="12"/>
      <c r="I90" s="12"/>
      <c r="J90" s="12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6" t="s">
        <v>277</v>
      </c>
      <c r="C91" s="12"/>
      <c r="D91" s="12"/>
      <c r="E91" s="12"/>
      <c r="F91" s="12"/>
      <c r="G91" s="12"/>
      <c r="H91" s="12"/>
      <c r="I91" s="12"/>
      <c r="J91" s="12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6" t="s">
        <v>278</v>
      </c>
      <c r="C92" s="12"/>
      <c r="D92" s="12"/>
      <c r="E92" s="12"/>
      <c r="F92" s="12"/>
      <c r="G92" s="12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6" t="s">
        <v>279</v>
      </c>
      <c r="C93" s="12"/>
      <c r="D93" s="12"/>
      <c r="E93" s="12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6" t="s">
        <v>281</v>
      </c>
      <c r="C94" s="12"/>
      <c r="D94" s="12"/>
      <c r="E94" s="12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6" t="s">
        <v>283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6" t="s">
        <v>284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6" t="s">
        <v>285</v>
      </c>
      <c r="C97" s="12"/>
      <c r="D97" s="12"/>
      <c r="E97" s="12"/>
      <c r="F97" s="12"/>
      <c r="G97" s="12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6" t="s">
        <v>286</v>
      </c>
      <c r="C98" s="12"/>
      <c r="D98" s="12"/>
      <c r="E98" s="12"/>
      <c r="F98" s="12"/>
      <c r="G98" s="12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6" t="s">
        <v>287</v>
      </c>
      <c r="C99" s="12"/>
      <c r="D99" s="12"/>
      <c r="E99" s="12"/>
      <c r="F99" s="12"/>
      <c r="G99" s="12"/>
      <c r="H99" s="12"/>
      <c r="I99" s="12"/>
      <c r="J99" s="12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6" t="s">
        <v>288</v>
      </c>
      <c r="C100" s="12"/>
      <c r="D100" s="12"/>
      <c r="E100" s="12"/>
      <c r="F100" s="12"/>
      <c r="G100" s="12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6" t="s">
        <v>289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6" t="s">
        <v>290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6" t="s">
        <v>291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6" t="s">
        <v>292</v>
      </c>
      <c r="C104" s="12"/>
      <c r="D104" s="12"/>
      <c r="E104" s="12"/>
      <c r="F104" s="12"/>
      <c r="G104" s="12"/>
      <c r="H104" s="12"/>
      <c r="I104" s="12"/>
      <c r="J104" s="12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6" t="s">
        <v>293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6" t="s">
        <v>295</v>
      </c>
      <c r="C106" s="12"/>
      <c r="D106" s="12"/>
      <c r="E106" s="12"/>
      <c r="F106" s="12"/>
      <c r="G106" s="12"/>
      <c r="H106" s="12"/>
      <c r="I106" s="12"/>
      <c r="J106" s="12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6" t="s">
        <v>296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6" t="s">
        <v>298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6" t="s">
        <v>193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6" t="s">
        <v>300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6" t="s">
        <v>301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6" t="s">
        <v>302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6" t="s">
        <v>303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6" t="s">
        <v>304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6" t="s">
        <v>305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6" t="s">
        <v>306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6" t="s">
        <v>307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6" t="s">
        <v>308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6" t="s">
        <v>309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6" t="s">
        <v>310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6" t="s">
        <v>311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6" t="s">
        <v>312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6" t="s">
        <v>313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6" t="s">
        <v>314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6" t="s">
        <v>315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6" t="s">
        <v>316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6" t="s">
        <v>317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">
      <c r="A128" s="48">
        <v>0</v>
      </c>
      <c r="B128" s="49" t="s">
        <v>318</v>
      </c>
      <c r="C128" s="50"/>
      <c r="D128" s="50"/>
      <c r="E128" s="51"/>
      <c r="F128" s="51"/>
      <c r="G128" s="51"/>
      <c r="H128" s="51"/>
      <c r="I128" s="51"/>
      <c r="J128" s="51"/>
      <c r="K128" s="52"/>
      <c r="L128" s="52"/>
      <c r="M128" s="53"/>
      <c r="N128" s="54"/>
      <c r="P128" s="51"/>
      <c r="Q128" s="51"/>
      <c r="R128" s="51"/>
      <c r="S128" s="51"/>
      <c r="T128" s="51"/>
    </row>
    <row r="129" spans="1:20" x14ac:dyDescent="0.3">
      <c r="A129" s="48">
        <v>0</v>
      </c>
      <c r="B129" s="49" t="s">
        <v>319</v>
      </c>
      <c r="C129" s="50"/>
      <c r="D129" s="50"/>
      <c r="E129" s="51"/>
      <c r="F129" s="51"/>
      <c r="G129" s="51"/>
      <c r="H129" s="51"/>
      <c r="I129" s="51"/>
      <c r="J129" s="51"/>
      <c r="K129" s="52"/>
      <c r="L129" s="52"/>
      <c r="M129" s="53"/>
      <c r="N129" s="54"/>
      <c r="P129" s="51"/>
      <c r="Q129" s="51"/>
      <c r="R129" s="51"/>
      <c r="S129" s="51"/>
      <c r="T129" s="51"/>
    </row>
    <row r="130" spans="1:20" x14ac:dyDescent="0.3">
      <c r="A130" s="48">
        <v>0</v>
      </c>
      <c r="B130" s="49" t="s">
        <v>320</v>
      </c>
      <c r="C130" s="50"/>
      <c r="D130" s="50"/>
      <c r="E130" s="51"/>
      <c r="F130" s="51"/>
      <c r="G130" s="51"/>
      <c r="H130" s="51"/>
      <c r="I130" s="51"/>
      <c r="J130" s="51"/>
      <c r="K130" s="52"/>
      <c r="L130" s="52"/>
      <c r="M130" s="53"/>
      <c r="N130" s="54"/>
      <c r="P130" s="51"/>
      <c r="Q130" s="51"/>
      <c r="R130" s="51"/>
      <c r="S130" s="51"/>
      <c r="T130" s="51"/>
    </row>
    <row r="131" spans="1:20" x14ac:dyDescent="0.3">
      <c r="A131" s="48">
        <v>0</v>
      </c>
      <c r="B131" s="49" t="s">
        <v>321</v>
      </c>
      <c r="C131" s="50"/>
      <c r="D131" s="50"/>
      <c r="E131" s="51"/>
      <c r="F131" s="51"/>
      <c r="G131" s="51"/>
      <c r="H131" s="51"/>
      <c r="I131" s="51"/>
      <c r="J131" s="51"/>
      <c r="K131" s="52"/>
      <c r="L131" s="52"/>
      <c r="M131" s="53"/>
      <c r="N131" s="54"/>
      <c r="P131" s="51"/>
      <c r="Q131" s="51"/>
      <c r="R131" s="51"/>
      <c r="S131" s="51"/>
      <c r="T131" s="51"/>
    </row>
    <row r="132" spans="1:20" x14ac:dyDescent="0.3">
      <c r="A132" s="48">
        <v>0</v>
      </c>
      <c r="B132" s="49" t="s">
        <v>322</v>
      </c>
      <c r="C132" s="50"/>
      <c r="D132" s="50"/>
      <c r="E132" s="51"/>
      <c r="F132" s="51"/>
      <c r="G132" s="51"/>
      <c r="H132" s="51"/>
      <c r="I132" s="51"/>
      <c r="J132" s="51"/>
      <c r="K132" s="52"/>
      <c r="L132" s="52"/>
      <c r="M132" s="53"/>
      <c r="N132" s="54"/>
      <c r="P132" s="51"/>
      <c r="Q132" s="51"/>
      <c r="R132" s="51"/>
      <c r="S132" s="51"/>
      <c r="T132" s="51"/>
    </row>
    <row r="133" spans="1:20" x14ac:dyDescent="0.3">
      <c r="A133" s="48">
        <v>0</v>
      </c>
      <c r="B133" s="49" t="s">
        <v>323</v>
      </c>
      <c r="C133" s="50"/>
      <c r="D133" s="50"/>
      <c r="E133" s="51"/>
      <c r="F133" s="51"/>
      <c r="G133" s="51"/>
      <c r="H133" s="51"/>
      <c r="I133" s="51"/>
      <c r="J133" s="51"/>
      <c r="K133" s="52"/>
      <c r="L133" s="52"/>
      <c r="M133" s="53"/>
      <c r="N133" s="54"/>
      <c r="P133" s="51"/>
      <c r="Q133" s="51"/>
      <c r="R133" s="51"/>
      <c r="S133" s="51"/>
      <c r="T133" s="51"/>
    </row>
    <row r="134" spans="1:20" x14ac:dyDescent="0.3">
      <c r="A134" s="48">
        <v>0</v>
      </c>
      <c r="B134" s="49" t="s">
        <v>328</v>
      </c>
      <c r="C134" s="50"/>
      <c r="D134" s="50"/>
      <c r="E134" s="51"/>
      <c r="F134" s="51"/>
      <c r="G134" s="51"/>
      <c r="H134" s="51"/>
      <c r="I134" s="51"/>
      <c r="J134" s="51"/>
      <c r="K134" s="52"/>
      <c r="L134" s="52"/>
      <c r="M134" s="53"/>
      <c r="N134" s="54"/>
      <c r="P134" s="51"/>
      <c r="Q134" s="51"/>
      <c r="R134" s="51"/>
      <c r="S134" s="51"/>
      <c r="T134" s="51"/>
    </row>
    <row r="135" spans="1:20" x14ac:dyDescent="0.3">
      <c r="A135" s="48">
        <v>0</v>
      </c>
      <c r="B135" s="49" t="s">
        <v>329</v>
      </c>
      <c r="C135" s="50"/>
      <c r="D135" s="50"/>
      <c r="E135" s="51"/>
      <c r="F135" s="51"/>
      <c r="G135" s="51"/>
      <c r="H135" s="51"/>
      <c r="I135" s="51"/>
      <c r="J135" s="51"/>
      <c r="K135" s="52"/>
      <c r="L135" s="52"/>
      <c r="M135" s="53"/>
      <c r="N135" s="54"/>
      <c r="P135" s="51"/>
      <c r="Q135" s="51"/>
      <c r="R135" s="51"/>
      <c r="S135" s="51"/>
      <c r="T135" s="51"/>
    </row>
    <row r="136" spans="1:20" x14ac:dyDescent="0.3">
      <c r="A136" s="48">
        <v>0</v>
      </c>
      <c r="B136" s="49" t="s">
        <v>330</v>
      </c>
      <c r="C136" s="50"/>
      <c r="D136" s="50"/>
      <c r="E136" s="51"/>
      <c r="F136" s="51"/>
      <c r="G136" s="51"/>
      <c r="H136" s="51"/>
      <c r="I136" s="51"/>
      <c r="J136" s="51"/>
      <c r="K136" s="52"/>
      <c r="L136" s="52"/>
      <c r="M136" s="53"/>
      <c r="N136" s="54"/>
      <c r="P136" s="51"/>
      <c r="Q136" s="51"/>
      <c r="R136" s="51"/>
      <c r="S136" s="51"/>
      <c r="T136" s="51"/>
    </row>
    <row r="137" spans="1:20" x14ac:dyDescent="0.3">
      <c r="A137" s="48">
        <v>0</v>
      </c>
      <c r="B137" s="49" t="s">
        <v>331</v>
      </c>
      <c r="C137" s="50"/>
      <c r="D137" s="50"/>
      <c r="E137" s="51"/>
      <c r="F137" s="51"/>
      <c r="G137" s="51"/>
      <c r="H137" s="51"/>
      <c r="I137" s="51"/>
      <c r="J137" s="51"/>
      <c r="K137" s="52"/>
      <c r="L137" s="52"/>
      <c r="M137" s="53"/>
      <c r="N137" s="54"/>
      <c r="P137" s="51"/>
      <c r="Q137" s="51"/>
      <c r="R137" s="51"/>
      <c r="S137" s="51"/>
      <c r="T137" s="51"/>
    </row>
    <row r="138" spans="1:20" x14ac:dyDescent="0.3">
      <c r="A138" s="48">
        <v>0</v>
      </c>
      <c r="B138" s="49" t="s">
        <v>332</v>
      </c>
      <c r="C138" s="50"/>
      <c r="D138" s="50"/>
      <c r="E138" s="51"/>
      <c r="F138" s="51"/>
      <c r="G138" s="51"/>
      <c r="H138" s="51"/>
      <c r="I138" s="51"/>
      <c r="J138" s="51"/>
      <c r="K138" s="52"/>
      <c r="L138" s="52"/>
      <c r="M138" s="53"/>
      <c r="N138" s="54"/>
      <c r="P138" s="51"/>
      <c r="Q138" s="51"/>
      <c r="R138" s="51"/>
      <c r="S138" s="51"/>
      <c r="T138" s="51"/>
    </row>
    <row r="139" spans="1:20" x14ac:dyDescent="0.3">
      <c r="A139" s="48">
        <v>0</v>
      </c>
      <c r="B139" s="49" t="s">
        <v>333</v>
      </c>
      <c r="C139" s="50"/>
      <c r="D139" s="50"/>
      <c r="E139" s="51"/>
      <c r="F139" s="51"/>
      <c r="G139" s="51"/>
      <c r="H139" s="51"/>
      <c r="I139" s="51"/>
      <c r="J139" s="51"/>
      <c r="K139" s="52"/>
      <c r="L139" s="52"/>
      <c r="M139" s="53"/>
      <c r="N139" s="54"/>
      <c r="P139" s="51"/>
      <c r="Q139" s="51"/>
      <c r="R139" s="51"/>
      <c r="S139" s="51"/>
      <c r="T139" s="51"/>
    </row>
    <row r="140" spans="1:20" x14ac:dyDescent="0.3">
      <c r="A140" s="48">
        <v>0</v>
      </c>
      <c r="B140" s="49" t="s">
        <v>334</v>
      </c>
      <c r="C140" s="50"/>
      <c r="D140" s="50"/>
      <c r="E140" s="51"/>
      <c r="F140" s="51"/>
      <c r="G140" s="51"/>
      <c r="H140" s="51"/>
      <c r="I140" s="51"/>
      <c r="J140" s="51"/>
      <c r="K140" s="52"/>
      <c r="L140" s="52"/>
      <c r="M140" s="53"/>
      <c r="N140" s="54"/>
      <c r="P140" s="51"/>
      <c r="Q140" s="51"/>
      <c r="R140" s="51"/>
      <c r="S140" s="51"/>
      <c r="T140" s="51"/>
    </row>
    <row r="141" spans="1:20" x14ac:dyDescent="0.3">
      <c r="A141" s="48">
        <v>0</v>
      </c>
      <c r="B141" s="49" t="s">
        <v>335</v>
      </c>
      <c r="C141" s="50"/>
      <c r="D141" s="50"/>
      <c r="E141" s="51"/>
      <c r="F141" s="51"/>
      <c r="G141" s="51"/>
      <c r="H141" s="51"/>
      <c r="I141" s="51"/>
      <c r="J141" s="51"/>
      <c r="K141" s="52"/>
      <c r="L141" s="52"/>
      <c r="M141" s="53"/>
      <c r="N141" s="54"/>
      <c r="P141" s="51"/>
      <c r="Q141" s="51"/>
      <c r="R141" s="51"/>
      <c r="S141" s="51"/>
      <c r="T141" s="51"/>
    </row>
    <row r="142" spans="1:20" x14ac:dyDescent="0.3">
      <c r="A142" s="48">
        <v>0</v>
      </c>
      <c r="B142" s="49" t="s">
        <v>336</v>
      </c>
      <c r="C142" s="50"/>
      <c r="D142" s="50"/>
      <c r="E142" s="51"/>
      <c r="F142" s="51"/>
      <c r="G142" s="51"/>
      <c r="H142" s="51"/>
      <c r="I142" s="51"/>
      <c r="J142" s="51"/>
      <c r="K142" s="52"/>
      <c r="L142" s="52"/>
      <c r="M142" s="53"/>
      <c r="N142" s="54"/>
      <c r="P142" s="51"/>
      <c r="Q142" s="51"/>
      <c r="R142" s="51"/>
      <c r="S142" s="51"/>
      <c r="T142" s="51"/>
    </row>
    <row r="143" spans="1:20" x14ac:dyDescent="0.3">
      <c r="A143" s="48">
        <v>0</v>
      </c>
      <c r="B143" s="49" t="s">
        <v>337</v>
      </c>
      <c r="C143" s="50"/>
      <c r="D143" s="50"/>
      <c r="E143" s="51"/>
      <c r="F143" s="51"/>
      <c r="G143" s="51"/>
      <c r="H143" s="51"/>
      <c r="I143" s="51"/>
      <c r="J143" s="51"/>
      <c r="K143" s="52"/>
      <c r="L143" s="52"/>
      <c r="M143" s="53"/>
      <c r="N143" s="54"/>
      <c r="P143" s="51"/>
      <c r="Q143" s="51"/>
      <c r="R143" s="51"/>
      <c r="S143" s="51"/>
      <c r="T143" s="51"/>
    </row>
    <row r="144" spans="1:20" x14ac:dyDescent="0.3">
      <c r="A144" s="48">
        <v>0</v>
      </c>
      <c r="B144" s="49" t="s">
        <v>338</v>
      </c>
      <c r="C144" s="50"/>
      <c r="D144" s="50"/>
      <c r="E144" s="51"/>
      <c r="F144" s="51"/>
      <c r="G144" s="51"/>
      <c r="H144" s="51"/>
      <c r="I144" s="51"/>
      <c r="J144" s="51"/>
      <c r="K144" s="52"/>
      <c r="L144" s="52"/>
      <c r="M144" s="53"/>
      <c r="N144" s="54"/>
      <c r="P144" s="51"/>
      <c r="Q144" s="51"/>
      <c r="R144" s="51"/>
      <c r="S144" s="51"/>
      <c r="T144" s="51"/>
    </row>
    <row r="145" spans="1:20" x14ac:dyDescent="0.3">
      <c r="A145" s="48">
        <v>0</v>
      </c>
      <c r="B145" s="49" t="s">
        <v>339</v>
      </c>
      <c r="C145" s="50"/>
      <c r="D145" s="50"/>
      <c r="E145" s="51"/>
      <c r="F145" s="51"/>
      <c r="G145" s="51"/>
      <c r="H145" s="51"/>
      <c r="I145" s="51"/>
      <c r="J145" s="51"/>
      <c r="K145" s="52"/>
      <c r="L145" s="52"/>
      <c r="M145" s="53"/>
      <c r="N145" s="54"/>
      <c r="P145" s="51"/>
      <c r="Q145" s="51"/>
      <c r="R145" s="51"/>
      <c r="S145" s="51"/>
      <c r="T145" s="51"/>
    </row>
    <row r="146" spans="1:20" x14ac:dyDescent="0.3">
      <c r="A146" s="48">
        <v>0</v>
      </c>
      <c r="B146" s="49" t="s">
        <v>341</v>
      </c>
      <c r="C146" s="50"/>
      <c r="D146" s="50"/>
      <c r="E146" s="51"/>
      <c r="F146" s="51"/>
      <c r="G146" s="51"/>
      <c r="H146" s="51"/>
      <c r="I146" s="51"/>
      <c r="J146" s="51"/>
      <c r="K146" s="52"/>
      <c r="L146" s="52"/>
      <c r="M146" s="53"/>
      <c r="N146" s="54"/>
      <c r="P146" s="51"/>
      <c r="Q146" s="51"/>
      <c r="R146" s="51"/>
      <c r="S146" s="51"/>
      <c r="T146" s="51"/>
    </row>
    <row r="147" spans="1:20" x14ac:dyDescent="0.3">
      <c r="A147" s="48">
        <v>0</v>
      </c>
      <c r="B147" s="49" t="s">
        <v>342</v>
      </c>
      <c r="C147" s="50"/>
      <c r="D147" s="50"/>
      <c r="E147" s="51"/>
      <c r="F147" s="51"/>
      <c r="G147" s="51"/>
      <c r="H147" s="51"/>
      <c r="I147" s="51"/>
      <c r="J147" s="51"/>
      <c r="K147" s="52"/>
      <c r="L147" s="52"/>
      <c r="M147" s="53"/>
      <c r="N147" s="54"/>
      <c r="P147" s="51"/>
      <c r="Q147" s="51"/>
      <c r="R147" s="51"/>
      <c r="S147" s="51"/>
      <c r="T147" s="51"/>
    </row>
    <row r="148" spans="1:20" x14ac:dyDescent="0.3">
      <c r="A148" s="48">
        <v>0</v>
      </c>
      <c r="B148" s="49" t="s">
        <v>343</v>
      </c>
      <c r="C148" s="50"/>
      <c r="D148" s="50"/>
      <c r="E148" s="51"/>
      <c r="F148" s="51"/>
      <c r="G148" s="51"/>
      <c r="H148" s="51"/>
      <c r="I148" s="51"/>
      <c r="J148" s="51"/>
      <c r="K148" s="52"/>
      <c r="L148" s="52"/>
      <c r="M148" s="53"/>
      <c r="N148" s="54"/>
      <c r="P148" s="51"/>
      <c r="Q148" s="51"/>
      <c r="R148" s="51"/>
      <c r="S148" s="51"/>
      <c r="T148" s="51"/>
    </row>
    <row r="149" spans="1:20" x14ac:dyDescent="0.3">
      <c r="A149" s="48">
        <v>0</v>
      </c>
      <c r="B149" s="49" t="s">
        <v>344</v>
      </c>
      <c r="C149" s="50"/>
      <c r="D149" s="50"/>
      <c r="E149" s="51"/>
      <c r="F149" s="51"/>
      <c r="G149" s="51"/>
      <c r="H149" s="51"/>
      <c r="I149" s="51"/>
      <c r="J149" s="51"/>
      <c r="K149" s="52"/>
      <c r="L149" s="52"/>
      <c r="M149" s="53"/>
      <c r="N149" s="54"/>
      <c r="P149" s="51"/>
      <c r="Q149" s="51"/>
      <c r="R149" s="51"/>
      <c r="S149" s="51"/>
      <c r="T149" s="51"/>
    </row>
    <row r="150" spans="1:20" x14ac:dyDescent="0.3">
      <c r="A150" s="48">
        <v>0</v>
      </c>
      <c r="B150" s="49" t="s">
        <v>345</v>
      </c>
      <c r="C150" s="50"/>
      <c r="D150" s="50"/>
      <c r="E150" s="51"/>
      <c r="F150" s="51"/>
      <c r="G150" s="51"/>
      <c r="H150" s="51"/>
      <c r="I150" s="51"/>
      <c r="J150" s="51"/>
      <c r="K150" s="52"/>
      <c r="L150" s="52"/>
      <c r="M150" s="53"/>
      <c r="N150" s="54"/>
      <c r="P150" s="51"/>
      <c r="Q150" s="51"/>
      <c r="R150" s="51"/>
      <c r="S150" s="51"/>
      <c r="T150" s="51"/>
    </row>
    <row r="151" spans="1:20" x14ac:dyDescent="0.3">
      <c r="A151" s="48">
        <v>0</v>
      </c>
      <c r="B151" s="49" t="s">
        <v>346</v>
      </c>
      <c r="C151" s="50"/>
      <c r="D151" s="50"/>
      <c r="E151" s="51"/>
      <c r="F151" s="51"/>
      <c r="G151" s="51"/>
      <c r="H151" s="51"/>
      <c r="I151" s="51"/>
      <c r="J151" s="51"/>
      <c r="K151" s="52"/>
      <c r="L151" s="52"/>
      <c r="M151" s="53"/>
      <c r="N151" s="54"/>
      <c r="P151" s="51"/>
      <c r="Q151" s="51"/>
      <c r="R151" s="51"/>
      <c r="S151" s="51"/>
      <c r="T151" s="51"/>
    </row>
    <row r="152" spans="1:20" x14ac:dyDescent="0.3">
      <c r="A152" s="48">
        <v>0</v>
      </c>
      <c r="B152" s="49" t="s">
        <v>347</v>
      </c>
      <c r="C152" s="50"/>
      <c r="D152" s="50"/>
      <c r="E152" s="51"/>
      <c r="F152" s="51"/>
      <c r="G152" s="51"/>
      <c r="H152" s="51"/>
      <c r="I152" s="51"/>
      <c r="J152" s="51"/>
      <c r="K152" s="52"/>
      <c r="L152" s="52"/>
      <c r="M152" s="53"/>
      <c r="N152" s="54"/>
      <c r="P152" s="51"/>
      <c r="Q152" s="51"/>
      <c r="R152" s="51"/>
      <c r="S152" s="51"/>
      <c r="T152" s="51"/>
    </row>
    <row r="153" spans="1:20" x14ac:dyDescent="0.3">
      <c r="A153" s="48">
        <v>0</v>
      </c>
      <c r="B153" s="49" t="s">
        <v>348</v>
      </c>
      <c r="C153" s="50"/>
      <c r="D153" s="50"/>
      <c r="E153" s="51"/>
      <c r="F153" s="51"/>
      <c r="G153" s="51"/>
      <c r="H153" s="51"/>
      <c r="I153" s="51"/>
      <c r="J153" s="51"/>
      <c r="K153" s="52"/>
      <c r="L153" s="52"/>
      <c r="M153" s="53"/>
      <c r="N153" s="54"/>
      <c r="P153" s="51"/>
      <c r="Q153" s="51"/>
      <c r="R153" s="51"/>
      <c r="S153" s="51"/>
      <c r="T153" s="51"/>
    </row>
    <row r="154" spans="1:20" x14ac:dyDescent="0.3">
      <c r="A154" s="48">
        <v>0</v>
      </c>
      <c r="B154" s="49" t="s">
        <v>349</v>
      </c>
      <c r="C154" s="50"/>
      <c r="D154" s="50"/>
      <c r="E154" s="51"/>
      <c r="F154" s="51"/>
      <c r="G154" s="51"/>
      <c r="H154" s="51"/>
      <c r="I154" s="51"/>
      <c r="J154" s="51"/>
      <c r="K154" s="52"/>
      <c r="L154" s="52"/>
      <c r="M154" s="53"/>
      <c r="N154" s="54"/>
      <c r="P154" s="51"/>
      <c r="Q154" s="51"/>
      <c r="R154" s="51"/>
      <c r="S154" s="51"/>
      <c r="T154" s="51"/>
    </row>
    <row r="155" spans="1:20" x14ac:dyDescent="0.3">
      <c r="A155" s="48">
        <v>0</v>
      </c>
      <c r="B155" s="49" t="s">
        <v>350</v>
      </c>
      <c r="C155" s="50"/>
      <c r="D155" s="50"/>
      <c r="E155" s="51"/>
      <c r="F155" s="51"/>
      <c r="G155" s="51"/>
      <c r="H155" s="51"/>
      <c r="I155" s="51"/>
      <c r="J155" s="51"/>
      <c r="K155" s="52"/>
      <c r="L155" s="52"/>
      <c r="M155" s="53"/>
      <c r="N155" s="54"/>
      <c r="P155" s="51"/>
      <c r="Q155" s="51"/>
      <c r="R155" s="51"/>
      <c r="S155" s="51"/>
      <c r="T155" s="51"/>
    </row>
    <row r="156" spans="1:20" x14ac:dyDescent="0.3">
      <c r="A156" s="48">
        <v>0</v>
      </c>
      <c r="B156" s="49" t="s">
        <v>351</v>
      </c>
      <c r="C156" s="50"/>
      <c r="D156" s="50"/>
      <c r="E156" s="51"/>
      <c r="F156" s="51"/>
      <c r="G156" s="51"/>
      <c r="H156" s="51"/>
      <c r="I156" s="51"/>
      <c r="J156" s="51"/>
      <c r="K156" s="52"/>
      <c r="L156" s="52"/>
      <c r="M156" s="53"/>
      <c r="N156" s="54"/>
      <c r="P156" s="51"/>
      <c r="Q156" s="51"/>
      <c r="R156" s="51"/>
      <c r="S156" s="51"/>
      <c r="T156" s="51"/>
    </row>
    <row r="157" spans="1:20" x14ac:dyDescent="0.3">
      <c r="A157" s="48">
        <v>0</v>
      </c>
      <c r="B157" s="49" t="s">
        <v>352</v>
      </c>
      <c r="C157" s="50"/>
      <c r="D157" s="50"/>
      <c r="E157" s="51"/>
      <c r="F157" s="51"/>
      <c r="G157" s="51"/>
      <c r="H157" s="51"/>
      <c r="I157" s="51"/>
      <c r="J157" s="51"/>
      <c r="K157" s="52"/>
      <c r="L157" s="52"/>
      <c r="M157" s="53"/>
      <c r="N157" s="54"/>
      <c r="P157" s="51"/>
      <c r="Q157" s="51"/>
      <c r="R157" s="51"/>
      <c r="S157" s="51"/>
      <c r="T157" s="51"/>
    </row>
    <row r="158" spans="1:20" x14ac:dyDescent="0.3">
      <c r="A158" s="48">
        <v>0</v>
      </c>
      <c r="B158" s="49" t="s">
        <v>353</v>
      </c>
      <c r="C158" s="50"/>
      <c r="D158" s="50"/>
      <c r="E158" s="51"/>
      <c r="F158" s="51"/>
      <c r="G158" s="51"/>
      <c r="H158" s="51"/>
      <c r="I158" s="51"/>
      <c r="J158" s="51"/>
      <c r="K158" s="52"/>
      <c r="L158" s="52"/>
      <c r="M158" s="53"/>
      <c r="N158" s="54"/>
      <c r="P158" s="51"/>
      <c r="Q158" s="51"/>
      <c r="R158" s="51"/>
      <c r="S158" s="51"/>
      <c r="T158" s="51"/>
    </row>
    <row r="159" spans="1:20" x14ac:dyDescent="0.3">
      <c r="A159" s="48">
        <v>0</v>
      </c>
      <c r="B159" s="49" t="s">
        <v>354</v>
      </c>
      <c r="C159" s="50"/>
      <c r="D159" s="50"/>
      <c r="E159" s="51"/>
      <c r="F159" s="51"/>
      <c r="G159" s="51"/>
      <c r="H159" s="51"/>
      <c r="I159" s="51"/>
      <c r="J159" s="51"/>
      <c r="K159" s="52"/>
      <c r="L159" s="52"/>
      <c r="M159" s="53"/>
      <c r="N159" s="54"/>
      <c r="P159" s="51"/>
      <c r="Q159" s="51"/>
      <c r="R159" s="51"/>
      <c r="S159" s="51"/>
      <c r="T159" s="51"/>
    </row>
    <row r="160" spans="1:20" x14ac:dyDescent="0.3">
      <c r="A160" s="48">
        <v>0</v>
      </c>
      <c r="B160" s="49" t="s">
        <v>355</v>
      </c>
      <c r="C160" s="50"/>
      <c r="D160" s="50"/>
      <c r="E160" s="51"/>
      <c r="F160" s="51"/>
      <c r="G160" s="51"/>
      <c r="H160" s="51"/>
      <c r="I160" s="51"/>
      <c r="J160" s="51"/>
      <c r="K160" s="52"/>
      <c r="L160" s="52"/>
      <c r="M160" s="53"/>
      <c r="N160" s="54"/>
      <c r="P160" s="51"/>
      <c r="Q160" s="51"/>
      <c r="R160" s="51"/>
      <c r="S160" s="51"/>
      <c r="T160" s="51"/>
    </row>
    <row r="161" spans="1:20" x14ac:dyDescent="0.3">
      <c r="A161" s="48">
        <v>0</v>
      </c>
      <c r="B161" s="49" t="s">
        <v>356</v>
      </c>
      <c r="C161" s="50"/>
      <c r="D161" s="50"/>
      <c r="E161" s="51"/>
      <c r="F161" s="51"/>
      <c r="G161" s="51"/>
      <c r="H161" s="51"/>
      <c r="I161" s="51"/>
      <c r="J161" s="51"/>
      <c r="K161" s="52"/>
      <c r="L161" s="52"/>
      <c r="M161" s="53"/>
      <c r="N161" s="54"/>
      <c r="P161" s="51"/>
      <c r="Q161" s="51"/>
      <c r="R161" s="51"/>
      <c r="S161" s="51"/>
      <c r="T161" s="51"/>
    </row>
    <row r="162" spans="1:20" x14ac:dyDescent="0.3">
      <c r="A162" s="48">
        <v>0</v>
      </c>
      <c r="B162" s="49" t="s">
        <v>357</v>
      </c>
      <c r="C162" s="50"/>
      <c r="D162" s="50"/>
      <c r="E162" s="51"/>
      <c r="F162" s="51"/>
      <c r="G162" s="51"/>
      <c r="H162" s="51"/>
      <c r="I162" s="51"/>
      <c r="J162" s="51"/>
      <c r="K162" s="52"/>
      <c r="L162" s="52"/>
      <c r="M162" s="53"/>
      <c r="N162" s="54"/>
      <c r="P162" s="51"/>
      <c r="Q162" s="51"/>
      <c r="R162" s="51"/>
      <c r="S162" s="51"/>
      <c r="T162" s="51"/>
    </row>
    <row r="163" spans="1:20" x14ac:dyDescent="0.3">
      <c r="A163" s="48">
        <v>0</v>
      </c>
      <c r="B163" s="49" t="s">
        <v>368</v>
      </c>
      <c r="C163" s="50"/>
      <c r="D163" s="50"/>
      <c r="E163" s="51"/>
      <c r="F163" s="51"/>
      <c r="G163" s="51"/>
      <c r="H163" s="51"/>
      <c r="I163" s="51"/>
      <c r="J163" s="51"/>
      <c r="K163" s="52"/>
      <c r="L163" s="52"/>
      <c r="M163" s="53"/>
      <c r="N163" s="54"/>
      <c r="P163" s="51"/>
      <c r="Q163" s="51"/>
      <c r="R163" s="51"/>
      <c r="S163" s="51"/>
      <c r="T163" s="51"/>
    </row>
    <row r="164" spans="1:20" x14ac:dyDescent="0.3">
      <c r="A164" s="48">
        <v>0</v>
      </c>
      <c r="B164" s="49" t="s">
        <v>369</v>
      </c>
      <c r="C164" s="50"/>
      <c r="D164" s="50"/>
      <c r="E164" s="51"/>
      <c r="F164" s="51"/>
      <c r="G164" s="51"/>
      <c r="H164" s="51"/>
      <c r="I164" s="51"/>
      <c r="J164" s="51"/>
      <c r="K164" s="52"/>
      <c r="L164" s="52"/>
      <c r="M164" s="53"/>
      <c r="N164" s="54"/>
      <c r="P164" s="51"/>
      <c r="Q164" s="51"/>
      <c r="R164" s="51"/>
      <c r="S164" s="51"/>
      <c r="T164" s="51"/>
    </row>
    <row r="165" spans="1:20" x14ac:dyDescent="0.3">
      <c r="A165" s="48">
        <v>0</v>
      </c>
      <c r="B165" s="49" t="s">
        <v>370</v>
      </c>
      <c r="C165" s="50"/>
      <c r="D165" s="50"/>
      <c r="E165" s="51"/>
      <c r="F165" s="51"/>
      <c r="G165" s="51"/>
      <c r="H165" s="51"/>
      <c r="I165" s="51"/>
      <c r="J165" s="51"/>
      <c r="K165" s="52"/>
      <c r="L165" s="52"/>
      <c r="M165" s="53"/>
      <c r="N165" s="54"/>
      <c r="P165" s="51"/>
      <c r="Q165" s="51"/>
      <c r="R165" s="51"/>
      <c r="S165" s="51"/>
      <c r="T165" s="51"/>
    </row>
    <row r="166" spans="1:20" x14ac:dyDescent="0.3">
      <c r="A166" s="48">
        <v>0</v>
      </c>
      <c r="B166" s="49" t="s">
        <v>371</v>
      </c>
      <c r="C166" s="50"/>
      <c r="D166" s="50"/>
      <c r="E166" s="51"/>
      <c r="F166" s="51"/>
      <c r="G166" s="51"/>
      <c r="H166" s="51"/>
      <c r="I166" s="51"/>
      <c r="J166" s="51"/>
      <c r="K166" s="52"/>
      <c r="L166" s="52"/>
      <c r="M166" s="53"/>
      <c r="N166" s="54"/>
      <c r="P166" s="51"/>
      <c r="Q166" s="51"/>
      <c r="R166" s="51"/>
      <c r="S166" s="51"/>
      <c r="T166" s="51"/>
    </row>
    <row r="167" spans="1:20" x14ac:dyDescent="0.3">
      <c r="A167" s="48">
        <v>0</v>
      </c>
      <c r="B167" s="49" t="s">
        <v>372</v>
      </c>
      <c r="C167" s="50"/>
      <c r="D167" s="50"/>
      <c r="E167" s="51"/>
      <c r="F167" s="51"/>
      <c r="G167" s="51"/>
      <c r="H167" s="51"/>
      <c r="I167" s="51"/>
      <c r="J167" s="51"/>
      <c r="K167" s="52"/>
      <c r="L167" s="52"/>
      <c r="M167" s="53"/>
      <c r="N167" s="54"/>
      <c r="P167" s="51"/>
      <c r="Q167" s="51"/>
      <c r="R167" s="51"/>
      <c r="S167" s="51"/>
      <c r="T167" s="51"/>
    </row>
    <row r="168" spans="1:20" x14ac:dyDescent="0.3">
      <c r="A168" s="48">
        <v>0</v>
      </c>
      <c r="B168" s="49" t="s">
        <v>373</v>
      </c>
      <c r="C168" s="50"/>
      <c r="D168" s="50"/>
      <c r="E168" s="51"/>
      <c r="F168" s="51"/>
      <c r="G168" s="51"/>
      <c r="H168" s="51"/>
      <c r="I168" s="51"/>
      <c r="J168" s="51"/>
      <c r="K168" s="52"/>
      <c r="L168" s="52"/>
      <c r="M168" s="53"/>
      <c r="N168" s="54"/>
      <c r="P168" s="51"/>
      <c r="Q168" s="51"/>
      <c r="R168" s="51"/>
      <c r="S168" s="51"/>
      <c r="T168" s="51"/>
    </row>
    <row r="169" spans="1:20" x14ac:dyDescent="0.3">
      <c r="A169" s="48">
        <v>0</v>
      </c>
      <c r="B169" s="49" t="s">
        <v>374</v>
      </c>
      <c r="C169" s="50"/>
      <c r="D169" s="50"/>
      <c r="E169" s="51"/>
      <c r="F169" s="51"/>
      <c r="G169" s="51"/>
      <c r="H169" s="51"/>
      <c r="I169" s="51"/>
      <c r="J169" s="51"/>
      <c r="K169" s="52"/>
      <c r="L169" s="52"/>
      <c r="M169" s="53"/>
      <c r="N169" s="54"/>
      <c r="P169" s="51"/>
      <c r="Q169" s="51"/>
      <c r="R169" s="51"/>
      <c r="S169" s="51"/>
      <c r="T169" s="51"/>
    </row>
    <row r="170" spans="1:20" x14ac:dyDescent="0.3">
      <c r="A170" s="48">
        <v>0</v>
      </c>
      <c r="B170" s="49" t="s">
        <v>375</v>
      </c>
      <c r="C170" s="50"/>
      <c r="D170" s="50"/>
      <c r="E170" s="51"/>
      <c r="F170" s="51"/>
      <c r="G170" s="51"/>
      <c r="H170" s="51"/>
      <c r="I170" s="51"/>
      <c r="J170" s="51"/>
      <c r="K170" s="52"/>
      <c r="L170" s="52"/>
      <c r="M170" s="53"/>
      <c r="N170" s="54"/>
      <c r="P170" s="51"/>
      <c r="Q170" s="51"/>
      <c r="R170" s="51"/>
      <c r="S170" s="51"/>
      <c r="T170" s="51"/>
    </row>
    <row r="171" spans="1:20" x14ac:dyDescent="0.3">
      <c r="A171" s="48">
        <v>0</v>
      </c>
      <c r="B171" s="49" t="s">
        <v>376</v>
      </c>
      <c r="C171" s="50"/>
      <c r="D171" s="50"/>
      <c r="E171" s="51"/>
      <c r="F171" s="51"/>
      <c r="G171" s="51"/>
      <c r="H171" s="51"/>
      <c r="I171" s="51"/>
      <c r="J171" s="51"/>
      <c r="K171" s="52"/>
      <c r="L171" s="52"/>
      <c r="M171" s="53"/>
      <c r="N171" s="54"/>
      <c r="P171" s="51"/>
      <c r="Q171" s="51"/>
      <c r="R171" s="51"/>
      <c r="S171" s="51"/>
      <c r="T171" s="51"/>
    </row>
    <row r="172" spans="1:20" x14ac:dyDescent="0.3">
      <c r="A172" s="48">
        <v>0</v>
      </c>
      <c r="B172" s="49" t="s">
        <v>377</v>
      </c>
      <c r="C172" s="50"/>
      <c r="D172" s="50"/>
      <c r="E172" s="51"/>
      <c r="F172" s="51"/>
      <c r="G172" s="51"/>
      <c r="H172" s="51"/>
      <c r="I172" s="51"/>
      <c r="J172" s="51"/>
      <c r="K172" s="52"/>
      <c r="L172" s="52"/>
      <c r="M172" s="53"/>
      <c r="N172" s="54"/>
      <c r="P172" s="51"/>
      <c r="Q172" s="51"/>
      <c r="R172" s="51"/>
      <c r="S172" s="51"/>
      <c r="T172" s="51"/>
    </row>
    <row r="173" spans="1:20" x14ac:dyDescent="0.3">
      <c r="A173" s="48">
        <v>0</v>
      </c>
      <c r="B173" s="49" t="s">
        <v>378</v>
      </c>
      <c r="C173" s="50"/>
      <c r="D173" s="50"/>
      <c r="E173" s="51"/>
      <c r="F173" s="51"/>
      <c r="G173" s="51"/>
      <c r="H173" s="51"/>
      <c r="I173" s="51"/>
      <c r="J173" s="51"/>
      <c r="K173" s="52"/>
      <c r="L173" s="52"/>
      <c r="M173" s="53"/>
      <c r="N173" s="54"/>
      <c r="P173" s="51"/>
      <c r="Q173" s="51"/>
      <c r="R173" s="51"/>
      <c r="S173" s="51"/>
      <c r="T173" s="51"/>
    </row>
    <row r="174" spans="1:20" x14ac:dyDescent="0.3">
      <c r="A174" s="48">
        <v>0</v>
      </c>
      <c r="B174" s="49" t="s">
        <v>379</v>
      </c>
      <c r="C174" s="50"/>
      <c r="D174" s="50"/>
      <c r="E174" s="51"/>
      <c r="F174" s="51"/>
      <c r="G174" s="51"/>
      <c r="H174" s="51"/>
      <c r="I174" s="51"/>
      <c r="J174" s="51"/>
      <c r="K174" s="52"/>
      <c r="L174" s="52"/>
      <c r="M174" s="53"/>
      <c r="N174" s="54"/>
      <c r="P174" s="51"/>
      <c r="Q174" s="51"/>
      <c r="R174" s="51"/>
      <c r="S174" s="51"/>
      <c r="T174" s="51"/>
    </row>
    <row r="175" spans="1:20" x14ac:dyDescent="0.3">
      <c r="A175" s="48">
        <v>0</v>
      </c>
      <c r="B175" s="49" t="s">
        <v>380</v>
      </c>
      <c r="C175" s="50"/>
      <c r="D175" s="50"/>
      <c r="E175" s="51"/>
      <c r="F175" s="51"/>
      <c r="G175" s="51"/>
      <c r="H175" s="51"/>
      <c r="I175" s="51"/>
      <c r="J175" s="51"/>
      <c r="K175" s="52"/>
      <c r="L175" s="52"/>
      <c r="M175" s="53"/>
      <c r="N175" s="54"/>
      <c r="P175" s="51"/>
      <c r="Q175" s="51"/>
      <c r="R175" s="51"/>
      <c r="S175" s="51"/>
      <c r="T175" s="51"/>
    </row>
    <row r="176" spans="1:20" x14ac:dyDescent="0.3">
      <c r="A176" s="48">
        <v>0</v>
      </c>
      <c r="B176" s="49" t="s">
        <v>381</v>
      </c>
      <c r="C176" s="50"/>
      <c r="D176" s="50"/>
      <c r="E176" s="51"/>
      <c r="F176" s="51"/>
      <c r="G176" s="51"/>
      <c r="H176" s="51"/>
      <c r="I176" s="51"/>
      <c r="J176" s="51"/>
      <c r="K176" s="52"/>
      <c r="L176" s="52"/>
      <c r="M176" s="53"/>
      <c r="N176" s="54"/>
      <c r="P176" s="51"/>
      <c r="Q176" s="51"/>
      <c r="R176" s="51"/>
      <c r="S176" s="51"/>
      <c r="T176" s="51"/>
    </row>
    <row r="177" spans="1:20" x14ac:dyDescent="0.3">
      <c r="A177" s="48">
        <v>0</v>
      </c>
      <c r="B177" s="49" t="s">
        <v>382</v>
      </c>
      <c r="C177" s="50"/>
      <c r="D177" s="50"/>
      <c r="E177" s="51"/>
      <c r="F177" s="51"/>
      <c r="G177" s="51"/>
      <c r="H177" s="51"/>
      <c r="I177" s="51"/>
      <c r="J177" s="51"/>
      <c r="K177" s="52"/>
      <c r="L177" s="52"/>
      <c r="M177" s="53"/>
      <c r="N177" s="54"/>
      <c r="P177" s="51"/>
      <c r="Q177" s="51"/>
      <c r="R177" s="51"/>
      <c r="S177" s="51"/>
      <c r="T177" s="51"/>
    </row>
    <row r="178" spans="1:20" x14ac:dyDescent="0.3">
      <c r="A178" s="48">
        <v>0</v>
      </c>
      <c r="B178" s="49" t="s">
        <v>383</v>
      </c>
      <c r="C178" s="50"/>
      <c r="D178" s="50"/>
      <c r="E178" s="51"/>
      <c r="F178" s="51"/>
      <c r="G178" s="51"/>
      <c r="H178" s="51"/>
      <c r="I178" s="51"/>
      <c r="J178" s="51"/>
      <c r="K178" s="52"/>
      <c r="L178" s="52"/>
      <c r="M178" s="53"/>
      <c r="N178" s="54"/>
      <c r="P178" s="51"/>
      <c r="Q178" s="51"/>
      <c r="R178" s="51"/>
      <c r="S178" s="51"/>
      <c r="T178" s="51"/>
    </row>
    <row r="179" spans="1:20" x14ac:dyDescent="0.3">
      <c r="A179" s="48">
        <v>0</v>
      </c>
      <c r="B179" s="49" t="s">
        <v>384</v>
      </c>
      <c r="C179" s="50"/>
      <c r="D179" s="50"/>
      <c r="E179" s="51"/>
      <c r="F179" s="51"/>
      <c r="G179" s="51"/>
      <c r="H179" s="51"/>
      <c r="I179" s="51"/>
      <c r="J179" s="51"/>
      <c r="K179" s="52"/>
      <c r="L179" s="52"/>
      <c r="M179" s="53"/>
      <c r="N179" s="54"/>
      <c r="P179" s="51"/>
      <c r="Q179" s="51"/>
      <c r="R179" s="51"/>
      <c r="S179" s="51"/>
      <c r="T179" s="51"/>
    </row>
    <row r="180" spans="1:20" x14ac:dyDescent="0.3">
      <c r="A180" s="48">
        <v>0</v>
      </c>
      <c r="B180" s="49" t="s">
        <v>385</v>
      </c>
      <c r="C180" s="50"/>
      <c r="D180" s="50"/>
      <c r="E180" s="51"/>
      <c r="F180" s="51"/>
      <c r="G180" s="51"/>
      <c r="H180" s="51"/>
      <c r="I180" s="51"/>
      <c r="J180" s="51"/>
      <c r="K180" s="52"/>
      <c r="L180" s="52"/>
      <c r="M180" s="53"/>
      <c r="N180" s="54"/>
      <c r="P180" s="51"/>
      <c r="Q180" s="51"/>
      <c r="R180" s="51"/>
      <c r="S180" s="51"/>
      <c r="T180" s="51"/>
    </row>
    <row r="181" spans="1:20" x14ac:dyDescent="0.3">
      <c r="A181" s="48">
        <v>0</v>
      </c>
      <c r="B181" s="49" t="s">
        <v>386</v>
      </c>
      <c r="C181" s="50"/>
      <c r="D181" s="50"/>
      <c r="E181" s="51"/>
      <c r="F181" s="51"/>
      <c r="G181" s="51"/>
      <c r="H181" s="51"/>
      <c r="I181" s="51"/>
      <c r="J181" s="51"/>
      <c r="K181" s="52"/>
      <c r="L181" s="52"/>
      <c r="M181" s="53"/>
      <c r="N181" s="54"/>
      <c r="P181" s="51"/>
      <c r="Q181" s="51"/>
      <c r="R181" s="51"/>
      <c r="S181" s="51"/>
      <c r="T181" s="51"/>
    </row>
    <row r="182" spans="1:20" x14ac:dyDescent="0.3">
      <c r="A182" s="48">
        <v>0</v>
      </c>
      <c r="B182" s="49" t="s">
        <v>387</v>
      </c>
      <c r="C182" s="50"/>
      <c r="D182" s="50"/>
      <c r="E182" s="51"/>
      <c r="F182" s="51"/>
      <c r="G182" s="51"/>
      <c r="H182" s="51"/>
      <c r="I182" s="51"/>
      <c r="J182" s="51"/>
      <c r="K182" s="52"/>
      <c r="L182" s="52"/>
      <c r="M182" s="53"/>
      <c r="N182" s="54"/>
      <c r="P182" s="51"/>
      <c r="Q182" s="51"/>
      <c r="R182" s="51"/>
      <c r="S182" s="51"/>
      <c r="T182" s="51"/>
    </row>
    <row r="183" spans="1:20" x14ac:dyDescent="0.3">
      <c r="A183" s="48">
        <v>0</v>
      </c>
      <c r="B183" s="49" t="s">
        <v>388</v>
      </c>
      <c r="C183" s="50"/>
      <c r="D183" s="50"/>
      <c r="E183" s="51"/>
      <c r="F183" s="51"/>
      <c r="G183" s="51"/>
      <c r="H183" s="51"/>
      <c r="I183" s="51"/>
      <c r="J183" s="51"/>
      <c r="K183" s="52"/>
      <c r="L183" s="52"/>
      <c r="M183" s="53"/>
      <c r="N183" s="54"/>
      <c r="P183" s="51"/>
      <c r="Q183" s="51"/>
      <c r="R183" s="51"/>
      <c r="S183" s="51"/>
      <c r="T183" s="51"/>
    </row>
    <row r="184" spans="1:20" x14ac:dyDescent="0.3">
      <c r="A184" s="48">
        <v>0</v>
      </c>
      <c r="B184" s="49" t="s">
        <v>389</v>
      </c>
      <c r="C184" s="50"/>
      <c r="D184" s="50"/>
      <c r="E184" s="51"/>
      <c r="F184" s="51"/>
      <c r="G184" s="51"/>
      <c r="H184" s="51"/>
      <c r="I184" s="51"/>
      <c r="J184" s="51"/>
      <c r="K184" s="52"/>
      <c r="L184" s="52"/>
      <c r="M184" s="53"/>
      <c r="N184" s="54"/>
      <c r="P184" s="51"/>
      <c r="Q184" s="51"/>
      <c r="R184" s="51"/>
      <c r="S184" s="51"/>
      <c r="T184" s="51"/>
    </row>
    <row r="185" spans="1:20" x14ac:dyDescent="0.3">
      <c r="A185" s="48">
        <v>0</v>
      </c>
      <c r="B185" s="49" t="s">
        <v>390</v>
      </c>
      <c r="C185" s="50"/>
      <c r="D185" s="50"/>
      <c r="E185" s="51"/>
      <c r="F185" s="51"/>
      <c r="G185" s="51"/>
      <c r="H185" s="51"/>
      <c r="I185" s="51"/>
      <c r="J185" s="51"/>
      <c r="K185" s="52"/>
      <c r="L185" s="52"/>
      <c r="M185" s="53"/>
      <c r="N185" s="54"/>
      <c r="P185" s="51"/>
      <c r="Q185" s="51"/>
      <c r="R185" s="51"/>
      <c r="S185" s="51"/>
      <c r="T185" s="51"/>
    </row>
    <row r="186" spans="1:20" x14ac:dyDescent="0.3">
      <c r="A186" s="48">
        <v>0</v>
      </c>
      <c r="B186" s="49" t="s">
        <v>398</v>
      </c>
      <c r="C186" s="50"/>
      <c r="D186" s="50"/>
      <c r="E186" s="51"/>
      <c r="F186" s="51"/>
      <c r="G186" s="51"/>
      <c r="H186" s="51"/>
      <c r="I186" s="51"/>
      <c r="J186" s="51"/>
      <c r="K186" s="52"/>
      <c r="L186" s="52"/>
      <c r="M186" s="53"/>
      <c r="N186" s="54"/>
      <c r="P186" s="51"/>
      <c r="Q186" s="51"/>
      <c r="R186" s="51"/>
      <c r="S186" s="51"/>
      <c r="T186" s="51"/>
    </row>
    <row r="187" spans="1:20" x14ac:dyDescent="0.3">
      <c r="A187" s="48">
        <v>0</v>
      </c>
      <c r="B187" s="49" t="s">
        <v>399</v>
      </c>
      <c r="C187" s="50"/>
      <c r="D187" s="50"/>
      <c r="E187" s="51"/>
      <c r="F187" s="51"/>
      <c r="G187" s="51"/>
      <c r="H187" s="51"/>
      <c r="I187" s="51"/>
      <c r="J187" s="51"/>
      <c r="K187" s="52"/>
      <c r="L187" s="52"/>
      <c r="M187" s="53"/>
      <c r="N187" s="54"/>
      <c r="P187" s="51"/>
      <c r="Q187" s="51"/>
      <c r="R187" s="51"/>
      <c r="S187" s="51"/>
      <c r="T187" s="51"/>
    </row>
    <row r="188" spans="1:20" x14ac:dyDescent="0.3">
      <c r="A188" s="48">
        <v>0</v>
      </c>
      <c r="B188" s="49" t="s">
        <v>400</v>
      </c>
      <c r="C188" s="50"/>
      <c r="D188" s="50"/>
      <c r="E188" s="51"/>
      <c r="F188" s="51"/>
      <c r="G188" s="51"/>
      <c r="H188" s="51"/>
      <c r="I188" s="51"/>
      <c r="J188" s="51"/>
      <c r="K188" s="52"/>
      <c r="L188" s="52"/>
      <c r="M188" s="53"/>
      <c r="N188" s="54"/>
      <c r="P188" s="51"/>
      <c r="Q188" s="51"/>
      <c r="R188" s="51"/>
      <c r="S188" s="51"/>
      <c r="T188" s="51"/>
    </row>
    <row r="189" spans="1:20" x14ac:dyDescent="0.3">
      <c r="A189" s="48">
        <v>0</v>
      </c>
      <c r="B189" s="49" t="s">
        <v>401</v>
      </c>
      <c r="C189" s="50"/>
      <c r="D189" s="50"/>
      <c r="E189" s="51"/>
      <c r="F189" s="51"/>
      <c r="G189" s="51"/>
      <c r="H189" s="51"/>
      <c r="I189" s="51"/>
      <c r="J189" s="51"/>
      <c r="K189" s="52"/>
      <c r="L189" s="52"/>
      <c r="M189" s="53"/>
      <c r="N189" s="54"/>
      <c r="P189" s="51"/>
      <c r="Q189" s="51"/>
      <c r="R189" s="51"/>
      <c r="S189" s="51"/>
      <c r="T189" s="51"/>
    </row>
    <row r="190" spans="1:20" x14ac:dyDescent="0.3">
      <c r="A190" s="48">
        <v>0</v>
      </c>
      <c r="B190" s="49" t="s">
        <v>402</v>
      </c>
      <c r="C190" s="50"/>
      <c r="D190" s="50"/>
      <c r="E190" s="51"/>
      <c r="F190" s="51"/>
      <c r="G190" s="51"/>
      <c r="H190" s="51"/>
      <c r="I190" s="51"/>
      <c r="J190" s="51"/>
      <c r="K190" s="52"/>
      <c r="L190" s="52"/>
      <c r="M190" s="53"/>
      <c r="N190" s="54"/>
      <c r="P190" s="51"/>
      <c r="Q190" s="51"/>
      <c r="R190" s="51"/>
      <c r="S190" s="51"/>
      <c r="T190" s="51"/>
    </row>
    <row r="191" spans="1:20" x14ac:dyDescent="0.3">
      <c r="A191" s="48">
        <v>0</v>
      </c>
      <c r="B191" s="49" t="s">
        <v>403</v>
      </c>
      <c r="C191" s="50"/>
      <c r="D191" s="50"/>
      <c r="E191" s="51"/>
      <c r="F191" s="51"/>
      <c r="G191" s="51"/>
      <c r="H191" s="51"/>
      <c r="I191" s="51"/>
      <c r="J191" s="51"/>
      <c r="K191" s="52"/>
      <c r="L191" s="52"/>
      <c r="M191" s="53"/>
      <c r="N191" s="54"/>
      <c r="P191" s="51"/>
      <c r="Q191" s="51"/>
      <c r="R191" s="51"/>
      <c r="S191" s="51"/>
      <c r="T191" s="51"/>
    </row>
    <row r="192" spans="1:20" x14ac:dyDescent="0.3">
      <c r="A192" s="48">
        <v>0</v>
      </c>
      <c r="B192" s="49" t="s">
        <v>404</v>
      </c>
      <c r="C192" s="50"/>
      <c r="D192" s="50"/>
      <c r="E192" s="51"/>
      <c r="F192" s="51"/>
      <c r="G192" s="51"/>
      <c r="H192" s="51"/>
      <c r="I192" s="51"/>
      <c r="J192" s="51"/>
      <c r="K192" s="52"/>
      <c r="L192" s="52"/>
      <c r="M192" s="53"/>
      <c r="N192" s="54"/>
      <c r="P192" s="51"/>
      <c r="Q192" s="51"/>
      <c r="R192" s="51"/>
      <c r="S192" s="51"/>
      <c r="T192" s="51"/>
    </row>
    <row r="193" spans="1:20" x14ac:dyDescent="0.3">
      <c r="A193" s="48">
        <v>0</v>
      </c>
      <c r="B193" s="49" t="s">
        <v>405</v>
      </c>
      <c r="C193" s="50"/>
      <c r="D193" s="50"/>
      <c r="E193" s="51"/>
      <c r="F193" s="51"/>
      <c r="G193" s="51"/>
      <c r="H193" s="51"/>
      <c r="I193" s="51"/>
      <c r="J193" s="51"/>
      <c r="K193" s="52"/>
      <c r="L193" s="52"/>
      <c r="M193" s="53"/>
      <c r="N193" s="54"/>
      <c r="P193" s="51"/>
      <c r="Q193" s="51"/>
      <c r="R193" s="51"/>
      <c r="S193" s="51"/>
      <c r="T193" s="51"/>
    </row>
    <row r="194" spans="1:20" x14ac:dyDescent="0.3">
      <c r="A194" s="48">
        <v>0</v>
      </c>
      <c r="B194" s="49" t="s">
        <v>406</v>
      </c>
      <c r="C194" s="50"/>
      <c r="D194" s="50"/>
      <c r="E194" s="51"/>
      <c r="F194" s="51"/>
      <c r="G194" s="51"/>
      <c r="H194" s="51"/>
      <c r="I194" s="51"/>
      <c r="J194" s="51"/>
      <c r="K194" s="52"/>
      <c r="L194" s="52"/>
      <c r="M194" s="53"/>
      <c r="N194" s="54"/>
      <c r="P194" s="51"/>
      <c r="Q194" s="51"/>
      <c r="R194" s="51"/>
      <c r="S194" s="51"/>
      <c r="T194" s="51"/>
    </row>
    <row r="195" spans="1:20" x14ac:dyDescent="0.3">
      <c r="A195" s="48">
        <v>0</v>
      </c>
      <c r="B195" s="49" t="s">
        <v>407</v>
      </c>
      <c r="C195" s="50"/>
      <c r="D195" s="50"/>
      <c r="E195" s="51"/>
      <c r="F195" s="51"/>
      <c r="G195" s="51"/>
      <c r="H195" s="51"/>
      <c r="I195" s="51"/>
      <c r="J195" s="51"/>
      <c r="K195" s="52"/>
      <c r="L195" s="52"/>
      <c r="M195" s="53"/>
      <c r="N195" s="54"/>
      <c r="P195" s="51"/>
      <c r="Q195" s="51"/>
      <c r="R195" s="51"/>
      <c r="S195" s="51"/>
      <c r="T195" s="51"/>
    </row>
    <row r="196" spans="1:20" x14ac:dyDescent="0.3">
      <c r="A196" s="48">
        <v>0</v>
      </c>
      <c r="B196" s="49" t="s">
        <v>408</v>
      </c>
      <c r="C196" s="50"/>
      <c r="D196" s="50"/>
      <c r="E196" s="51"/>
      <c r="F196" s="51"/>
      <c r="G196" s="51"/>
      <c r="H196" s="51"/>
      <c r="I196" s="51"/>
      <c r="J196" s="51"/>
      <c r="K196" s="52"/>
      <c r="L196" s="52"/>
      <c r="M196" s="53"/>
      <c r="N196" s="54"/>
      <c r="P196" s="51"/>
      <c r="Q196" s="51"/>
      <c r="R196" s="51"/>
      <c r="S196" s="51"/>
      <c r="T196" s="51"/>
    </row>
    <row r="197" spans="1:20" x14ac:dyDescent="0.3">
      <c r="A197" s="48">
        <v>0</v>
      </c>
      <c r="B197" s="49" t="s">
        <v>409</v>
      </c>
      <c r="C197" s="50"/>
      <c r="D197" s="50"/>
      <c r="E197" s="51"/>
      <c r="F197" s="51"/>
      <c r="G197" s="51"/>
      <c r="H197" s="51"/>
      <c r="I197" s="51"/>
      <c r="J197" s="51"/>
      <c r="K197" s="52"/>
      <c r="L197" s="52"/>
      <c r="M197" s="53"/>
      <c r="N197" s="54"/>
      <c r="P197" s="51"/>
      <c r="Q197" s="51"/>
      <c r="R197" s="51"/>
      <c r="S197" s="51"/>
      <c r="T197" s="51"/>
    </row>
    <row r="198" spans="1:20" x14ac:dyDescent="0.3">
      <c r="A198" s="48">
        <v>0</v>
      </c>
      <c r="B198" s="49" t="s">
        <v>410</v>
      </c>
      <c r="C198" s="50"/>
      <c r="D198" s="50"/>
      <c r="E198" s="51"/>
      <c r="F198" s="51"/>
      <c r="G198" s="51"/>
      <c r="H198" s="51"/>
      <c r="I198" s="51"/>
      <c r="J198" s="51"/>
      <c r="K198" s="52"/>
      <c r="L198" s="52"/>
      <c r="M198" s="53"/>
      <c r="N198" s="54"/>
      <c r="P198" s="51"/>
      <c r="Q198" s="51"/>
      <c r="R198" s="51"/>
      <c r="S198" s="51"/>
      <c r="T198" s="51"/>
    </row>
    <row r="199" spans="1:20" x14ac:dyDescent="0.3">
      <c r="A199" s="48">
        <v>0</v>
      </c>
      <c r="B199" s="49" t="s">
        <v>411</v>
      </c>
      <c r="C199" s="50"/>
      <c r="D199" s="50"/>
      <c r="E199" s="51"/>
      <c r="F199" s="51"/>
      <c r="G199" s="51"/>
      <c r="H199" s="51"/>
      <c r="I199" s="51"/>
      <c r="J199" s="51"/>
      <c r="K199" s="52"/>
      <c r="L199" s="52"/>
      <c r="M199" s="53"/>
      <c r="N199" s="54"/>
      <c r="P199" s="51"/>
      <c r="Q199" s="51"/>
      <c r="R199" s="51"/>
      <c r="S199" s="51"/>
      <c r="T199" s="51"/>
    </row>
    <row r="200" spans="1:20" x14ac:dyDescent="0.3">
      <c r="A200" s="48">
        <v>0</v>
      </c>
      <c r="B200" s="49" t="s">
        <v>412</v>
      </c>
      <c r="C200" s="50"/>
      <c r="D200" s="50"/>
      <c r="E200" s="51"/>
      <c r="F200" s="51"/>
      <c r="G200" s="51"/>
      <c r="H200" s="51"/>
      <c r="I200" s="51"/>
      <c r="J200" s="51"/>
      <c r="K200" s="52"/>
      <c r="L200" s="52"/>
      <c r="M200" s="53"/>
      <c r="N200" s="54"/>
      <c r="P200" s="51"/>
      <c r="Q200" s="51"/>
      <c r="R200" s="51"/>
      <c r="S200" s="51"/>
      <c r="T200" s="51"/>
    </row>
    <row r="201" spans="1:20" x14ac:dyDescent="0.3">
      <c r="A201" s="48">
        <v>0</v>
      </c>
      <c r="B201" s="49" t="s">
        <v>413</v>
      </c>
      <c r="C201" s="50"/>
      <c r="D201" s="50"/>
      <c r="E201" s="51"/>
      <c r="F201" s="51"/>
      <c r="G201" s="51"/>
      <c r="H201" s="51"/>
      <c r="I201" s="51"/>
      <c r="J201" s="51"/>
      <c r="K201" s="52"/>
      <c r="L201" s="52"/>
      <c r="M201" s="53"/>
      <c r="N201" s="54"/>
      <c r="P201" s="51"/>
      <c r="Q201" s="51"/>
      <c r="R201" s="51"/>
      <c r="S201" s="51"/>
      <c r="T201" s="51"/>
    </row>
    <row r="202" spans="1:20" x14ac:dyDescent="0.3">
      <c r="A202" s="48">
        <v>0</v>
      </c>
      <c r="B202" s="49" t="s">
        <v>414</v>
      </c>
      <c r="C202" s="50"/>
      <c r="D202" s="50"/>
      <c r="E202" s="51"/>
      <c r="F202" s="51"/>
      <c r="G202" s="51"/>
      <c r="H202" s="51"/>
      <c r="I202" s="51"/>
      <c r="J202" s="51"/>
      <c r="K202" s="52"/>
      <c r="L202" s="52"/>
      <c r="M202" s="53"/>
      <c r="N202" s="54"/>
      <c r="P202" s="51"/>
      <c r="Q202" s="51"/>
      <c r="R202" s="51"/>
      <c r="S202" s="51"/>
      <c r="T202" s="51"/>
    </row>
    <row r="203" spans="1:20" x14ac:dyDescent="0.3">
      <c r="A203" s="48">
        <v>0</v>
      </c>
      <c r="B203" s="49" t="s">
        <v>415</v>
      </c>
      <c r="C203" s="50"/>
      <c r="D203" s="50"/>
      <c r="E203" s="51"/>
      <c r="F203" s="51"/>
      <c r="G203" s="51"/>
      <c r="H203" s="51"/>
      <c r="I203" s="51"/>
      <c r="J203" s="51"/>
      <c r="K203" s="52"/>
      <c r="L203" s="52"/>
      <c r="M203" s="53"/>
      <c r="N203" s="54"/>
      <c r="P203" s="51"/>
      <c r="Q203" s="51"/>
      <c r="R203" s="51"/>
      <c r="S203" s="51"/>
      <c r="T203" s="51"/>
    </row>
    <row r="204" spans="1:20" x14ac:dyDescent="0.3">
      <c r="A204" s="48">
        <v>0</v>
      </c>
      <c r="B204" s="49" t="s">
        <v>416</v>
      </c>
      <c r="C204" s="50"/>
      <c r="D204" s="50"/>
      <c r="E204" s="51"/>
      <c r="F204" s="51"/>
      <c r="G204" s="51"/>
      <c r="H204" s="51"/>
      <c r="I204" s="51"/>
      <c r="J204" s="51"/>
      <c r="K204" s="52"/>
      <c r="L204" s="52"/>
      <c r="M204" s="53"/>
      <c r="N204" s="54"/>
      <c r="P204" s="51"/>
      <c r="Q204" s="51"/>
      <c r="R204" s="51"/>
      <c r="S204" s="51"/>
      <c r="T204" s="51"/>
    </row>
    <row r="205" spans="1:20" x14ac:dyDescent="0.3">
      <c r="A205" s="48">
        <v>0</v>
      </c>
      <c r="B205" s="49" t="s">
        <v>417</v>
      </c>
      <c r="C205" s="50"/>
      <c r="D205" s="50"/>
      <c r="E205" s="51"/>
      <c r="F205" s="51"/>
      <c r="G205" s="51"/>
      <c r="H205" s="51"/>
      <c r="I205" s="51"/>
      <c r="J205" s="51"/>
      <c r="K205" s="52"/>
      <c r="L205" s="52"/>
      <c r="M205" s="53"/>
      <c r="N205" s="54"/>
      <c r="P205" s="51"/>
      <c r="Q205" s="51"/>
      <c r="R205" s="51"/>
      <c r="S205" s="51"/>
      <c r="T205" s="51"/>
    </row>
    <row r="206" spans="1:20" x14ac:dyDescent="0.3">
      <c r="A206" s="48">
        <v>0</v>
      </c>
      <c r="B206" s="49" t="s">
        <v>418</v>
      </c>
      <c r="C206" s="50"/>
      <c r="D206" s="50"/>
      <c r="E206" s="51"/>
      <c r="F206" s="51"/>
      <c r="G206" s="51"/>
      <c r="H206" s="51"/>
      <c r="I206" s="51"/>
      <c r="J206" s="51"/>
      <c r="K206" s="52"/>
      <c r="L206" s="52"/>
      <c r="M206" s="53"/>
      <c r="N206" s="54"/>
      <c r="P206" s="51"/>
      <c r="Q206" s="51"/>
      <c r="R206" s="51"/>
      <c r="S206" s="51"/>
      <c r="T206" s="51"/>
    </row>
    <row r="207" spans="1:20" x14ac:dyDescent="0.3">
      <c r="A207" s="48">
        <v>0</v>
      </c>
      <c r="B207" s="49" t="s">
        <v>419</v>
      </c>
      <c r="C207" s="50"/>
      <c r="D207" s="50"/>
      <c r="E207" s="51"/>
      <c r="F207" s="51"/>
      <c r="G207" s="51"/>
      <c r="H207" s="51"/>
      <c r="I207" s="51"/>
      <c r="J207" s="51"/>
      <c r="K207" s="52"/>
      <c r="L207" s="52"/>
      <c r="M207" s="53"/>
      <c r="N207" s="54"/>
      <c r="P207" s="51"/>
      <c r="Q207" s="51"/>
      <c r="R207" s="51"/>
      <c r="S207" s="51"/>
      <c r="T207" s="51"/>
    </row>
    <row r="208" spans="1:20" x14ac:dyDescent="0.3">
      <c r="A208" s="48">
        <v>0</v>
      </c>
      <c r="B208" s="49" t="s">
        <v>420</v>
      </c>
      <c r="C208" s="50"/>
      <c r="D208" s="50"/>
      <c r="E208" s="51"/>
      <c r="F208" s="51"/>
      <c r="G208" s="51"/>
      <c r="H208" s="51"/>
      <c r="I208" s="51"/>
      <c r="J208" s="51"/>
      <c r="K208" s="52"/>
      <c r="L208" s="52"/>
      <c r="M208" s="53"/>
      <c r="N208" s="54"/>
      <c r="P208" s="51"/>
      <c r="Q208" s="51"/>
      <c r="R208" s="51"/>
      <c r="S208" s="51"/>
      <c r="T208" s="51"/>
    </row>
    <row r="209" spans="1:20" x14ac:dyDescent="0.3">
      <c r="A209" s="48">
        <v>0</v>
      </c>
      <c r="B209" s="49" t="s">
        <v>421</v>
      </c>
      <c r="C209" s="50"/>
      <c r="D209" s="50"/>
      <c r="E209" s="51"/>
      <c r="F209" s="51"/>
      <c r="G209" s="51"/>
      <c r="H209" s="51"/>
      <c r="I209" s="51"/>
      <c r="J209" s="51"/>
      <c r="K209" s="52"/>
      <c r="L209" s="52"/>
      <c r="M209" s="53"/>
      <c r="N209" s="54"/>
      <c r="P209" s="51"/>
      <c r="Q209" s="51"/>
      <c r="R209" s="51"/>
      <c r="S209" s="51"/>
      <c r="T209" s="51"/>
    </row>
    <row r="210" spans="1:20" x14ac:dyDescent="0.3">
      <c r="A210" s="48">
        <v>0</v>
      </c>
      <c r="B210" s="49" t="s">
        <v>458</v>
      </c>
      <c r="C210" s="50"/>
      <c r="D210" s="50"/>
      <c r="E210" s="51"/>
      <c r="F210" s="51"/>
      <c r="G210" s="51"/>
      <c r="H210" s="51"/>
      <c r="I210" s="51"/>
      <c r="J210" s="51"/>
      <c r="K210" s="52"/>
      <c r="L210" s="52"/>
      <c r="M210" s="53"/>
      <c r="N210" s="54"/>
      <c r="P210" s="51"/>
      <c r="Q210" s="51"/>
      <c r="R210" s="51"/>
      <c r="S210" s="51"/>
      <c r="T210" s="51"/>
    </row>
    <row r="211" spans="1:20" x14ac:dyDescent="0.3">
      <c r="A211" s="48">
        <v>0</v>
      </c>
      <c r="B211" s="49" t="s">
        <v>459</v>
      </c>
      <c r="C211" s="50"/>
      <c r="D211" s="50"/>
      <c r="E211" s="51"/>
      <c r="F211" s="51"/>
      <c r="G211" s="51"/>
      <c r="H211" s="51"/>
      <c r="I211" s="51"/>
      <c r="J211" s="51"/>
      <c r="K211" s="52"/>
      <c r="L211" s="52"/>
      <c r="M211" s="53"/>
      <c r="N211" s="54"/>
      <c r="P211" s="51"/>
      <c r="Q211" s="51"/>
      <c r="R211" s="51"/>
      <c r="S211" s="51"/>
      <c r="T211" s="51"/>
    </row>
    <row r="212" spans="1:20" x14ac:dyDescent="0.3">
      <c r="A212" s="48">
        <v>0</v>
      </c>
      <c r="B212" s="49" t="s">
        <v>460</v>
      </c>
      <c r="C212" s="50"/>
      <c r="D212" s="50"/>
      <c r="E212" s="51"/>
      <c r="F212" s="51"/>
      <c r="G212" s="51"/>
      <c r="H212" s="51"/>
      <c r="I212" s="51"/>
      <c r="J212" s="51"/>
      <c r="K212" s="52"/>
      <c r="L212" s="52"/>
      <c r="M212" s="53"/>
      <c r="N212" s="54"/>
      <c r="P212" s="51"/>
      <c r="Q212" s="51"/>
      <c r="R212" s="51"/>
      <c r="S212" s="51"/>
      <c r="T212" s="51"/>
    </row>
    <row r="213" spans="1:20" x14ac:dyDescent="0.3">
      <c r="A213" s="48">
        <v>0</v>
      </c>
      <c r="B213" s="49" t="s">
        <v>461</v>
      </c>
      <c r="C213" s="50"/>
      <c r="D213" s="50"/>
      <c r="E213" s="51"/>
      <c r="F213" s="51"/>
      <c r="G213" s="51"/>
      <c r="H213" s="51"/>
      <c r="I213" s="51"/>
      <c r="J213" s="51"/>
      <c r="K213" s="52"/>
      <c r="L213" s="52"/>
      <c r="M213" s="53"/>
      <c r="N213" s="54"/>
      <c r="P213" s="51"/>
      <c r="Q213" s="51"/>
      <c r="R213" s="51"/>
      <c r="S213" s="51"/>
      <c r="T213" s="51"/>
    </row>
    <row r="214" spans="1:20" x14ac:dyDescent="0.3">
      <c r="A214" s="48">
        <v>0</v>
      </c>
      <c r="B214" s="49" t="s">
        <v>462</v>
      </c>
      <c r="C214" s="50"/>
      <c r="D214" s="50"/>
      <c r="E214" s="51"/>
      <c r="F214" s="51"/>
      <c r="G214" s="51"/>
      <c r="H214" s="51"/>
      <c r="I214" s="51"/>
      <c r="J214" s="51"/>
      <c r="K214" s="52"/>
      <c r="L214" s="52"/>
      <c r="M214" s="53"/>
      <c r="N214" s="54"/>
      <c r="P214" s="51"/>
      <c r="Q214" s="51"/>
      <c r="R214" s="51"/>
      <c r="S214" s="51"/>
      <c r="T214" s="51"/>
    </row>
    <row r="215" spans="1:20" x14ac:dyDescent="0.3">
      <c r="A215" s="48">
        <v>0</v>
      </c>
      <c r="B215" s="49" t="s">
        <v>463</v>
      </c>
      <c r="C215" s="50"/>
      <c r="D215" s="50"/>
      <c r="E215" s="51"/>
      <c r="F215" s="51"/>
      <c r="G215" s="51"/>
      <c r="H215" s="51"/>
      <c r="I215" s="51"/>
      <c r="J215" s="51"/>
      <c r="K215" s="52"/>
      <c r="L215" s="52"/>
      <c r="M215" s="53"/>
      <c r="N215" s="54"/>
      <c r="P215" s="51"/>
      <c r="Q215" s="51"/>
      <c r="R215" s="51"/>
      <c r="S215" s="51"/>
      <c r="T215" s="51"/>
    </row>
    <row r="216" spans="1:20" x14ac:dyDescent="0.3">
      <c r="A216" s="48">
        <v>0</v>
      </c>
      <c r="B216" s="49" t="s">
        <v>464</v>
      </c>
      <c r="C216" s="50"/>
      <c r="D216" s="50"/>
      <c r="E216" s="51"/>
      <c r="F216" s="51"/>
      <c r="G216" s="51"/>
      <c r="H216" s="51"/>
      <c r="I216" s="51"/>
      <c r="J216" s="51"/>
      <c r="K216" s="52"/>
      <c r="L216" s="52"/>
      <c r="M216" s="53"/>
      <c r="N216" s="54"/>
      <c r="P216" s="51"/>
      <c r="Q216" s="51"/>
      <c r="R216" s="51"/>
      <c r="S216" s="51"/>
      <c r="T216" s="51"/>
    </row>
    <row r="217" spans="1:20" x14ac:dyDescent="0.3">
      <c r="A217" s="48">
        <v>0</v>
      </c>
      <c r="B217" s="49" t="s">
        <v>465</v>
      </c>
      <c r="C217" s="50"/>
      <c r="D217" s="50"/>
      <c r="E217" s="51"/>
      <c r="F217" s="51"/>
      <c r="G217" s="51"/>
      <c r="H217" s="51"/>
      <c r="I217" s="51"/>
      <c r="J217" s="51"/>
      <c r="K217" s="52"/>
      <c r="L217" s="52"/>
      <c r="M217" s="53"/>
      <c r="N217" s="54"/>
      <c r="P217" s="51"/>
      <c r="Q217" s="51"/>
      <c r="R217" s="51"/>
      <c r="S217" s="51"/>
      <c r="T217" s="51"/>
    </row>
    <row r="218" spans="1:20" x14ac:dyDescent="0.3">
      <c r="A218" s="48">
        <v>0</v>
      </c>
      <c r="B218" s="49" t="s">
        <v>466</v>
      </c>
      <c r="C218" s="50"/>
      <c r="D218" s="50"/>
      <c r="E218" s="51"/>
      <c r="F218" s="51"/>
      <c r="G218" s="51"/>
      <c r="H218" s="51"/>
      <c r="I218" s="51"/>
      <c r="J218" s="51"/>
      <c r="K218" s="52"/>
      <c r="L218" s="52"/>
      <c r="M218" s="53"/>
      <c r="N218" s="54"/>
      <c r="P218" s="51"/>
      <c r="Q218" s="51"/>
      <c r="R218" s="51"/>
      <c r="S218" s="51"/>
      <c r="T218" s="51"/>
    </row>
    <row r="219" spans="1:20" x14ac:dyDescent="0.3">
      <c r="A219" s="48">
        <v>0</v>
      </c>
      <c r="B219" s="49" t="s">
        <v>467</v>
      </c>
      <c r="C219" s="50"/>
      <c r="D219" s="50"/>
      <c r="E219" s="51"/>
      <c r="F219" s="51"/>
      <c r="G219" s="51"/>
      <c r="H219" s="51"/>
      <c r="I219" s="51"/>
      <c r="J219" s="51"/>
      <c r="K219" s="52"/>
      <c r="L219" s="52"/>
      <c r="M219" s="53"/>
      <c r="N219" s="54"/>
      <c r="P219" s="51"/>
      <c r="Q219" s="51"/>
      <c r="R219" s="51"/>
      <c r="S219" s="51"/>
      <c r="T219" s="51"/>
    </row>
    <row r="220" spans="1:20" x14ac:dyDescent="0.3">
      <c r="A220" s="48">
        <v>0</v>
      </c>
      <c r="B220" s="49" t="s">
        <v>468</v>
      </c>
      <c r="C220" s="50"/>
      <c r="D220" s="50"/>
      <c r="E220" s="51"/>
      <c r="F220" s="51"/>
      <c r="G220" s="51"/>
      <c r="H220" s="51"/>
      <c r="I220" s="51"/>
      <c r="J220" s="51"/>
      <c r="K220" s="52"/>
      <c r="L220" s="52"/>
      <c r="M220" s="53"/>
      <c r="N220" s="54"/>
      <c r="P220" s="51"/>
      <c r="Q220" s="51"/>
      <c r="R220" s="51"/>
      <c r="S220" s="51"/>
      <c r="T220" s="51"/>
    </row>
    <row r="221" spans="1:20" x14ac:dyDescent="0.3">
      <c r="A221" s="48">
        <v>0</v>
      </c>
      <c r="B221" s="49" t="s">
        <v>469</v>
      </c>
      <c r="C221" s="50"/>
      <c r="D221" s="50"/>
      <c r="E221" s="51"/>
      <c r="F221" s="51"/>
      <c r="G221" s="51"/>
      <c r="H221" s="51"/>
      <c r="I221" s="51"/>
      <c r="J221" s="51"/>
      <c r="K221" s="52"/>
      <c r="L221" s="52"/>
      <c r="M221" s="53"/>
      <c r="N221" s="54"/>
      <c r="P221" s="51"/>
      <c r="Q221" s="51"/>
      <c r="R221" s="51"/>
      <c r="S221" s="51"/>
      <c r="T221" s="51"/>
    </row>
    <row r="222" spans="1:20" x14ac:dyDescent="0.3">
      <c r="A222" s="48">
        <v>0</v>
      </c>
      <c r="B222" s="49" t="s">
        <v>470</v>
      </c>
      <c r="C222" s="50"/>
      <c r="D222" s="50"/>
      <c r="E222" s="51"/>
      <c r="F222" s="51"/>
      <c r="G222" s="51"/>
      <c r="H222" s="51"/>
      <c r="I222" s="51"/>
      <c r="J222" s="51"/>
      <c r="K222" s="52"/>
      <c r="L222" s="52"/>
      <c r="M222" s="53"/>
      <c r="N222" s="54"/>
      <c r="P222" s="51"/>
      <c r="Q222" s="51"/>
      <c r="R222" s="51"/>
      <c r="S222" s="51"/>
      <c r="T222" s="51"/>
    </row>
    <row r="223" spans="1:20" x14ac:dyDescent="0.3">
      <c r="A223" s="48">
        <v>0</v>
      </c>
      <c r="B223" s="49" t="s">
        <v>471</v>
      </c>
      <c r="C223" s="50"/>
      <c r="D223" s="50"/>
      <c r="E223" s="51"/>
      <c r="F223" s="51"/>
      <c r="G223" s="51"/>
      <c r="H223" s="51"/>
      <c r="I223" s="51"/>
      <c r="J223" s="51"/>
      <c r="K223" s="52"/>
      <c r="L223" s="52"/>
      <c r="M223" s="53"/>
      <c r="N223" s="54"/>
      <c r="P223" s="51"/>
      <c r="Q223" s="51"/>
      <c r="R223" s="51"/>
      <c r="S223" s="51"/>
      <c r="T223" s="51"/>
    </row>
    <row r="224" spans="1:20" x14ac:dyDescent="0.3">
      <c r="A224" s="48">
        <v>0</v>
      </c>
      <c r="B224" s="49" t="s">
        <v>472</v>
      </c>
      <c r="C224" s="50"/>
      <c r="D224" s="50"/>
      <c r="E224" s="51"/>
      <c r="F224" s="51"/>
      <c r="G224" s="51"/>
      <c r="H224" s="51"/>
      <c r="I224" s="51"/>
      <c r="J224" s="51"/>
      <c r="K224" s="52"/>
      <c r="L224" s="52"/>
      <c r="M224" s="53"/>
      <c r="N224" s="54"/>
      <c r="P224" s="51"/>
      <c r="Q224" s="51"/>
      <c r="R224" s="51"/>
      <c r="S224" s="51"/>
      <c r="T224" s="51"/>
    </row>
    <row r="225" spans="1:20" x14ac:dyDescent="0.3">
      <c r="A225" s="48">
        <v>0</v>
      </c>
      <c r="B225" s="49" t="s">
        <v>473</v>
      </c>
      <c r="C225" s="50"/>
      <c r="D225" s="50"/>
      <c r="E225" s="51"/>
      <c r="F225" s="51"/>
      <c r="G225" s="51"/>
      <c r="H225" s="51"/>
      <c r="I225" s="51"/>
      <c r="J225" s="51"/>
      <c r="K225" s="52"/>
      <c r="L225" s="52"/>
      <c r="M225" s="53"/>
      <c r="N225" s="54"/>
      <c r="P225" s="51"/>
      <c r="Q225" s="51"/>
      <c r="R225" s="51"/>
      <c r="S225" s="51"/>
      <c r="T225" s="51"/>
    </row>
    <row r="226" spans="1:20" x14ac:dyDescent="0.3">
      <c r="A226" s="48">
        <v>0</v>
      </c>
      <c r="B226" s="49" t="s">
        <v>474</v>
      </c>
      <c r="C226" s="50"/>
      <c r="D226" s="50"/>
      <c r="E226" s="51"/>
      <c r="F226" s="51"/>
      <c r="G226" s="51"/>
      <c r="H226" s="51"/>
      <c r="I226" s="51"/>
      <c r="J226" s="51"/>
      <c r="K226" s="52"/>
      <c r="L226" s="52"/>
      <c r="M226" s="53"/>
      <c r="N226" s="54"/>
      <c r="P226" s="51"/>
      <c r="Q226" s="51"/>
      <c r="R226" s="51"/>
      <c r="S226" s="51"/>
      <c r="T226" s="51"/>
    </row>
    <row r="227" spans="1:20" x14ac:dyDescent="0.3">
      <c r="A227" s="48">
        <v>0</v>
      </c>
      <c r="B227" s="49" t="s">
        <v>475</v>
      </c>
      <c r="C227" s="50"/>
      <c r="D227" s="50"/>
      <c r="E227" s="51"/>
      <c r="F227" s="51"/>
      <c r="G227" s="51"/>
      <c r="H227" s="51"/>
      <c r="I227" s="51"/>
      <c r="J227" s="51"/>
      <c r="K227" s="52"/>
      <c r="L227" s="52"/>
      <c r="M227" s="53"/>
      <c r="N227" s="54"/>
      <c r="P227" s="51"/>
      <c r="Q227" s="51"/>
      <c r="R227" s="51"/>
      <c r="S227" s="51"/>
      <c r="T227" s="51"/>
    </row>
    <row r="228" spans="1:20" x14ac:dyDescent="0.3">
      <c r="A228" s="48">
        <v>0</v>
      </c>
      <c r="B228" s="49" t="s">
        <v>476</v>
      </c>
      <c r="C228" s="50"/>
      <c r="D228" s="50"/>
      <c r="E228" s="51"/>
      <c r="F228" s="51"/>
      <c r="G228" s="51"/>
      <c r="H228" s="51"/>
      <c r="I228" s="51"/>
      <c r="J228" s="51"/>
      <c r="K228" s="52"/>
      <c r="L228" s="52"/>
      <c r="M228" s="53"/>
      <c r="N228" s="54"/>
      <c r="P228" s="51"/>
      <c r="Q228" s="51"/>
      <c r="R228" s="51"/>
      <c r="S228" s="51"/>
      <c r="T228" s="51"/>
    </row>
    <row r="229" spans="1:20" ht="15" thickBot="1" x14ac:dyDescent="0.35">
      <c r="A229" s="48">
        <v>0</v>
      </c>
      <c r="B229" s="49" t="s">
        <v>477</v>
      </c>
      <c r="C229" s="50"/>
      <c r="D229" s="50"/>
      <c r="E229" s="51"/>
      <c r="F229" s="51"/>
      <c r="G229" s="51"/>
      <c r="H229" s="51"/>
      <c r="I229" s="51"/>
      <c r="J229" s="51"/>
      <c r="K229" s="52"/>
      <c r="L229" s="52"/>
      <c r="M229" s="53"/>
      <c r="N229" s="54"/>
      <c r="P229" s="51"/>
      <c r="Q229" s="51"/>
      <c r="R229" s="51"/>
      <c r="S229" s="51"/>
      <c r="T229" s="51"/>
    </row>
    <row r="230" spans="1:20" ht="15" thickBot="1" x14ac:dyDescent="0.35">
      <c r="A230" s="14"/>
      <c r="B230" s="15" t="s">
        <v>63</v>
      </c>
      <c r="C230" s="15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31"/>
      <c r="P230" s="16"/>
      <c r="Q230" s="16"/>
      <c r="R230" s="16"/>
      <c r="S230" s="16"/>
      <c r="T230" s="16">
        <f>SUM(T5:T88)</f>
        <v>0</v>
      </c>
    </row>
  </sheetData>
  <sheetProtection autoFilter="0"/>
  <pageMargins left="0.7" right="0.7" top="0.78740157499999996" bottom="0.78740157499999996" header="0.3" footer="0.3"/>
  <pageSetup paperSize="9"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728A-F3EE-45E1-AE78-5F14FA5E154C}">
  <sheetPr filterMode="1">
    <pageSetUpPr fitToPage="1"/>
  </sheetPr>
  <dimension ref="A1:AX98"/>
  <sheetViews>
    <sheetView zoomScaleNormal="100" workbookViewId="0">
      <pane ySplit="3" topLeftCell="A4" activePane="bottomLeft" state="frozenSplit"/>
      <selection activeCell="N1" sqref="N1:N1048576"/>
      <selection pane="bottomLeft" activeCell="G4" sqref="G4:G48"/>
    </sheetView>
  </sheetViews>
  <sheetFormatPr baseColWidth="10" defaultColWidth="11.44140625" defaultRowHeight="27.75" customHeight="1" x14ac:dyDescent="0.25"/>
  <cols>
    <col min="1" max="1" width="3.33203125" style="93" customWidth="1"/>
    <col min="2" max="2" width="8.5546875" style="93" customWidth="1"/>
    <col min="3" max="3" width="7.109375" style="90" customWidth="1"/>
    <col min="4" max="4" width="7.6640625" style="92" customWidth="1"/>
    <col min="5" max="5" width="25.33203125" style="92" customWidth="1"/>
    <col min="6" max="6" width="16.109375" style="91" customWidth="1"/>
    <col min="7" max="7" width="5.109375" style="91" customWidth="1"/>
    <col min="8" max="9" width="16.109375" style="91" customWidth="1"/>
    <col min="10" max="12" width="16.109375" style="85" customWidth="1"/>
    <col min="13" max="15" width="4.33203125" style="85" customWidth="1"/>
    <col min="16" max="17" width="16.109375" style="85" customWidth="1"/>
    <col min="18" max="20" width="3.33203125" style="88" customWidth="1"/>
    <col min="21" max="21" width="3.33203125" style="90" customWidth="1"/>
    <col min="22" max="22" width="3.33203125" style="88" customWidth="1"/>
    <col min="23" max="23" width="3.33203125" style="90" customWidth="1"/>
    <col min="24" max="24" width="3.33203125" style="88" customWidth="1"/>
    <col min="25" max="25" width="3.33203125" style="89" customWidth="1"/>
    <col min="26" max="26" width="5.33203125" style="88" customWidth="1"/>
    <col min="27" max="27" width="3.33203125" style="87" customWidth="1"/>
    <col min="28" max="28" width="3.33203125" style="86" customWidth="1"/>
    <col min="29" max="29" width="3.33203125" style="87" customWidth="1"/>
    <col min="30" max="30" width="3.33203125" style="86" customWidth="1"/>
    <col min="31" max="31" width="3.33203125" style="87" customWidth="1"/>
    <col min="32" max="32" width="3.33203125" style="86" customWidth="1"/>
    <col min="33" max="33" width="3.33203125" style="87" customWidth="1"/>
    <col min="34" max="34" width="3.33203125" style="86" customWidth="1"/>
    <col min="35" max="35" width="3.33203125" style="87" customWidth="1"/>
    <col min="36" max="36" width="3.33203125" style="86" customWidth="1"/>
    <col min="37" max="37" width="3.33203125" style="87" customWidth="1"/>
    <col min="38" max="38" width="3.33203125" style="86" customWidth="1"/>
    <col min="39" max="39" width="3.33203125" style="87" customWidth="1"/>
    <col min="40" max="40" width="3.33203125" style="86" customWidth="1"/>
    <col min="41" max="41" width="3.33203125" style="87" customWidth="1"/>
    <col min="42" max="42" width="3.33203125" style="86" customWidth="1"/>
    <col min="43" max="43" width="3.33203125" style="87" customWidth="1"/>
    <col min="44" max="44" width="3.33203125" style="86" customWidth="1"/>
    <col min="45" max="45" width="3.33203125" style="87" customWidth="1"/>
    <col min="46" max="46" width="3.33203125" style="86" customWidth="1"/>
    <col min="47" max="47" width="36.44140625" style="85" customWidth="1"/>
    <col min="48" max="48" width="11.44140625" style="85"/>
    <col min="49" max="49" width="3.6640625" style="85" customWidth="1"/>
    <col min="50" max="50" width="56.5546875" style="85" customWidth="1"/>
    <col min="51" max="51" width="8.88671875" style="85" customWidth="1"/>
    <col min="52" max="16384" width="11.44140625" style="85"/>
  </cols>
  <sheetData>
    <row r="1" spans="1:47" ht="28.95" customHeight="1" thickBot="1" x14ac:dyDescent="0.3">
      <c r="A1" s="193"/>
      <c r="B1" s="191" t="s">
        <v>598</v>
      </c>
      <c r="C1" s="320" t="s">
        <v>597</v>
      </c>
      <c r="D1" s="320"/>
      <c r="E1" s="321"/>
      <c r="F1" s="192" t="s">
        <v>596</v>
      </c>
      <c r="G1" s="320" t="s">
        <v>595</v>
      </c>
      <c r="H1" s="320"/>
      <c r="I1" s="320"/>
      <c r="J1" s="320"/>
      <c r="K1" s="191"/>
      <c r="L1" s="185"/>
      <c r="M1" s="185"/>
      <c r="N1" s="185"/>
      <c r="O1" s="185"/>
      <c r="P1" s="185"/>
      <c r="Q1" s="184"/>
      <c r="R1" s="317" t="s">
        <v>594</v>
      </c>
      <c r="S1" s="318"/>
      <c r="T1" s="318"/>
      <c r="U1" s="318"/>
      <c r="V1" s="318"/>
      <c r="W1" s="318"/>
      <c r="X1" s="318"/>
      <c r="Y1" s="318"/>
      <c r="Z1" s="318"/>
      <c r="AA1" s="322" t="s">
        <v>593</v>
      </c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  <c r="AM1" s="322"/>
      <c r="AN1" s="322"/>
      <c r="AO1" s="322"/>
      <c r="AP1" s="322"/>
      <c r="AQ1" s="322"/>
      <c r="AR1" s="322"/>
      <c r="AS1" s="322"/>
      <c r="AT1" s="322"/>
      <c r="AU1" s="190"/>
    </row>
    <row r="2" spans="1:47" ht="28.95" customHeight="1" thickBot="1" x14ac:dyDescent="0.3">
      <c r="A2" s="189"/>
      <c r="C2" s="188"/>
      <c r="D2" s="187"/>
      <c r="E2" s="186"/>
      <c r="F2" s="314" t="s">
        <v>26</v>
      </c>
      <c r="G2" s="314"/>
      <c r="H2" s="314"/>
      <c r="I2" s="314"/>
      <c r="J2" s="314"/>
      <c r="K2" s="315" t="s">
        <v>25</v>
      </c>
      <c r="L2" s="314"/>
      <c r="M2" s="314"/>
      <c r="N2" s="314"/>
      <c r="O2" s="314"/>
      <c r="P2" s="314"/>
      <c r="Q2" s="316"/>
      <c r="R2" s="317" t="s">
        <v>24</v>
      </c>
      <c r="S2" s="318"/>
      <c r="T2" s="318"/>
      <c r="U2" s="318"/>
      <c r="V2" s="318"/>
      <c r="W2" s="318"/>
      <c r="X2" s="318"/>
      <c r="Y2" s="319"/>
      <c r="Z2" s="183" t="s">
        <v>23</v>
      </c>
      <c r="AA2" s="311" t="s">
        <v>592</v>
      </c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3"/>
      <c r="AU2" s="182" t="s">
        <v>591</v>
      </c>
    </row>
    <row r="3" spans="1:47" s="91" customFormat="1" ht="195.6" customHeight="1" thickBot="1" x14ac:dyDescent="0.3">
      <c r="A3" s="176" t="s">
        <v>22</v>
      </c>
      <c r="B3" s="173" t="s">
        <v>21</v>
      </c>
      <c r="C3" s="173" t="s">
        <v>20</v>
      </c>
      <c r="D3" s="173" t="s">
        <v>19</v>
      </c>
      <c r="E3" s="181" t="s">
        <v>18</v>
      </c>
      <c r="F3" s="180" t="s">
        <v>590</v>
      </c>
      <c r="G3" s="179" t="s">
        <v>17</v>
      </c>
      <c r="H3" s="178" t="s">
        <v>589</v>
      </c>
      <c r="I3" s="178" t="s">
        <v>16</v>
      </c>
      <c r="J3" s="177" t="s">
        <v>15</v>
      </c>
      <c r="K3" s="176" t="s">
        <v>588</v>
      </c>
      <c r="L3" s="173" t="s">
        <v>587</v>
      </c>
      <c r="M3" s="171" t="s">
        <v>14</v>
      </c>
      <c r="N3" s="171" t="s">
        <v>13</v>
      </c>
      <c r="O3" s="171" t="s">
        <v>12</v>
      </c>
      <c r="P3" s="171" t="s">
        <v>11</v>
      </c>
      <c r="Q3" s="175" t="s">
        <v>10</v>
      </c>
      <c r="R3" s="174" t="s">
        <v>9</v>
      </c>
      <c r="S3" s="173" t="s">
        <v>8</v>
      </c>
      <c r="T3" s="174" t="s">
        <v>7</v>
      </c>
      <c r="U3" s="173" t="s">
        <v>6</v>
      </c>
      <c r="V3" s="172" t="s">
        <v>5</v>
      </c>
      <c r="W3" s="173" t="s">
        <v>4</v>
      </c>
      <c r="X3" s="172" t="s">
        <v>3</v>
      </c>
      <c r="Y3" s="171" t="s">
        <v>2</v>
      </c>
      <c r="Z3" s="170" t="s">
        <v>1</v>
      </c>
      <c r="AA3" s="169" t="str">
        <f>[1]Fehlercode!B3</f>
        <v xml:space="preserve">       1 absenkbare Bodendichtung</v>
      </c>
      <c r="AB3" s="168" t="str">
        <f>[1]Fehlercode!B4</f>
        <v xml:space="preserve">       2 Schließfolgeregelung</v>
      </c>
      <c r="AC3" s="167" t="str">
        <f>[1]Fehlercode!B5</f>
        <v xml:space="preserve">       3 Standflügelverriegelung</v>
      </c>
      <c r="AD3" s="168" t="str">
        <f>[1]Fehlercode!B6</f>
        <v xml:space="preserve">       4 Anti-Panikschloss</v>
      </c>
      <c r="AE3" s="167" t="str">
        <f>[1]Fehlercode!B7</f>
        <v xml:space="preserve">       5 Fallen-Riegelschloss</v>
      </c>
      <c r="AF3" s="168" t="str">
        <f>[1]Fehlercode!B8</f>
        <v xml:space="preserve">       6 Tür richten, Bänder einstellen</v>
      </c>
      <c r="AG3" s="167" t="str">
        <f>[1]Fehlercode!B9</f>
        <v xml:space="preserve">       7 Schließblech einstellen, nacharbeiten, Beschlag befestigen</v>
      </c>
      <c r="AH3" s="168" t="str">
        <f>[1]Fehlercode!B10</f>
        <v xml:space="preserve">       8 Fluchtwächter befestigen / Batterie ersetzen / kompl. erneuern</v>
      </c>
      <c r="AI3" s="167" t="str">
        <f>[1]Fehlercode!B11</f>
        <v xml:space="preserve">       9 EMR - Feststellanlage mit RMZ für 1 flg. Türen ersetzen</v>
      </c>
      <c r="AJ3" s="168" t="str">
        <f>[1]Fehlercode!B12</f>
        <v xml:space="preserve">      10 EMR - Feststellanlage mit RMZ für 2 flgl. Türen ersetzen</v>
      </c>
      <c r="AK3" s="167" t="str">
        <f>[1]Fehlercode!B13</f>
        <v xml:space="preserve">      11 Rauchmelder ersetzen</v>
      </c>
      <c r="AL3" s="168" t="str">
        <f>[1]Fehlercode!B14</f>
        <v xml:space="preserve">      12 RMZ ersetzen</v>
      </c>
      <c r="AM3" s="167" t="str">
        <f>[1]Fehlercode!B15</f>
        <v xml:space="preserve">      13 Obentürschließer mit Gleitschiene ersetzen</v>
      </c>
      <c r="AN3" s="168" t="str">
        <f>[1]Fehlercode!B16</f>
        <v xml:space="preserve">      14 E-Öffner für Brandschutztüren ersetzen</v>
      </c>
      <c r="AO3" s="167" t="str">
        <f>[1]Fehlercode!B17</f>
        <v xml:space="preserve">      15 PZ-Rosetten montieren</v>
      </c>
      <c r="AP3" s="168" t="str">
        <f>[1]Fehlercode!B18</f>
        <v xml:space="preserve">      16 Blindzylinder montieren</v>
      </c>
      <c r="AQ3" s="167" t="str">
        <f>[1]Fehlercode!B19</f>
        <v xml:space="preserve">      17 Panikfunktion fehlt</v>
      </c>
      <c r="AR3" s="168" t="str">
        <f>[1]Fehlercode!B20</f>
        <v xml:space="preserve">      18 Fluchttürterminal defekt</v>
      </c>
      <c r="AS3" s="167" t="str">
        <f>[1]Fehlercode!B21</f>
        <v xml:space="preserve">      19 Wandbefestigung</v>
      </c>
      <c r="AT3" s="166" t="str">
        <f>[1]Fehlercode!B22</f>
        <v xml:space="preserve">      20 Handhabe defekt</v>
      </c>
      <c r="AU3" s="165" t="s">
        <v>586</v>
      </c>
    </row>
    <row r="4" spans="1:47" s="87" customFormat="1" ht="33" hidden="1" customHeight="1" x14ac:dyDescent="0.3">
      <c r="A4" s="140">
        <v>1</v>
      </c>
      <c r="B4" s="143">
        <v>1</v>
      </c>
      <c r="C4" s="164">
        <v>7</v>
      </c>
      <c r="D4" s="163"/>
      <c r="E4" s="162" t="s">
        <v>585</v>
      </c>
      <c r="F4" s="160" t="s">
        <v>562</v>
      </c>
      <c r="G4" s="161">
        <v>1</v>
      </c>
      <c r="H4" s="159" t="s">
        <v>561</v>
      </c>
      <c r="I4" s="159" t="s">
        <v>125</v>
      </c>
      <c r="J4" s="156"/>
      <c r="K4" s="160"/>
      <c r="L4" s="159"/>
      <c r="M4" s="158"/>
      <c r="N4" s="157"/>
      <c r="O4" s="158"/>
      <c r="P4" s="157"/>
      <c r="Q4" s="156"/>
      <c r="R4" s="155"/>
      <c r="S4" s="154"/>
      <c r="T4" s="155"/>
      <c r="U4" s="154"/>
      <c r="V4" s="153"/>
      <c r="W4" s="154"/>
      <c r="X4" s="153"/>
      <c r="Y4" s="152"/>
      <c r="Z4" s="151"/>
      <c r="AA4" s="150"/>
      <c r="AB4" s="149"/>
      <c r="AC4" s="143"/>
      <c r="AD4" s="149"/>
      <c r="AE4" s="143">
        <v>1</v>
      </c>
      <c r="AF4" s="149"/>
      <c r="AG4" s="143"/>
      <c r="AH4" s="149"/>
      <c r="AI4" s="143"/>
      <c r="AJ4" s="149"/>
      <c r="AK4" s="143"/>
      <c r="AL4" s="149"/>
      <c r="AM4" s="143"/>
      <c r="AN4" s="149"/>
      <c r="AO4" s="143"/>
      <c r="AP4" s="149"/>
      <c r="AQ4" s="143"/>
      <c r="AR4" s="149"/>
      <c r="AS4" s="143"/>
      <c r="AT4" s="148"/>
      <c r="AU4" s="147" t="s">
        <v>579</v>
      </c>
    </row>
    <row r="5" spans="1:47" s="87" customFormat="1" ht="33" hidden="1" customHeight="1" x14ac:dyDescent="0.3">
      <c r="A5" s="139">
        <v>2</v>
      </c>
      <c r="B5" s="143">
        <v>2</v>
      </c>
      <c r="C5" s="137">
        <v>7</v>
      </c>
      <c r="D5" s="136"/>
      <c r="E5" s="135" t="s">
        <v>584</v>
      </c>
      <c r="F5" s="125" t="s">
        <v>165</v>
      </c>
      <c r="G5" s="134">
        <v>1</v>
      </c>
      <c r="H5" s="123" t="s">
        <v>561</v>
      </c>
      <c r="I5" s="123" t="s">
        <v>572</v>
      </c>
      <c r="J5" s="131"/>
      <c r="K5" s="125"/>
      <c r="L5" s="123"/>
      <c r="M5" s="133"/>
      <c r="N5" s="132"/>
      <c r="O5" s="133"/>
      <c r="P5" s="132"/>
      <c r="Q5" s="131"/>
      <c r="R5" s="130"/>
      <c r="S5" s="129"/>
      <c r="T5" s="130"/>
      <c r="U5" s="129"/>
      <c r="V5" s="128"/>
      <c r="W5" s="129"/>
      <c r="X5" s="128"/>
      <c r="Y5" s="127"/>
      <c r="Z5" s="126"/>
      <c r="AA5" s="125"/>
      <c r="AB5" s="124"/>
      <c r="AC5" s="123"/>
      <c r="AD5" s="124"/>
      <c r="AE5" s="123"/>
      <c r="AF5" s="124"/>
      <c r="AG5" s="123"/>
      <c r="AH5" s="124"/>
      <c r="AI5" s="123"/>
      <c r="AJ5" s="124"/>
      <c r="AK5" s="123"/>
      <c r="AL5" s="124"/>
      <c r="AM5" s="123"/>
      <c r="AN5" s="124"/>
      <c r="AO5" s="123"/>
      <c r="AP5" s="124"/>
      <c r="AQ5" s="123"/>
      <c r="AR5" s="124"/>
      <c r="AS5" s="123"/>
      <c r="AT5" s="122">
        <v>1</v>
      </c>
      <c r="AU5" s="121" t="s">
        <v>583</v>
      </c>
    </row>
    <row r="6" spans="1:47" s="87" customFormat="1" ht="33" hidden="1" customHeight="1" x14ac:dyDescent="0.3">
      <c r="A6" s="139">
        <v>3</v>
      </c>
      <c r="B6" s="143">
        <v>3</v>
      </c>
      <c r="C6" s="137">
        <v>7</v>
      </c>
      <c r="D6" s="136"/>
      <c r="E6" s="135" t="s">
        <v>582</v>
      </c>
      <c r="F6" s="125"/>
      <c r="G6" s="134">
        <v>1</v>
      </c>
      <c r="H6" s="123" t="s">
        <v>561</v>
      </c>
      <c r="I6" s="123"/>
      <c r="J6" s="131"/>
      <c r="K6" s="125"/>
      <c r="L6" s="123"/>
      <c r="M6" s="133"/>
      <c r="N6" s="132"/>
      <c r="O6" s="133"/>
      <c r="P6" s="132"/>
      <c r="Q6" s="131"/>
      <c r="R6" s="130"/>
      <c r="S6" s="129"/>
      <c r="T6" s="130"/>
      <c r="U6" s="129"/>
      <c r="V6" s="128"/>
      <c r="W6" s="129"/>
      <c r="X6" s="128"/>
      <c r="Y6" s="127"/>
      <c r="Z6" s="126"/>
      <c r="AA6" s="125"/>
      <c r="AB6" s="124"/>
      <c r="AC6" s="123"/>
      <c r="AD6" s="124"/>
      <c r="AE6" s="123"/>
      <c r="AF6" s="124"/>
      <c r="AG6" s="123"/>
      <c r="AH6" s="124"/>
      <c r="AI6" s="123"/>
      <c r="AJ6" s="124"/>
      <c r="AK6" s="123"/>
      <c r="AL6" s="124"/>
      <c r="AM6" s="123"/>
      <c r="AN6" s="124"/>
      <c r="AO6" s="123"/>
      <c r="AP6" s="124"/>
      <c r="AQ6" s="123"/>
      <c r="AR6" s="124"/>
      <c r="AS6" s="123"/>
      <c r="AT6" s="122"/>
      <c r="AU6" s="121" t="s">
        <v>564</v>
      </c>
    </row>
    <row r="7" spans="1:47" s="87" customFormat="1" ht="33" hidden="1" customHeight="1" x14ac:dyDescent="0.3">
      <c r="A7" s="139">
        <v>4</v>
      </c>
      <c r="B7" s="143">
        <v>4</v>
      </c>
      <c r="C7" s="137">
        <v>7</v>
      </c>
      <c r="D7" s="136"/>
      <c r="E7" s="135" t="s">
        <v>571</v>
      </c>
      <c r="F7" s="125" t="s">
        <v>575</v>
      </c>
      <c r="G7" s="134">
        <v>1</v>
      </c>
      <c r="H7" s="123" t="s">
        <v>561</v>
      </c>
      <c r="I7" s="123" t="s">
        <v>570</v>
      </c>
      <c r="J7" s="131"/>
      <c r="K7" s="125"/>
      <c r="L7" s="123"/>
      <c r="M7" s="133"/>
      <c r="N7" s="132"/>
      <c r="O7" s="133"/>
      <c r="P7" s="132"/>
      <c r="Q7" s="131"/>
      <c r="R7" s="130"/>
      <c r="S7" s="129"/>
      <c r="T7" s="130"/>
      <c r="U7" s="129"/>
      <c r="V7" s="128"/>
      <c r="W7" s="129"/>
      <c r="X7" s="128"/>
      <c r="Y7" s="127"/>
      <c r="Z7" s="126" t="s">
        <v>529</v>
      </c>
      <c r="AA7" s="125"/>
      <c r="AB7" s="124"/>
      <c r="AC7" s="123"/>
      <c r="AD7" s="124"/>
      <c r="AE7" s="123"/>
      <c r="AF7" s="124"/>
      <c r="AG7" s="123"/>
      <c r="AH7" s="124"/>
      <c r="AI7" s="123"/>
      <c r="AJ7" s="124"/>
      <c r="AK7" s="123"/>
      <c r="AL7" s="124"/>
      <c r="AM7" s="123"/>
      <c r="AN7" s="124"/>
      <c r="AO7" s="123"/>
      <c r="AP7" s="124"/>
      <c r="AQ7" s="123"/>
      <c r="AR7" s="124"/>
      <c r="AS7" s="123"/>
      <c r="AT7" s="122"/>
      <c r="AU7" s="121"/>
    </row>
    <row r="8" spans="1:47" s="87" customFormat="1" ht="33" hidden="1" customHeight="1" x14ac:dyDescent="0.3">
      <c r="A8" s="139">
        <v>5</v>
      </c>
      <c r="B8" s="143">
        <v>5</v>
      </c>
      <c r="C8" s="137">
        <v>7</v>
      </c>
      <c r="D8" s="136"/>
      <c r="E8" s="135" t="s">
        <v>581</v>
      </c>
      <c r="F8" s="125"/>
      <c r="G8" s="134">
        <v>1</v>
      </c>
      <c r="H8" s="123" t="s">
        <v>561</v>
      </c>
      <c r="I8" s="123" t="s">
        <v>570</v>
      </c>
      <c r="J8" s="131"/>
      <c r="K8" s="125"/>
      <c r="L8" s="123"/>
      <c r="M8" s="133"/>
      <c r="N8" s="132"/>
      <c r="O8" s="133"/>
      <c r="P8" s="132"/>
      <c r="Q8" s="131"/>
      <c r="R8" s="130"/>
      <c r="S8" s="129"/>
      <c r="T8" s="130"/>
      <c r="U8" s="129"/>
      <c r="V8" s="128"/>
      <c r="W8" s="129"/>
      <c r="X8" s="128"/>
      <c r="Y8" s="127"/>
      <c r="Z8" s="126"/>
      <c r="AA8" s="125"/>
      <c r="AB8" s="124"/>
      <c r="AC8" s="123"/>
      <c r="AD8" s="124"/>
      <c r="AE8" s="123">
        <v>1</v>
      </c>
      <c r="AF8" s="124"/>
      <c r="AG8" s="123"/>
      <c r="AH8" s="124"/>
      <c r="AI8" s="123"/>
      <c r="AJ8" s="124"/>
      <c r="AK8" s="123"/>
      <c r="AL8" s="124"/>
      <c r="AM8" s="123">
        <v>1</v>
      </c>
      <c r="AN8" s="124"/>
      <c r="AO8" s="123"/>
      <c r="AP8" s="124"/>
      <c r="AQ8" s="123"/>
      <c r="AR8" s="124"/>
      <c r="AS8" s="123"/>
      <c r="AT8" s="122"/>
      <c r="AU8" s="121" t="s">
        <v>579</v>
      </c>
    </row>
    <row r="9" spans="1:47" s="87" customFormat="1" ht="33" hidden="1" customHeight="1" x14ac:dyDescent="0.3">
      <c r="A9" s="139">
        <v>6</v>
      </c>
      <c r="B9" s="143">
        <v>6</v>
      </c>
      <c r="C9" s="137">
        <v>6</v>
      </c>
      <c r="D9" s="136"/>
      <c r="E9" s="135"/>
      <c r="F9" s="125" t="s">
        <v>163</v>
      </c>
      <c r="G9" s="134">
        <v>1</v>
      </c>
      <c r="H9" s="123" t="s">
        <v>561</v>
      </c>
      <c r="I9" s="123" t="s">
        <v>125</v>
      </c>
      <c r="J9" s="131"/>
      <c r="K9" s="125"/>
      <c r="L9" s="123"/>
      <c r="M9" s="133"/>
      <c r="N9" s="132"/>
      <c r="O9" s="133"/>
      <c r="P9" s="132"/>
      <c r="Q9" s="131"/>
      <c r="R9" s="130"/>
      <c r="S9" s="129"/>
      <c r="T9" s="130"/>
      <c r="U9" s="129"/>
      <c r="V9" s="128"/>
      <c r="W9" s="129"/>
      <c r="X9" s="128"/>
      <c r="Y9" s="127"/>
      <c r="Z9" s="126" t="s">
        <v>529</v>
      </c>
      <c r="AA9" s="125"/>
      <c r="AB9" s="124"/>
      <c r="AC9" s="123"/>
      <c r="AD9" s="124"/>
      <c r="AE9" s="123"/>
      <c r="AF9" s="124"/>
      <c r="AG9" s="123"/>
      <c r="AH9" s="124"/>
      <c r="AI9" s="123"/>
      <c r="AJ9" s="124"/>
      <c r="AK9" s="123"/>
      <c r="AL9" s="124"/>
      <c r="AM9" s="123"/>
      <c r="AN9" s="124"/>
      <c r="AO9" s="123"/>
      <c r="AP9" s="124"/>
      <c r="AQ9" s="123"/>
      <c r="AR9" s="124"/>
      <c r="AS9" s="123"/>
      <c r="AT9" s="122"/>
      <c r="AU9" s="121"/>
    </row>
    <row r="10" spans="1:47" s="87" customFormat="1" ht="33" hidden="1" customHeight="1" x14ac:dyDescent="0.3">
      <c r="A10" s="139">
        <v>7</v>
      </c>
      <c r="B10" s="143">
        <v>7</v>
      </c>
      <c r="C10" s="137">
        <v>6</v>
      </c>
      <c r="D10" s="136"/>
      <c r="E10" s="135" t="s">
        <v>580</v>
      </c>
      <c r="F10" s="125" t="s">
        <v>163</v>
      </c>
      <c r="G10" s="134">
        <v>1</v>
      </c>
      <c r="H10" s="123" t="s">
        <v>561</v>
      </c>
      <c r="I10" s="123" t="s">
        <v>125</v>
      </c>
      <c r="J10" s="146"/>
      <c r="K10" s="125"/>
      <c r="L10" s="141"/>
      <c r="M10" s="145"/>
      <c r="N10" s="144"/>
      <c r="O10" s="145"/>
      <c r="P10" s="144"/>
      <c r="Q10" s="131"/>
      <c r="R10" s="130"/>
      <c r="S10" s="129"/>
      <c r="T10" s="130"/>
      <c r="U10" s="129"/>
      <c r="V10" s="128"/>
      <c r="W10" s="129"/>
      <c r="X10" s="128"/>
      <c r="Y10" s="127"/>
      <c r="Z10" s="126" t="s">
        <v>529</v>
      </c>
      <c r="AA10" s="125"/>
      <c r="AB10" s="124"/>
      <c r="AC10" s="123"/>
      <c r="AD10" s="124"/>
      <c r="AE10" s="123"/>
      <c r="AF10" s="124"/>
      <c r="AG10" s="123"/>
      <c r="AH10" s="124"/>
      <c r="AI10" s="123"/>
      <c r="AJ10" s="124"/>
      <c r="AK10" s="123"/>
      <c r="AL10" s="124"/>
      <c r="AM10" s="123"/>
      <c r="AN10" s="124"/>
      <c r="AO10" s="123"/>
      <c r="AP10" s="124"/>
      <c r="AQ10" s="123"/>
      <c r="AR10" s="124"/>
      <c r="AS10" s="123"/>
      <c r="AT10" s="122"/>
      <c r="AU10" s="121"/>
    </row>
    <row r="11" spans="1:47" s="87" customFormat="1" ht="33" hidden="1" customHeight="1" x14ac:dyDescent="0.3">
      <c r="A11" s="139">
        <v>8</v>
      </c>
      <c r="B11" s="143">
        <v>8</v>
      </c>
      <c r="C11" s="137">
        <v>6</v>
      </c>
      <c r="D11" s="136"/>
      <c r="E11" s="135"/>
      <c r="F11" s="125" t="s">
        <v>163</v>
      </c>
      <c r="G11" s="134">
        <v>1</v>
      </c>
      <c r="H11" s="123" t="s">
        <v>561</v>
      </c>
      <c r="I11" s="123" t="s">
        <v>125</v>
      </c>
      <c r="J11" s="146"/>
      <c r="K11" s="125"/>
      <c r="L11" s="141"/>
      <c r="M11" s="145"/>
      <c r="N11" s="144"/>
      <c r="O11" s="145"/>
      <c r="P11" s="144"/>
      <c r="Q11" s="131"/>
      <c r="R11" s="130"/>
      <c r="S11" s="129"/>
      <c r="T11" s="130"/>
      <c r="U11" s="129"/>
      <c r="V11" s="128"/>
      <c r="W11" s="129"/>
      <c r="X11" s="128"/>
      <c r="Y11" s="127"/>
      <c r="Z11" s="126" t="s">
        <v>529</v>
      </c>
      <c r="AA11" s="125"/>
      <c r="AB11" s="124"/>
      <c r="AC11" s="123"/>
      <c r="AD11" s="124"/>
      <c r="AE11" s="123"/>
      <c r="AF11" s="124"/>
      <c r="AG11" s="123"/>
      <c r="AH11" s="124"/>
      <c r="AI11" s="123"/>
      <c r="AJ11" s="124"/>
      <c r="AK11" s="123"/>
      <c r="AL11" s="124"/>
      <c r="AM11" s="123"/>
      <c r="AN11" s="124"/>
      <c r="AO11" s="123"/>
      <c r="AP11" s="124"/>
      <c r="AQ11" s="123"/>
      <c r="AR11" s="124"/>
      <c r="AS11" s="123"/>
      <c r="AT11" s="122"/>
      <c r="AU11" s="121"/>
    </row>
    <row r="12" spans="1:47" s="87" customFormat="1" ht="33" hidden="1" customHeight="1" x14ac:dyDescent="0.3">
      <c r="A12" s="140">
        <v>9</v>
      </c>
      <c r="B12" s="143">
        <v>9</v>
      </c>
      <c r="C12" s="137">
        <v>6</v>
      </c>
      <c r="D12" s="136"/>
      <c r="E12" s="135"/>
      <c r="F12" s="125" t="s">
        <v>163</v>
      </c>
      <c r="G12" s="134">
        <v>1</v>
      </c>
      <c r="H12" s="123" t="s">
        <v>561</v>
      </c>
      <c r="I12" s="123" t="s">
        <v>125</v>
      </c>
      <c r="J12" s="131"/>
      <c r="K12" s="125"/>
      <c r="L12" s="123"/>
      <c r="M12" s="133"/>
      <c r="N12" s="132"/>
      <c r="O12" s="133"/>
      <c r="P12" s="132"/>
      <c r="Q12" s="131"/>
      <c r="R12" s="130"/>
      <c r="S12" s="129"/>
      <c r="T12" s="130"/>
      <c r="U12" s="129"/>
      <c r="V12" s="128"/>
      <c r="W12" s="129"/>
      <c r="X12" s="128"/>
      <c r="Y12" s="127"/>
      <c r="Z12" s="126" t="s">
        <v>529</v>
      </c>
      <c r="AA12" s="125"/>
      <c r="AB12" s="124"/>
      <c r="AC12" s="123"/>
      <c r="AD12" s="124"/>
      <c r="AE12" s="123"/>
      <c r="AF12" s="124"/>
      <c r="AG12" s="123"/>
      <c r="AH12" s="124"/>
      <c r="AI12" s="123"/>
      <c r="AJ12" s="124"/>
      <c r="AK12" s="123"/>
      <c r="AL12" s="124"/>
      <c r="AM12" s="123"/>
      <c r="AN12" s="124"/>
      <c r="AO12" s="123"/>
      <c r="AP12" s="124"/>
      <c r="AQ12" s="123"/>
      <c r="AR12" s="124"/>
      <c r="AS12" s="123"/>
      <c r="AT12" s="122"/>
      <c r="AU12" s="121"/>
    </row>
    <row r="13" spans="1:47" s="87" customFormat="1" ht="33" hidden="1" customHeight="1" x14ac:dyDescent="0.3">
      <c r="A13" s="139">
        <v>10</v>
      </c>
      <c r="B13" s="143">
        <v>10</v>
      </c>
      <c r="C13" s="137">
        <v>6</v>
      </c>
      <c r="D13" s="136"/>
      <c r="E13" s="135"/>
      <c r="F13" s="125" t="s">
        <v>163</v>
      </c>
      <c r="G13" s="134">
        <v>1</v>
      </c>
      <c r="H13" s="123" t="s">
        <v>561</v>
      </c>
      <c r="I13" s="123" t="s">
        <v>125</v>
      </c>
      <c r="J13" s="131"/>
      <c r="K13" s="125"/>
      <c r="L13" s="123"/>
      <c r="M13" s="133"/>
      <c r="N13" s="132"/>
      <c r="O13" s="133"/>
      <c r="P13" s="132"/>
      <c r="Q13" s="131"/>
      <c r="R13" s="130"/>
      <c r="S13" s="129"/>
      <c r="T13" s="130"/>
      <c r="U13" s="129"/>
      <c r="V13" s="128"/>
      <c r="W13" s="129"/>
      <c r="X13" s="128"/>
      <c r="Y13" s="127"/>
      <c r="Z13" s="126" t="s">
        <v>529</v>
      </c>
      <c r="AA13" s="125"/>
      <c r="AB13" s="124"/>
      <c r="AC13" s="123"/>
      <c r="AD13" s="124"/>
      <c r="AE13" s="123"/>
      <c r="AF13" s="124"/>
      <c r="AG13" s="123"/>
      <c r="AH13" s="124"/>
      <c r="AI13" s="123"/>
      <c r="AJ13" s="124"/>
      <c r="AK13" s="123"/>
      <c r="AL13" s="124"/>
      <c r="AM13" s="123"/>
      <c r="AN13" s="124"/>
      <c r="AO13" s="123"/>
      <c r="AP13" s="124"/>
      <c r="AQ13" s="123"/>
      <c r="AR13" s="124"/>
      <c r="AS13" s="123"/>
      <c r="AT13" s="122"/>
      <c r="AU13" s="121"/>
    </row>
    <row r="14" spans="1:47" s="87" customFormat="1" ht="33" hidden="1" customHeight="1" x14ac:dyDescent="0.3">
      <c r="A14" s="139">
        <v>11</v>
      </c>
      <c r="B14" s="143">
        <v>11</v>
      </c>
      <c r="C14" s="137">
        <v>6</v>
      </c>
      <c r="D14" s="136"/>
      <c r="E14" s="135"/>
      <c r="F14" s="125" t="s">
        <v>163</v>
      </c>
      <c r="G14" s="134">
        <v>1</v>
      </c>
      <c r="H14" s="123" t="s">
        <v>561</v>
      </c>
      <c r="I14" s="123" t="s">
        <v>570</v>
      </c>
      <c r="J14" s="131"/>
      <c r="K14" s="125"/>
      <c r="L14" s="123"/>
      <c r="M14" s="133"/>
      <c r="N14" s="132"/>
      <c r="O14" s="133"/>
      <c r="P14" s="132"/>
      <c r="Q14" s="131"/>
      <c r="R14" s="130"/>
      <c r="S14" s="129"/>
      <c r="T14" s="130"/>
      <c r="U14" s="129"/>
      <c r="V14" s="128"/>
      <c r="W14" s="129"/>
      <c r="X14" s="128"/>
      <c r="Y14" s="127"/>
      <c r="Z14" s="126"/>
      <c r="AA14" s="125"/>
      <c r="AB14" s="124"/>
      <c r="AC14" s="123"/>
      <c r="AD14" s="124"/>
      <c r="AE14" s="123"/>
      <c r="AF14" s="124"/>
      <c r="AG14" s="123"/>
      <c r="AH14" s="124"/>
      <c r="AI14" s="123"/>
      <c r="AJ14" s="124"/>
      <c r="AK14" s="123"/>
      <c r="AL14" s="124"/>
      <c r="AM14" s="123"/>
      <c r="AN14" s="124"/>
      <c r="AO14" s="123"/>
      <c r="AP14" s="124"/>
      <c r="AQ14" s="123"/>
      <c r="AR14" s="124"/>
      <c r="AS14" s="123"/>
      <c r="AT14" s="122"/>
      <c r="AU14" s="121" t="s">
        <v>564</v>
      </c>
    </row>
    <row r="15" spans="1:47" s="87" customFormat="1" ht="33" hidden="1" customHeight="1" x14ac:dyDescent="0.3">
      <c r="A15" s="139">
        <v>12</v>
      </c>
      <c r="B15" s="143">
        <v>12</v>
      </c>
      <c r="C15" s="137">
        <v>6</v>
      </c>
      <c r="D15" s="136"/>
      <c r="E15" s="135"/>
      <c r="F15" s="125" t="s">
        <v>575</v>
      </c>
      <c r="G15" s="134">
        <v>1</v>
      </c>
      <c r="H15" s="123" t="s">
        <v>561</v>
      </c>
      <c r="I15" s="123" t="s">
        <v>570</v>
      </c>
      <c r="J15" s="131"/>
      <c r="K15" s="125"/>
      <c r="L15" s="123"/>
      <c r="M15" s="133"/>
      <c r="N15" s="132"/>
      <c r="O15" s="133"/>
      <c r="P15" s="132"/>
      <c r="Q15" s="131"/>
      <c r="R15" s="130"/>
      <c r="S15" s="129"/>
      <c r="T15" s="130"/>
      <c r="U15" s="129"/>
      <c r="V15" s="128"/>
      <c r="W15" s="129"/>
      <c r="X15" s="128"/>
      <c r="Y15" s="127"/>
      <c r="Z15" s="126" t="s">
        <v>529</v>
      </c>
      <c r="AA15" s="125"/>
      <c r="AB15" s="124"/>
      <c r="AC15" s="123"/>
      <c r="AD15" s="124"/>
      <c r="AE15" s="123"/>
      <c r="AF15" s="124"/>
      <c r="AG15" s="123"/>
      <c r="AH15" s="124"/>
      <c r="AI15" s="123"/>
      <c r="AJ15" s="124"/>
      <c r="AK15" s="123"/>
      <c r="AL15" s="124"/>
      <c r="AM15" s="123"/>
      <c r="AN15" s="124"/>
      <c r="AO15" s="123"/>
      <c r="AP15" s="124"/>
      <c r="AQ15" s="123"/>
      <c r="AR15" s="124"/>
      <c r="AS15" s="123"/>
      <c r="AT15" s="122"/>
      <c r="AU15" s="121"/>
    </row>
    <row r="16" spans="1:47" s="87" customFormat="1" ht="33" hidden="1" customHeight="1" x14ac:dyDescent="0.3">
      <c r="A16" s="139">
        <v>13</v>
      </c>
      <c r="B16" s="143">
        <v>13</v>
      </c>
      <c r="C16" s="137">
        <v>5</v>
      </c>
      <c r="D16" s="136"/>
      <c r="E16" s="135"/>
      <c r="F16" s="125" t="s">
        <v>575</v>
      </c>
      <c r="G16" s="134">
        <v>1</v>
      </c>
      <c r="H16" s="123" t="s">
        <v>561</v>
      </c>
      <c r="I16" s="123" t="s">
        <v>570</v>
      </c>
      <c r="J16" s="131"/>
      <c r="K16" s="125"/>
      <c r="L16" s="123"/>
      <c r="M16" s="133"/>
      <c r="N16" s="132"/>
      <c r="O16" s="133"/>
      <c r="P16" s="132"/>
      <c r="Q16" s="131"/>
      <c r="R16" s="130"/>
      <c r="S16" s="129"/>
      <c r="T16" s="130"/>
      <c r="U16" s="129"/>
      <c r="V16" s="128"/>
      <c r="W16" s="129"/>
      <c r="X16" s="128"/>
      <c r="Y16" s="127"/>
      <c r="Z16" s="126"/>
      <c r="AA16" s="125"/>
      <c r="AB16" s="124"/>
      <c r="AC16" s="123"/>
      <c r="AD16" s="124"/>
      <c r="AE16" s="123">
        <v>1</v>
      </c>
      <c r="AF16" s="124"/>
      <c r="AG16" s="123"/>
      <c r="AH16" s="124"/>
      <c r="AI16" s="123"/>
      <c r="AJ16" s="124"/>
      <c r="AK16" s="123"/>
      <c r="AL16" s="124"/>
      <c r="AM16" s="123">
        <v>1</v>
      </c>
      <c r="AN16" s="124"/>
      <c r="AO16" s="123"/>
      <c r="AP16" s="124"/>
      <c r="AQ16" s="123"/>
      <c r="AR16" s="124"/>
      <c r="AS16" s="123"/>
      <c r="AT16" s="122"/>
      <c r="AU16" s="121" t="s">
        <v>579</v>
      </c>
    </row>
    <row r="17" spans="1:47" s="87" customFormat="1" ht="33" hidden="1" customHeight="1" x14ac:dyDescent="0.3">
      <c r="A17" s="139">
        <v>14</v>
      </c>
      <c r="B17" s="143">
        <v>14</v>
      </c>
      <c r="C17" s="137">
        <v>5</v>
      </c>
      <c r="D17" s="136"/>
      <c r="E17" s="135"/>
      <c r="F17" s="125" t="s">
        <v>575</v>
      </c>
      <c r="G17" s="134">
        <v>1</v>
      </c>
      <c r="H17" s="123" t="s">
        <v>561</v>
      </c>
      <c r="I17" s="123" t="s">
        <v>570</v>
      </c>
      <c r="J17" s="131"/>
      <c r="K17" s="125"/>
      <c r="L17" s="123"/>
      <c r="M17" s="133"/>
      <c r="N17" s="132"/>
      <c r="O17" s="133"/>
      <c r="P17" s="132"/>
      <c r="Q17" s="131"/>
      <c r="R17" s="130"/>
      <c r="S17" s="129"/>
      <c r="T17" s="130"/>
      <c r="U17" s="129"/>
      <c r="V17" s="128"/>
      <c r="W17" s="129"/>
      <c r="X17" s="128"/>
      <c r="Y17" s="127"/>
      <c r="Z17" s="126" t="s">
        <v>529</v>
      </c>
      <c r="AA17" s="125"/>
      <c r="AB17" s="124"/>
      <c r="AC17" s="123"/>
      <c r="AD17" s="124"/>
      <c r="AE17" s="123"/>
      <c r="AF17" s="124"/>
      <c r="AG17" s="123"/>
      <c r="AH17" s="124"/>
      <c r="AI17" s="123"/>
      <c r="AJ17" s="124"/>
      <c r="AK17" s="123"/>
      <c r="AL17" s="124"/>
      <c r="AM17" s="123"/>
      <c r="AN17" s="124"/>
      <c r="AO17" s="123"/>
      <c r="AP17" s="124"/>
      <c r="AQ17" s="123"/>
      <c r="AR17" s="124"/>
      <c r="AS17" s="123"/>
      <c r="AT17" s="122"/>
      <c r="AU17" s="121"/>
    </row>
    <row r="18" spans="1:47" s="87" customFormat="1" ht="33" hidden="1" customHeight="1" x14ac:dyDescent="0.3">
      <c r="A18" s="139">
        <v>15</v>
      </c>
      <c r="B18" s="143">
        <v>15</v>
      </c>
      <c r="C18" s="137">
        <v>5</v>
      </c>
      <c r="D18" s="136"/>
      <c r="E18" s="135"/>
      <c r="F18" s="125" t="s">
        <v>575</v>
      </c>
      <c r="G18" s="134">
        <v>1</v>
      </c>
      <c r="H18" s="123" t="s">
        <v>561</v>
      </c>
      <c r="I18" s="123" t="s">
        <v>570</v>
      </c>
      <c r="J18" s="131"/>
      <c r="K18" s="125"/>
      <c r="L18" s="123"/>
      <c r="M18" s="133"/>
      <c r="N18" s="132"/>
      <c r="O18" s="133"/>
      <c r="P18" s="132"/>
      <c r="Q18" s="131"/>
      <c r="R18" s="130"/>
      <c r="S18" s="129"/>
      <c r="T18" s="130"/>
      <c r="U18" s="129"/>
      <c r="V18" s="128"/>
      <c r="W18" s="129"/>
      <c r="X18" s="128"/>
      <c r="Y18" s="127"/>
      <c r="Z18" s="126"/>
      <c r="AA18" s="125"/>
      <c r="AB18" s="124"/>
      <c r="AC18" s="123"/>
      <c r="AD18" s="124"/>
      <c r="AE18" s="123"/>
      <c r="AF18" s="124"/>
      <c r="AG18" s="123"/>
      <c r="AH18" s="124"/>
      <c r="AI18" s="123"/>
      <c r="AJ18" s="124"/>
      <c r="AK18" s="123"/>
      <c r="AL18" s="124"/>
      <c r="AM18" s="123">
        <v>1</v>
      </c>
      <c r="AN18" s="124"/>
      <c r="AO18" s="123"/>
      <c r="AP18" s="124"/>
      <c r="AQ18" s="123"/>
      <c r="AR18" s="124"/>
      <c r="AS18" s="123"/>
      <c r="AT18" s="122"/>
      <c r="AU18" s="121"/>
    </row>
    <row r="19" spans="1:47" s="87" customFormat="1" ht="33" customHeight="1" x14ac:dyDescent="0.3">
      <c r="A19" s="139">
        <v>16</v>
      </c>
      <c r="B19" s="143">
        <v>16</v>
      </c>
      <c r="C19" s="137">
        <v>5</v>
      </c>
      <c r="D19" s="136"/>
      <c r="E19" s="135" t="s">
        <v>578</v>
      </c>
      <c r="F19" s="125" t="s">
        <v>170</v>
      </c>
      <c r="G19" s="134">
        <v>2</v>
      </c>
      <c r="H19" s="123" t="s">
        <v>561</v>
      </c>
      <c r="I19" s="123" t="s">
        <v>576</v>
      </c>
      <c r="J19" s="131"/>
      <c r="K19" s="125"/>
      <c r="L19" s="123"/>
      <c r="M19" s="133"/>
      <c r="N19" s="132"/>
      <c r="O19" s="133"/>
      <c r="P19" s="132"/>
      <c r="Q19" s="131"/>
      <c r="R19" s="130"/>
      <c r="S19" s="129"/>
      <c r="T19" s="130"/>
      <c r="U19" s="129"/>
      <c r="V19" s="128"/>
      <c r="W19" s="129"/>
      <c r="X19" s="128"/>
      <c r="Y19" s="127"/>
      <c r="Z19" s="126" t="s">
        <v>529</v>
      </c>
      <c r="AA19" s="125"/>
      <c r="AB19" s="124"/>
      <c r="AC19" s="123"/>
      <c r="AD19" s="124"/>
      <c r="AE19" s="123"/>
      <c r="AF19" s="124"/>
      <c r="AG19" s="123"/>
      <c r="AH19" s="124"/>
      <c r="AI19" s="123"/>
      <c r="AJ19" s="124"/>
      <c r="AK19" s="123"/>
      <c r="AL19" s="124"/>
      <c r="AM19" s="123"/>
      <c r="AN19" s="124"/>
      <c r="AO19" s="123"/>
      <c r="AP19" s="124"/>
      <c r="AQ19" s="123"/>
      <c r="AR19" s="124"/>
      <c r="AS19" s="123"/>
      <c r="AT19" s="122"/>
      <c r="AU19" s="121"/>
    </row>
    <row r="20" spans="1:47" s="87" customFormat="1" ht="33" hidden="1" customHeight="1" x14ac:dyDescent="0.3">
      <c r="A20" s="140">
        <v>17</v>
      </c>
      <c r="B20" s="143">
        <v>17</v>
      </c>
      <c r="C20" s="137">
        <v>5</v>
      </c>
      <c r="D20" s="136"/>
      <c r="E20" s="135" t="s">
        <v>571</v>
      </c>
      <c r="F20" s="125" t="s">
        <v>163</v>
      </c>
      <c r="G20" s="134">
        <v>1</v>
      </c>
      <c r="H20" s="123" t="s">
        <v>561</v>
      </c>
      <c r="I20" s="123" t="s">
        <v>570</v>
      </c>
      <c r="J20" s="131"/>
      <c r="K20" s="125"/>
      <c r="L20" s="123"/>
      <c r="M20" s="133"/>
      <c r="N20" s="132"/>
      <c r="O20" s="133"/>
      <c r="P20" s="132"/>
      <c r="Q20" s="131"/>
      <c r="R20" s="130"/>
      <c r="S20" s="129"/>
      <c r="T20" s="130"/>
      <c r="U20" s="129"/>
      <c r="V20" s="128"/>
      <c r="W20" s="129"/>
      <c r="X20" s="128"/>
      <c r="Y20" s="127"/>
      <c r="Z20" s="126" t="s">
        <v>529</v>
      </c>
      <c r="AA20" s="125"/>
      <c r="AB20" s="124"/>
      <c r="AC20" s="123"/>
      <c r="AD20" s="124"/>
      <c r="AE20" s="123"/>
      <c r="AF20" s="124"/>
      <c r="AG20" s="123"/>
      <c r="AH20" s="124"/>
      <c r="AI20" s="123"/>
      <c r="AJ20" s="124"/>
      <c r="AK20" s="123"/>
      <c r="AL20" s="124"/>
      <c r="AM20" s="123"/>
      <c r="AN20" s="124"/>
      <c r="AO20" s="123"/>
      <c r="AP20" s="124"/>
      <c r="AQ20" s="123"/>
      <c r="AR20" s="124"/>
      <c r="AS20" s="123"/>
      <c r="AT20" s="122"/>
      <c r="AU20" s="121"/>
    </row>
    <row r="21" spans="1:47" s="87" customFormat="1" ht="33" hidden="1" customHeight="1" x14ac:dyDescent="0.3">
      <c r="A21" s="139">
        <v>18</v>
      </c>
      <c r="B21" s="143">
        <v>18</v>
      </c>
      <c r="C21" s="137">
        <v>5</v>
      </c>
      <c r="D21" s="136"/>
      <c r="E21" s="135" t="s">
        <v>571</v>
      </c>
      <c r="F21" s="125" t="s">
        <v>575</v>
      </c>
      <c r="G21" s="134">
        <v>1</v>
      </c>
      <c r="H21" s="123" t="s">
        <v>561</v>
      </c>
      <c r="I21" s="123" t="s">
        <v>570</v>
      </c>
      <c r="J21" s="131"/>
      <c r="K21" s="125"/>
      <c r="L21" s="123"/>
      <c r="M21" s="133"/>
      <c r="N21" s="132"/>
      <c r="O21" s="133"/>
      <c r="P21" s="132"/>
      <c r="Q21" s="131"/>
      <c r="R21" s="130"/>
      <c r="S21" s="129"/>
      <c r="T21" s="130"/>
      <c r="U21" s="129"/>
      <c r="V21" s="128"/>
      <c r="W21" s="129"/>
      <c r="X21" s="128"/>
      <c r="Y21" s="127"/>
      <c r="Z21" s="126" t="s">
        <v>529</v>
      </c>
      <c r="AA21" s="125"/>
      <c r="AB21" s="124"/>
      <c r="AC21" s="123"/>
      <c r="AD21" s="124"/>
      <c r="AE21" s="123"/>
      <c r="AF21" s="124"/>
      <c r="AG21" s="123"/>
      <c r="AH21" s="124"/>
      <c r="AI21" s="123"/>
      <c r="AJ21" s="124"/>
      <c r="AK21" s="123"/>
      <c r="AL21" s="124"/>
      <c r="AM21" s="123"/>
      <c r="AN21" s="124"/>
      <c r="AO21" s="123"/>
      <c r="AP21" s="124"/>
      <c r="AQ21" s="123"/>
      <c r="AR21" s="124"/>
      <c r="AS21" s="123"/>
      <c r="AT21" s="122"/>
      <c r="AU21" s="121"/>
    </row>
    <row r="22" spans="1:47" s="87" customFormat="1" ht="33" hidden="1" customHeight="1" x14ac:dyDescent="0.3">
      <c r="A22" s="139">
        <v>19</v>
      </c>
      <c r="B22" s="143">
        <v>19</v>
      </c>
      <c r="C22" s="137">
        <v>5</v>
      </c>
      <c r="D22" s="136"/>
      <c r="E22" s="135" t="s">
        <v>577</v>
      </c>
      <c r="F22" s="125" t="s">
        <v>163</v>
      </c>
      <c r="G22" s="134">
        <v>1</v>
      </c>
      <c r="H22" s="123" t="s">
        <v>561</v>
      </c>
      <c r="I22" s="123" t="s">
        <v>572</v>
      </c>
      <c r="J22" s="131"/>
      <c r="K22" s="125"/>
      <c r="L22" s="123"/>
      <c r="M22" s="133"/>
      <c r="N22" s="132"/>
      <c r="O22" s="133"/>
      <c r="P22" s="132"/>
      <c r="Q22" s="131"/>
      <c r="R22" s="130"/>
      <c r="S22" s="129"/>
      <c r="T22" s="130"/>
      <c r="U22" s="129"/>
      <c r="V22" s="128"/>
      <c r="W22" s="129"/>
      <c r="X22" s="128"/>
      <c r="Y22" s="127"/>
      <c r="Z22" s="126" t="s">
        <v>529</v>
      </c>
      <c r="AA22" s="125"/>
      <c r="AB22" s="124"/>
      <c r="AC22" s="123"/>
      <c r="AD22" s="124"/>
      <c r="AE22" s="123"/>
      <c r="AF22" s="124"/>
      <c r="AG22" s="123"/>
      <c r="AH22" s="124"/>
      <c r="AI22" s="123"/>
      <c r="AJ22" s="124"/>
      <c r="AK22" s="123"/>
      <c r="AL22" s="124"/>
      <c r="AM22" s="123"/>
      <c r="AN22" s="124"/>
      <c r="AO22" s="123"/>
      <c r="AP22" s="124"/>
      <c r="AQ22" s="123"/>
      <c r="AR22" s="124"/>
      <c r="AS22" s="123"/>
      <c r="AT22" s="122"/>
      <c r="AU22" s="121"/>
    </row>
    <row r="23" spans="1:47" s="87" customFormat="1" ht="33" hidden="1" customHeight="1" x14ac:dyDescent="0.3">
      <c r="A23" s="139">
        <v>20</v>
      </c>
      <c r="B23" s="143">
        <v>20</v>
      </c>
      <c r="C23" s="137">
        <v>5</v>
      </c>
      <c r="D23" s="136"/>
      <c r="E23" s="135" t="s">
        <v>571</v>
      </c>
      <c r="F23" s="125" t="s">
        <v>163</v>
      </c>
      <c r="G23" s="134">
        <v>1</v>
      </c>
      <c r="H23" s="123" t="s">
        <v>561</v>
      </c>
      <c r="I23" s="123" t="s">
        <v>576</v>
      </c>
      <c r="J23" s="131"/>
      <c r="K23" s="125"/>
      <c r="L23" s="123"/>
      <c r="M23" s="133"/>
      <c r="N23" s="132"/>
      <c r="O23" s="133"/>
      <c r="P23" s="132"/>
      <c r="Q23" s="131"/>
      <c r="R23" s="130"/>
      <c r="S23" s="129"/>
      <c r="T23" s="130"/>
      <c r="U23" s="129"/>
      <c r="V23" s="128"/>
      <c r="W23" s="129"/>
      <c r="X23" s="128"/>
      <c r="Y23" s="127"/>
      <c r="Z23" s="126"/>
      <c r="AA23" s="125"/>
      <c r="AB23" s="124"/>
      <c r="AC23" s="123"/>
      <c r="AD23" s="124"/>
      <c r="AE23" s="123"/>
      <c r="AF23" s="124"/>
      <c r="AG23" s="123"/>
      <c r="AH23" s="124"/>
      <c r="AI23" s="123"/>
      <c r="AJ23" s="124"/>
      <c r="AK23" s="123"/>
      <c r="AL23" s="124"/>
      <c r="AM23" s="123"/>
      <c r="AN23" s="124"/>
      <c r="AO23" s="123"/>
      <c r="AP23" s="124"/>
      <c r="AQ23" s="123"/>
      <c r="AR23" s="124"/>
      <c r="AS23" s="123"/>
      <c r="AT23" s="122"/>
      <c r="AU23" s="121" t="s">
        <v>564</v>
      </c>
    </row>
    <row r="24" spans="1:47" s="87" customFormat="1" ht="33" hidden="1" customHeight="1" x14ac:dyDescent="0.3">
      <c r="A24" s="139">
        <v>21</v>
      </c>
      <c r="B24" s="143">
        <v>21</v>
      </c>
      <c r="C24" s="137">
        <v>3</v>
      </c>
      <c r="D24" s="136"/>
      <c r="E24" s="135" t="s">
        <v>571</v>
      </c>
      <c r="F24" s="125" t="s">
        <v>575</v>
      </c>
      <c r="G24" s="134">
        <v>1</v>
      </c>
      <c r="H24" s="123" t="s">
        <v>561</v>
      </c>
      <c r="I24" s="123" t="s">
        <v>570</v>
      </c>
      <c r="J24" s="131"/>
      <c r="K24" s="125"/>
      <c r="L24" s="123"/>
      <c r="M24" s="133"/>
      <c r="N24" s="132"/>
      <c r="O24" s="133"/>
      <c r="P24" s="132"/>
      <c r="Q24" s="131"/>
      <c r="R24" s="130"/>
      <c r="S24" s="129"/>
      <c r="T24" s="130"/>
      <c r="U24" s="129"/>
      <c r="V24" s="128"/>
      <c r="W24" s="129"/>
      <c r="X24" s="128"/>
      <c r="Y24" s="127"/>
      <c r="Z24" s="126" t="s">
        <v>529</v>
      </c>
      <c r="AA24" s="125"/>
      <c r="AB24" s="124"/>
      <c r="AC24" s="123"/>
      <c r="AD24" s="124"/>
      <c r="AE24" s="123"/>
      <c r="AF24" s="124"/>
      <c r="AG24" s="123"/>
      <c r="AH24" s="124"/>
      <c r="AI24" s="123"/>
      <c r="AJ24" s="124"/>
      <c r="AK24" s="123"/>
      <c r="AL24" s="124"/>
      <c r="AM24" s="123"/>
      <c r="AN24" s="124"/>
      <c r="AO24" s="123"/>
      <c r="AP24" s="124"/>
      <c r="AQ24" s="123"/>
      <c r="AR24" s="124"/>
      <c r="AS24" s="123"/>
      <c r="AT24" s="122"/>
      <c r="AU24" s="121"/>
    </row>
    <row r="25" spans="1:47" s="87" customFormat="1" ht="33" hidden="1" customHeight="1" x14ac:dyDescent="0.3">
      <c r="A25" s="139">
        <v>22</v>
      </c>
      <c r="B25" s="143">
        <v>22</v>
      </c>
      <c r="C25" s="137">
        <v>3</v>
      </c>
      <c r="D25" s="136"/>
      <c r="E25" s="135"/>
      <c r="F25" s="125" t="s">
        <v>575</v>
      </c>
      <c r="G25" s="134">
        <v>1</v>
      </c>
      <c r="H25" s="123" t="s">
        <v>561</v>
      </c>
      <c r="I25" s="123" t="s">
        <v>570</v>
      </c>
      <c r="J25" s="131"/>
      <c r="K25" s="125"/>
      <c r="L25" s="123"/>
      <c r="M25" s="133"/>
      <c r="N25" s="132"/>
      <c r="O25" s="133"/>
      <c r="P25" s="132"/>
      <c r="Q25" s="131"/>
      <c r="R25" s="130"/>
      <c r="S25" s="129"/>
      <c r="T25" s="130"/>
      <c r="U25" s="129"/>
      <c r="V25" s="128"/>
      <c r="W25" s="129"/>
      <c r="X25" s="128"/>
      <c r="Y25" s="127"/>
      <c r="Z25" s="126" t="s">
        <v>529</v>
      </c>
      <c r="AA25" s="125"/>
      <c r="AB25" s="124"/>
      <c r="AC25" s="123"/>
      <c r="AD25" s="124"/>
      <c r="AE25" s="123"/>
      <c r="AF25" s="124"/>
      <c r="AG25" s="123"/>
      <c r="AH25" s="124"/>
      <c r="AI25" s="123"/>
      <c r="AJ25" s="124"/>
      <c r="AK25" s="123"/>
      <c r="AL25" s="124"/>
      <c r="AM25" s="123"/>
      <c r="AN25" s="124"/>
      <c r="AO25" s="123"/>
      <c r="AP25" s="124"/>
      <c r="AQ25" s="123"/>
      <c r="AR25" s="124"/>
      <c r="AS25" s="123"/>
      <c r="AT25" s="122"/>
      <c r="AU25" s="121"/>
    </row>
    <row r="26" spans="1:47" s="87" customFormat="1" ht="33" customHeight="1" x14ac:dyDescent="0.3">
      <c r="A26" s="139">
        <v>23</v>
      </c>
      <c r="B26" s="143">
        <v>23</v>
      </c>
      <c r="C26" s="137">
        <v>3</v>
      </c>
      <c r="D26" s="136"/>
      <c r="E26" s="135"/>
      <c r="F26" s="125" t="s">
        <v>170</v>
      </c>
      <c r="G26" s="134">
        <v>2</v>
      </c>
      <c r="H26" s="123" t="s">
        <v>561</v>
      </c>
      <c r="I26" s="123" t="s">
        <v>574</v>
      </c>
      <c r="J26" s="131"/>
      <c r="K26" s="125"/>
      <c r="L26" s="123"/>
      <c r="M26" s="133"/>
      <c r="N26" s="132"/>
      <c r="O26" s="133"/>
      <c r="P26" s="132"/>
      <c r="Q26" s="131"/>
      <c r="R26" s="130"/>
      <c r="S26" s="129"/>
      <c r="T26" s="130"/>
      <c r="U26" s="129"/>
      <c r="V26" s="128"/>
      <c r="W26" s="129"/>
      <c r="X26" s="128"/>
      <c r="Y26" s="127"/>
      <c r="Z26" s="126" t="s">
        <v>529</v>
      </c>
      <c r="AA26" s="125"/>
      <c r="AB26" s="124"/>
      <c r="AC26" s="123"/>
      <c r="AD26" s="124"/>
      <c r="AE26" s="123"/>
      <c r="AF26" s="124"/>
      <c r="AG26" s="123"/>
      <c r="AH26" s="124"/>
      <c r="AI26" s="123"/>
      <c r="AJ26" s="124"/>
      <c r="AK26" s="123"/>
      <c r="AL26" s="124"/>
      <c r="AM26" s="123"/>
      <c r="AN26" s="124"/>
      <c r="AO26" s="123"/>
      <c r="AP26" s="124"/>
      <c r="AQ26" s="123"/>
      <c r="AR26" s="124"/>
      <c r="AS26" s="123"/>
      <c r="AT26" s="122"/>
      <c r="AU26" s="121"/>
    </row>
    <row r="27" spans="1:47" s="87" customFormat="1" ht="33" hidden="1" customHeight="1" x14ac:dyDescent="0.3">
      <c r="A27" s="139">
        <v>24</v>
      </c>
      <c r="B27" s="143">
        <v>24</v>
      </c>
      <c r="C27" s="137">
        <v>3</v>
      </c>
      <c r="D27" s="136"/>
      <c r="E27" s="135"/>
      <c r="F27" s="125" t="s">
        <v>163</v>
      </c>
      <c r="G27" s="134">
        <v>1</v>
      </c>
      <c r="H27" s="123" t="s">
        <v>561</v>
      </c>
      <c r="I27" s="123" t="s">
        <v>125</v>
      </c>
      <c r="J27" s="131"/>
      <c r="K27" s="125"/>
      <c r="L27" s="123"/>
      <c r="M27" s="133"/>
      <c r="N27" s="132"/>
      <c r="O27" s="133"/>
      <c r="P27" s="132"/>
      <c r="Q27" s="131"/>
      <c r="R27" s="130"/>
      <c r="S27" s="129"/>
      <c r="T27" s="130"/>
      <c r="U27" s="129"/>
      <c r="V27" s="128"/>
      <c r="W27" s="129"/>
      <c r="X27" s="128"/>
      <c r="Y27" s="127"/>
      <c r="Z27" s="126" t="s">
        <v>529</v>
      </c>
      <c r="AA27" s="125"/>
      <c r="AB27" s="124"/>
      <c r="AC27" s="123"/>
      <c r="AD27" s="124"/>
      <c r="AE27" s="123"/>
      <c r="AF27" s="124"/>
      <c r="AG27" s="123"/>
      <c r="AH27" s="124"/>
      <c r="AI27" s="123"/>
      <c r="AJ27" s="124"/>
      <c r="AK27" s="123"/>
      <c r="AL27" s="124"/>
      <c r="AM27" s="123"/>
      <c r="AN27" s="124"/>
      <c r="AO27" s="123"/>
      <c r="AP27" s="124"/>
      <c r="AQ27" s="123"/>
      <c r="AR27" s="124"/>
      <c r="AS27" s="123"/>
      <c r="AT27" s="122"/>
      <c r="AU27" s="121"/>
    </row>
    <row r="28" spans="1:47" s="87" customFormat="1" ht="33" hidden="1" customHeight="1" x14ac:dyDescent="0.3">
      <c r="A28" s="140">
        <v>25</v>
      </c>
      <c r="B28" s="143">
        <v>25</v>
      </c>
      <c r="C28" s="137">
        <v>3</v>
      </c>
      <c r="D28" s="136"/>
      <c r="E28" s="135"/>
      <c r="F28" s="125" t="s">
        <v>163</v>
      </c>
      <c r="G28" s="134">
        <v>1</v>
      </c>
      <c r="H28" s="123" t="s">
        <v>561</v>
      </c>
      <c r="I28" s="123" t="s">
        <v>572</v>
      </c>
      <c r="J28" s="131"/>
      <c r="K28" s="125"/>
      <c r="L28" s="123"/>
      <c r="M28" s="133"/>
      <c r="N28" s="132"/>
      <c r="O28" s="133"/>
      <c r="P28" s="132"/>
      <c r="Q28" s="131"/>
      <c r="R28" s="130"/>
      <c r="S28" s="129"/>
      <c r="T28" s="130"/>
      <c r="U28" s="129"/>
      <c r="V28" s="128"/>
      <c r="W28" s="129"/>
      <c r="X28" s="128"/>
      <c r="Y28" s="127"/>
      <c r="Z28" s="126" t="s">
        <v>529</v>
      </c>
      <c r="AA28" s="125"/>
      <c r="AB28" s="124"/>
      <c r="AC28" s="123"/>
      <c r="AD28" s="124"/>
      <c r="AE28" s="123"/>
      <c r="AF28" s="124"/>
      <c r="AG28" s="123"/>
      <c r="AH28" s="124"/>
      <c r="AI28" s="123"/>
      <c r="AJ28" s="124"/>
      <c r="AK28" s="123"/>
      <c r="AL28" s="124"/>
      <c r="AM28" s="123"/>
      <c r="AN28" s="124"/>
      <c r="AO28" s="123"/>
      <c r="AP28" s="124"/>
      <c r="AQ28" s="123"/>
      <c r="AR28" s="124"/>
      <c r="AS28" s="123"/>
      <c r="AT28" s="122"/>
      <c r="AU28" s="121"/>
    </row>
    <row r="29" spans="1:47" s="87" customFormat="1" ht="33" hidden="1" customHeight="1" x14ac:dyDescent="0.3">
      <c r="A29" s="139">
        <v>26</v>
      </c>
      <c r="B29" s="143">
        <v>26</v>
      </c>
      <c r="C29" s="137">
        <v>2</v>
      </c>
      <c r="D29" s="136"/>
      <c r="E29" s="135" t="s">
        <v>573</v>
      </c>
      <c r="F29" s="125" t="s">
        <v>163</v>
      </c>
      <c r="G29" s="134">
        <v>1</v>
      </c>
      <c r="H29" s="123" t="s">
        <v>561</v>
      </c>
      <c r="I29" s="123" t="s">
        <v>572</v>
      </c>
      <c r="J29" s="131"/>
      <c r="K29" s="125"/>
      <c r="L29" s="123"/>
      <c r="M29" s="133"/>
      <c r="N29" s="132"/>
      <c r="O29" s="133"/>
      <c r="P29" s="132"/>
      <c r="Q29" s="131"/>
      <c r="R29" s="130"/>
      <c r="S29" s="129"/>
      <c r="T29" s="130"/>
      <c r="U29" s="129"/>
      <c r="V29" s="128"/>
      <c r="W29" s="129"/>
      <c r="X29" s="128"/>
      <c r="Y29" s="127"/>
      <c r="Z29" s="126" t="s">
        <v>529</v>
      </c>
      <c r="AA29" s="125"/>
      <c r="AB29" s="124"/>
      <c r="AC29" s="123"/>
      <c r="AD29" s="124"/>
      <c r="AE29" s="123"/>
      <c r="AF29" s="124"/>
      <c r="AG29" s="123"/>
      <c r="AH29" s="124"/>
      <c r="AI29" s="123"/>
      <c r="AJ29" s="124"/>
      <c r="AK29" s="123"/>
      <c r="AL29" s="124"/>
      <c r="AM29" s="123"/>
      <c r="AN29" s="124"/>
      <c r="AO29" s="123"/>
      <c r="AP29" s="124"/>
      <c r="AQ29" s="123"/>
      <c r="AR29" s="124"/>
      <c r="AS29" s="123"/>
      <c r="AT29" s="122"/>
      <c r="AU29" s="121"/>
    </row>
    <row r="30" spans="1:47" s="87" customFormat="1" ht="33" hidden="1" customHeight="1" x14ac:dyDescent="0.3">
      <c r="A30" s="139">
        <v>27</v>
      </c>
      <c r="B30" s="143">
        <v>27</v>
      </c>
      <c r="C30" s="137">
        <v>2</v>
      </c>
      <c r="D30" s="136"/>
      <c r="E30" s="135"/>
      <c r="F30" s="125" t="s">
        <v>163</v>
      </c>
      <c r="G30" s="134">
        <v>1</v>
      </c>
      <c r="H30" s="123" t="s">
        <v>561</v>
      </c>
      <c r="I30" s="123" t="s">
        <v>125</v>
      </c>
      <c r="J30" s="131"/>
      <c r="K30" s="125"/>
      <c r="L30" s="123"/>
      <c r="M30" s="133"/>
      <c r="N30" s="132"/>
      <c r="O30" s="133"/>
      <c r="P30" s="132"/>
      <c r="Q30" s="131"/>
      <c r="R30" s="130"/>
      <c r="S30" s="129"/>
      <c r="T30" s="130"/>
      <c r="U30" s="129"/>
      <c r="V30" s="128"/>
      <c r="W30" s="129"/>
      <c r="X30" s="128"/>
      <c r="Y30" s="127"/>
      <c r="Z30" s="126" t="s">
        <v>529</v>
      </c>
      <c r="AA30" s="125"/>
      <c r="AB30" s="124"/>
      <c r="AC30" s="123"/>
      <c r="AD30" s="124"/>
      <c r="AE30" s="123"/>
      <c r="AF30" s="124"/>
      <c r="AG30" s="123"/>
      <c r="AH30" s="124"/>
      <c r="AI30" s="123"/>
      <c r="AJ30" s="124"/>
      <c r="AK30" s="123"/>
      <c r="AL30" s="124"/>
      <c r="AM30" s="123"/>
      <c r="AN30" s="124"/>
      <c r="AO30" s="123"/>
      <c r="AP30" s="124"/>
      <c r="AQ30" s="123"/>
      <c r="AR30" s="124"/>
      <c r="AS30" s="123"/>
      <c r="AT30" s="122"/>
      <c r="AU30" s="121"/>
    </row>
    <row r="31" spans="1:47" s="87" customFormat="1" ht="33" hidden="1" customHeight="1" x14ac:dyDescent="0.3">
      <c r="A31" s="139">
        <v>28</v>
      </c>
      <c r="B31" s="143">
        <v>28</v>
      </c>
      <c r="C31" s="137">
        <v>2</v>
      </c>
      <c r="D31" s="136"/>
      <c r="E31" s="135" t="s">
        <v>571</v>
      </c>
      <c r="F31" s="125" t="s">
        <v>163</v>
      </c>
      <c r="G31" s="134">
        <v>1</v>
      </c>
      <c r="H31" s="123" t="s">
        <v>561</v>
      </c>
      <c r="I31" s="123" t="s">
        <v>570</v>
      </c>
      <c r="J31" s="131"/>
      <c r="K31" s="125"/>
      <c r="L31" s="123"/>
      <c r="M31" s="133"/>
      <c r="N31" s="132"/>
      <c r="O31" s="133"/>
      <c r="P31" s="132"/>
      <c r="Q31" s="131"/>
      <c r="R31" s="130"/>
      <c r="S31" s="129"/>
      <c r="T31" s="130"/>
      <c r="U31" s="129"/>
      <c r="V31" s="128"/>
      <c r="W31" s="129"/>
      <c r="X31" s="128"/>
      <c r="Y31" s="127"/>
      <c r="Z31" s="126" t="s">
        <v>529</v>
      </c>
      <c r="AA31" s="125"/>
      <c r="AB31" s="124"/>
      <c r="AC31" s="123"/>
      <c r="AD31" s="124"/>
      <c r="AE31" s="123"/>
      <c r="AF31" s="124"/>
      <c r="AG31" s="123"/>
      <c r="AH31" s="124"/>
      <c r="AI31" s="123"/>
      <c r="AJ31" s="124"/>
      <c r="AK31" s="123"/>
      <c r="AL31" s="124"/>
      <c r="AM31" s="123"/>
      <c r="AN31" s="124"/>
      <c r="AO31" s="123"/>
      <c r="AP31" s="124"/>
      <c r="AQ31" s="123"/>
      <c r="AR31" s="124"/>
      <c r="AS31" s="123"/>
      <c r="AT31" s="122"/>
      <c r="AU31" s="121"/>
    </row>
    <row r="32" spans="1:47" s="87" customFormat="1" ht="33" hidden="1" customHeight="1" x14ac:dyDescent="0.3">
      <c r="A32" s="139">
        <v>29</v>
      </c>
      <c r="B32" s="143">
        <v>29</v>
      </c>
      <c r="C32" s="137">
        <v>2</v>
      </c>
      <c r="D32" s="136"/>
      <c r="E32" s="135" t="s">
        <v>571</v>
      </c>
      <c r="F32" s="125" t="s">
        <v>163</v>
      </c>
      <c r="G32" s="134">
        <v>1</v>
      </c>
      <c r="H32" s="123" t="s">
        <v>561</v>
      </c>
      <c r="I32" s="123" t="s">
        <v>570</v>
      </c>
      <c r="J32" s="131"/>
      <c r="K32" s="125"/>
      <c r="L32" s="123"/>
      <c r="M32" s="133"/>
      <c r="N32" s="132"/>
      <c r="O32" s="133"/>
      <c r="P32" s="132"/>
      <c r="Q32" s="131"/>
      <c r="R32" s="130"/>
      <c r="S32" s="129"/>
      <c r="T32" s="130"/>
      <c r="U32" s="129"/>
      <c r="V32" s="128"/>
      <c r="W32" s="129"/>
      <c r="X32" s="128"/>
      <c r="Y32" s="127"/>
      <c r="Z32" s="126" t="s">
        <v>529</v>
      </c>
      <c r="AA32" s="125"/>
      <c r="AB32" s="124"/>
      <c r="AC32" s="123"/>
      <c r="AD32" s="124"/>
      <c r="AE32" s="123"/>
      <c r="AF32" s="124"/>
      <c r="AG32" s="123"/>
      <c r="AH32" s="124"/>
      <c r="AI32" s="123"/>
      <c r="AJ32" s="124"/>
      <c r="AK32" s="123"/>
      <c r="AL32" s="124"/>
      <c r="AM32" s="123"/>
      <c r="AN32" s="124"/>
      <c r="AO32" s="123"/>
      <c r="AP32" s="124"/>
      <c r="AQ32" s="123"/>
      <c r="AR32" s="124"/>
      <c r="AS32" s="123"/>
      <c r="AT32" s="122"/>
      <c r="AU32" s="121"/>
    </row>
    <row r="33" spans="1:47" s="87" customFormat="1" ht="33" hidden="1" customHeight="1" x14ac:dyDescent="0.3">
      <c r="A33" s="139">
        <v>30</v>
      </c>
      <c r="B33" s="143">
        <v>30</v>
      </c>
      <c r="C33" s="137">
        <v>1</v>
      </c>
      <c r="D33" s="136"/>
      <c r="E33" s="135" t="s">
        <v>571</v>
      </c>
      <c r="F33" s="125" t="s">
        <v>163</v>
      </c>
      <c r="G33" s="134">
        <v>1</v>
      </c>
      <c r="H33" s="123" t="s">
        <v>561</v>
      </c>
      <c r="I33" s="123" t="s">
        <v>570</v>
      </c>
      <c r="J33" s="131"/>
      <c r="K33" s="125"/>
      <c r="L33" s="123"/>
      <c r="M33" s="133"/>
      <c r="N33" s="132"/>
      <c r="O33" s="133"/>
      <c r="P33" s="132"/>
      <c r="Q33" s="131"/>
      <c r="R33" s="130"/>
      <c r="S33" s="129"/>
      <c r="T33" s="130"/>
      <c r="U33" s="129"/>
      <c r="V33" s="128"/>
      <c r="W33" s="129"/>
      <c r="X33" s="128"/>
      <c r="Y33" s="127"/>
      <c r="Z33" s="126" t="s">
        <v>529</v>
      </c>
      <c r="AA33" s="125"/>
      <c r="AB33" s="124"/>
      <c r="AC33" s="123"/>
      <c r="AD33" s="124"/>
      <c r="AE33" s="123"/>
      <c r="AF33" s="124"/>
      <c r="AG33" s="123"/>
      <c r="AH33" s="124"/>
      <c r="AI33" s="123"/>
      <c r="AJ33" s="124"/>
      <c r="AK33" s="123"/>
      <c r="AL33" s="124"/>
      <c r="AM33" s="123"/>
      <c r="AN33" s="124"/>
      <c r="AO33" s="123"/>
      <c r="AP33" s="124"/>
      <c r="AQ33" s="123"/>
      <c r="AR33" s="124"/>
      <c r="AS33" s="123"/>
      <c r="AT33" s="122"/>
      <c r="AU33" s="121"/>
    </row>
    <row r="34" spans="1:47" s="87" customFormat="1" ht="33" hidden="1" customHeight="1" x14ac:dyDescent="0.3">
      <c r="A34" s="139">
        <v>31</v>
      </c>
      <c r="B34" s="143">
        <v>31</v>
      </c>
      <c r="C34" s="137">
        <v>1</v>
      </c>
      <c r="D34" s="136"/>
      <c r="E34" s="135" t="s">
        <v>571</v>
      </c>
      <c r="F34" s="125" t="s">
        <v>163</v>
      </c>
      <c r="G34" s="134">
        <v>1</v>
      </c>
      <c r="H34" s="123" t="s">
        <v>561</v>
      </c>
      <c r="I34" s="123" t="s">
        <v>570</v>
      </c>
      <c r="J34" s="131"/>
      <c r="K34" s="125"/>
      <c r="L34" s="123"/>
      <c r="M34" s="133"/>
      <c r="N34" s="132"/>
      <c r="O34" s="133"/>
      <c r="P34" s="132"/>
      <c r="Q34" s="131"/>
      <c r="R34" s="130"/>
      <c r="S34" s="129"/>
      <c r="T34" s="130"/>
      <c r="U34" s="129"/>
      <c r="V34" s="128"/>
      <c r="W34" s="129"/>
      <c r="X34" s="128"/>
      <c r="Y34" s="127"/>
      <c r="Z34" s="126" t="s">
        <v>529</v>
      </c>
      <c r="AA34" s="125"/>
      <c r="AB34" s="124"/>
      <c r="AC34" s="123"/>
      <c r="AD34" s="124"/>
      <c r="AE34" s="123"/>
      <c r="AF34" s="124"/>
      <c r="AG34" s="123"/>
      <c r="AH34" s="124"/>
      <c r="AI34" s="123"/>
      <c r="AJ34" s="124"/>
      <c r="AK34" s="123"/>
      <c r="AL34" s="124"/>
      <c r="AM34" s="123"/>
      <c r="AN34" s="124"/>
      <c r="AO34" s="123"/>
      <c r="AP34" s="124"/>
      <c r="AQ34" s="123"/>
      <c r="AR34" s="124"/>
      <c r="AS34" s="123"/>
      <c r="AT34" s="122"/>
      <c r="AU34" s="121"/>
    </row>
    <row r="35" spans="1:47" s="87" customFormat="1" ht="33" hidden="1" customHeight="1" x14ac:dyDescent="0.3">
      <c r="A35" s="139">
        <v>32</v>
      </c>
      <c r="B35" s="143">
        <v>32</v>
      </c>
      <c r="C35" s="137">
        <v>1</v>
      </c>
      <c r="D35" s="136"/>
      <c r="E35" s="135"/>
      <c r="F35" s="125" t="s">
        <v>163</v>
      </c>
      <c r="G35" s="134">
        <v>1</v>
      </c>
      <c r="H35" s="123" t="s">
        <v>561</v>
      </c>
      <c r="I35" s="123" t="s">
        <v>125</v>
      </c>
      <c r="J35" s="131"/>
      <c r="K35" s="125"/>
      <c r="L35" s="123"/>
      <c r="M35" s="133"/>
      <c r="N35" s="132"/>
      <c r="O35" s="133"/>
      <c r="P35" s="132"/>
      <c r="Q35" s="131"/>
      <c r="R35" s="130"/>
      <c r="S35" s="129"/>
      <c r="T35" s="130"/>
      <c r="U35" s="129"/>
      <c r="V35" s="128"/>
      <c r="W35" s="129"/>
      <c r="X35" s="128"/>
      <c r="Y35" s="127"/>
      <c r="Z35" s="126" t="s">
        <v>529</v>
      </c>
      <c r="AA35" s="125"/>
      <c r="AB35" s="124"/>
      <c r="AC35" s="123"/>
      <c r="AD35" s="124"/>
      <c r="AE35" s="123"/>
      <c r="AF35" s="124"/>
      <c r="AG35" s="123"/>
      <c r="AH35" s="124"/>
      <c r="AI35" s="123"/>
      <c r="AJ35" s="124"/>
      <c r="AK35" s="123"/>
      <c r="AL35" s="124"/>
      <c r="AM35" s="123"/>
      <c r="AN35" s="124"/>
      <c r="AO35" s="123"/>
      <c r="AP35" s="124"/>
      <c r="AQ35" s="123"/>
      <c r="AR35" s="124"/>
      <c r="AS35" s="123"/>
      <c r="AT35" s="122"/>
      <c r="AU35" s="121"/>
    </row>
    <row r="36" spans="1:47" s="87" customFormat="1" ht="33" customHeight="1" x14ac:dyDescent="0.3">
      <c r="A36" s="140">
        <v>33</v>
      </c>
      <c r="B36" s="143">
        <v>33</v>
      </c>
      <c r="C36" s="137">
        <v>1</v>
      </c>
      <c r="D36" s="136"/>
      <c r="E36" s="135"/>
      <c r="F36" s="125" t="s">
        <v>170</v>
      </c>
      <c r="G36" s="134">
        <v>2</v>
      </c>
      <c r="H36" s="123" t="s">
        <v>561</v>
      </c>
      <c r="I36" s="123" t="s">
        <v>567</v>
      </c>
      <c r="J36" s="131"/>
      <c r="K36" s="125"/>
      <c r="L36" s="123" t="s">
        <v>569</v>
      </c>
      <c r="M36" s="133"/>
      <c r="N36" s="132"/>
      <c r="O36" s="133"/>
      <c r="P36" s="132"/>
      <c r="Q36" s="131"/>
      <c r="R36" s="130"/>
      <c r="S36" s="129"/>
      <c r="T36" s="130"/>
      <c r="U36" s="129"/>
      <c r="V36" s="128"/>
      <c r="W36" s="129"/>
      <c r="X36" s="128"/>
      <c r="Y36" s="127"/>
      <c r="Z36" s="126"/>
      <c r="AA36" s="125"/>
      <c r="AB36" s="124">
        <v>1</v>
      </c>
      <c r="AC36" s="123"/>
      <c r="AD36" s="124"/>
      <c r="AE36" s="123"/>
      <c r="AF36" s="124"/>
      <c r="AG36" s="123"/>
      <c r="AH36" s="124"/>
      <c r="AI36" s="123"/>
      <c r="AJ36" s="124"/>
      <c r="AK36" s="123"/>
      <c r="AL36" s="124"/>
      <c r="AM36" s="123"/>
      <c r="AN36" s="124"/>
      <c r="AO36" s="123"/>
      <c r="AP36" s="124"/>
      <c r="AQ36" s="123"/>
      <c r="AR36" s="124"/>
      <c r="AS36" s="123"/>
      <c r="AT36" s="122"/>
      <c r="AU36" s="121"/>
    </row>
    <row r="37" spans="1:47" s="87" customFormat="1" ht="33" hidden="1" customHeight="1" x14ac:dyDescent="0.3">
      <c r="A37" s="139">
        <v>34</v>
      </c>
      <c r="B37" s="143">
        <v>34</v>
      </c>
      <c r="C37" s="137" t="s">
        <v>568</v>
      </c>
      <c r="D37" s="136"/>
      <c r="E37" s="135"/>
      <c r="F37" s="125"/>
      <c r="G37" s="134">
        <v>1</v>
      </c>
      <c r="H37" s="123" t="s">
        <v>561</v>
      </c>
      <c r="I37" s="123"/>
      <c r="J37" s="131"/>
      <c r="K37" s="125"/>
      <c r="L37" s="123"/>
      <c r="M37" s="133"/>
      <c r="N37" s="132"/>
      <c r="O37" s="133"/>
      <c r="P37" s="132"/>
      <c r="Q37" s="131"/>
      <c r="R37" s="130"/>
      <c r="S37" s="129"/>
      <c r="T37" s="130"/>
      <c r="U37" s="129"/>
      <c r="V37" s="128"/>
      <c r="W37" s="129"/>
      <c r="X37" s="128"/>
      <c r="Y37" s="127"/>
      <c r="Z37" s="126"/>
      <c r="AA37" s="125"/>
      <c r="AB37" s="124"/>
      <c r="AC37" s="123"/>
      <c r="AD37" s="124"/>
      <c r="AE37" s="123"/>
      <c r="AF37" s="124"/>
      <c r="AG37" s="123"/>
      <c r="AH37" s="124"/>
      <c r="AI37" s="123"/>
      <c r="AJ37" s="124"/>
      <c r="AK37" s="123"/>
      <c r="AL37" s="124"/>
      <c r="AM37" s="123"/>
      <c r="AN37" s="124"/>
      <c r="AO37" s="123"/>
      <c r="AP37" s="124"/>
      <c r="AQ37" s="123"/>
      <c r="AR37" s="124"/>
      <c r="AS37" s="123"/>
      <c r="AT37" s="122"/>
      <c r="AU37" s="121" t="s">
        <v>564</v>
      </c>
    </row>
    <row r="38" spans="1:47" s="87" customFormat="1" ht="33" hidden="1" customHeight="1" x14ac:dyDescent="0.3">
      <c r="A38" s="139">
        <v>35</v>
      </c>
      <c r="B38" s="143">
        <v>35</v>
      </c>
      <c r="C38" s="137" t="s">
        <v>568</v>
      </c>
      <c r="D38" s="136"/>
      <c r="E38" s="135"/>
      <c r="F38" s="125"/>
      <c r="G38" s="134">
        <v>1</v>
      </c>
      <c r="H38" s="123" t="s">
        <v>561</v>
      </c>
      <c r="I38" s="123"/>
      <c r="J38" s="131"/>
      <c r="K38" s="125"/>
      <c r="L38" s="123"/>
      <c r="M38" s="133"/>
      <c r="N38" s="132"/>
      <c r="O38" s="133"/>
      <c r="P38" s="132"/>
      <c r="Q38" s="131"/>
      <c r="R38" s="130"/>
      <c r="S38" s="129"/>
      <c r="T38" s="130"/>
      <c r="U38" s="129"/>
      <c r="V38" s="128"/>
      <c r="W38" s="129"/>
      <c r="X38" s="128"/>
      <c r="Y38" s="127"/>
      <c r="Z38" s="126"/>
      <c r="AA38" s="125"/>
      <c r="AB38" s="124"/>
      <c r="AC38" s="123"/>
      <c r="AD38" s="124"/>
      <c r="AE38" s="123"/>
      <c r="AF38" s="124"/>
      <c r="AG38" s="123"/>
      <c r="AH38" s="124"/>
      <c r="AI38" s="123"/>
      <c r="AJ38" s="124"/>
      <c r="AK38" s="123"/>
      <c r="AL38" s="124"/>
      <c r="AM38" s="123"/>
      <c r="AN38" s="124"/>
      <c r="AO38" s="123"/>
      <c r="AP38" s="124"/>
      <c r="AQ38" s="123"/>
      <c r="AR38" s="124"/>
      <c r="AS38" s="123"/>
      <c r="AT38" s="122"/>
      <c r="AU38" s="121" t="s">
        <v>564</v>
      </c>
    </row>
    <row r="39" spans="1:47" s="87" customFormat="1" ht="33" hidden="1" customHeight="1" x14ac:dyDescent="0.3">
      <c r="A39" s="139">
        <v>36</v>
      </c>
      <c r="B39" s="143">
        <v>36</v>
      </c>
      <c r="C39" s="137" t="s">
        <v>568</v>
      </c>
      <c r="D39" s="136"/>
      <c r="E39" s="135"/>
      <c r="F39" s="125" t="s">
        <v>163</v>
      </c>
      <c r="G39" s="134">
        <v>1</v>
      </c>
      <c r="H39" s="123" t="s">
        <v>561</v>
      </c>
      <c r="I39" s="123" t="s">
        <v>567</v>
      </c>
      <c r="J39" s="131"/>
      <c r="K39" s="125"/>
      <c r="L39" s="123"/>
      <c r="M39" s="133"/>
      <c r="N39" s="132"/>
      <c r="O39" s="133"/>
      <c r="P39" s="132"/>
      <c r="Q39" s="131"/>
      <c r="R39" s="130"/>
      <c r="S39" s="129"/>
      <c r="T39" s="130"/>
      <c r="U39" s="129"/>
      <c r="V39" s="128"/>
      <c r="W39" s="129"/>
      <c r="X39" s="128"/>
      <c r="Y39" s="127"/>
      <c r="Z39" s="126"/>
      <c r="AA39" s="125"/>
      <c r="AB39" s="124"/>
      <c r="AC39" s="123"/>
      <c r="AD39" s="124"/>
      <c r="AE39" s="123"/>
      <c r="AF39" s="124"/>
      <c r="AG39" s="123"/>
      <c r="AH39" s="124"/>
      <c r="AI39" s="123"/>
      <c r="AJ39" s="124"/>
      <c r="AK39" s="123"/>
      <c r="AL39" s="124"/>
      <c r="AM39" s="123"/>
      <c r="AN39" s="124"/>
      <c r="AO39" s="123"/>
      <c r="AP39" s="124"/>
      <c r="AQ39" s="123"/>
      <c r="AR39" s="124"/>
      <c r="AS39" s="123"/>
      <c r="AT39" s="122"/>
      <c r="AU39" s="121" t="s">
        <v>564</v>
      </c>
    </row>
    <row r="40" spans="1:47" s="87" customFormat="1" ht="33" hidden="1" customHeight="1" x14ac:dyDescent="0.3">
      <c r="A40" s="139">
        <v>37</v>
      </c>
      <c r="B40" s="143">
        <v>37</v>
      </c>
      <c r="C40" s="137" t="s">
        <v>563</v>
      </c>
      <c r="D40" s="136"/>
      <c r="E40" s="135"/>
      <c r="F40" s="125"/>
      <c r="G40" s="134">
        <v>1</v>
      </c>
      <c r="H40" s="123" t="s">
        <v>561</v>
      </c>
      <c r="I40" s="123" t="s">
        <v>125</v>
      </c>
      <c r="J40" s="131"/>
      <c r="K40" s="125"/>
      <c r="L40" s="123"/>
      <c r="M40" s="133"/>
      <c r="N40" s="132"/>
      <c r="O40" s="133"/>
      <c r="P40" s="132"/>
      <c r="Q40" s="131"/>
      <c r="R40" s="130"/>
      <c r="S40" s="129"/>
      <c r="T40" s="130"/>
      <c r="U40" s="129"/>
      <c r="V40" s="128"/>
      <c r="W40" s="129"/>
      <c r="X40" s="128"/>
      <c r="Y40" s="127"/>
      <c r="Z40" s="126" t="s">
        <v>529</v>
      </c>
      <c r="AA40" s="125"/>
      <c r="AB40" s="124"/>
      <c r="AC40" s="123"/>
      <c r="AD40" s="124"/>
      <c r="AE40" s="123"/>
      <c r="AF40" s="124"/>
      <c r="AG40" s="123"/>
      <c r="AH40" s="124"/>
      <c r="AI40" s="123"/>
      <c r="AJ40" s="124"/>
      <c r="AK40" s="123"/>
      <c r="AL40" s="124"/>
      <c r="AM40" s="123"/>
      <c r="AN40" s="124"/>
      <c r="AO40" s="123"/>
      <c r="AP40" s="124"/>
      <c r="AQ40" s="123"/>
      <c r="AR40" s="124"/>
      <c r="AS40" s="123"/>
      <c r="AT40" s="122"/>
      <c r="AU40" s="121"/>
    </row>
    <row r="41" spans="1:47" s="87" customFormat="1" ht="33" hidden="1" customHeight="1" x14ac:dyDescent="0.3">
      <c r="A41" s="139">
        <v>38</v>
      </c>
      <c r="B41" s="143">
        <v>38</v>
      </c>
      <c r="C41" s="137" t="s">
        <v>563</v>
      </c>
      <c r="D41" s="136"/>
      <c r="E41" s="135"/>
      <c r="F41" s="125"/>
      <c r="G41" s="134">
        <v>1</v>
      </c>
      <c r="H41" s="123" t="s">
        <v>561</v>
      </c>
      <c r="I41" s="123" t="s">
        <v>125</v>
      </c>
      <c r="J41" s="131"/>
      <c r="K41" s="125"/>
      <c r="L41" s="123"/>
      <c r="M41" s="133"/>
      <c r="N41" s="132"/>
      <c r="O41" s="133"/>
      <c r="P41" s="132"/>
      <c r="Q41" s="131"/>
      <c r="R41" s="130"/>
      <c r="S41" s="129"/>
      <c r="T41" s="130"/>
      <c r="U41" s="129"/>
      <c r="V41" s="128"/>
      <c r="W41" s="129"/>
      <c r="X41" s="128"/>
      <c r="Y41" s="127"/>
      <c r="Z41" s="126" t="s">
        <v>529</v>
      </c>
      <c r="AA41" s="125"/>
      <c r="AB41" s="124"/>
      <c r="AC41" s="123"/>
      <c r="AD41" s="124"/>
      <c r="AE41" s="123"/>
      <c r="AF41" s="124"/>
      <c r="AG41" s="123"/>
      <c r="AH41" s="124"/>
      <c r="AI41" s="123"/>
      <c r="AJ41" s="124"/>
      <c r="AK41" s="123"/>
      <c r="AL41" s="124"/>
      <c r="AM41" s="123"/>
      <c r="AN41" s="124"/>
      <c r="AO41" s="123"/>
      <c r="AP41" s="124"/>
      <c r="AQ41" s="123"/>
      <c r="AR41" s="124"/>
      <c r="AS41" s="123"/>
      <c r="AT41" s="122"/>
      <c r="AU41" s="121"/>
    </row>
    <row r="42" spans="1:47" s="87" customFormat="1" ht="33" hidden="1" customHeight="1" x14ac:dyDescent="0.3">
      <c r="A42" s="139">
        <v>39</v>
      </c>
      <c r="B42" s="143">
        <v>39</v>
      </c>
      <c r="C42" s="137" t="s">
        <v>563</v>
      </c>
      <c r="D42" s="136"/>
      <c r="E42" s="135"/>
      <c r="F42" s="125" t="s">
        <v>163</v>
      </c>
      <c r="G42" s="134">
        <v>1</v>
      </c>
      <c r="H42" s="123" t="s">
        <v>566</v>
      </c>
      <c r="I42" s="123" t="s">
        <v>125</v>
      </c>
      <c r="J42" s="131"/>
      <c r="K42" s="125"/>
      <c r="L42" s="123"/>
      <c r="M42" s="133"/>
      <c r="N42" s="132"/>
      <c r="O42" s="133"/>
      <c r="P42" s="132"/>
      <c r="Q42" s="131"/>
      <c r="R42" s="130"/>
      <c r="S42" s="129"/>
      <c r="T42" s="130"/>
      <c r="U42" s="129"/>
      <c r="V42" s="128"/>
      <c r="W42" s="129"/>
      <c r="X42" s="128"/>
      <c r="Y42" s="127"/>
      <c r="Z42" s="126" t="s">
        <v>529</v>
      </c>
      <c r="AA42" s="125"/>
      <c r="AB42" s="124"/>
      <c r="AC42" s="123"/>
      <c r="AD42" s="124"/>
      <c r="AE42" s="123"/>
      <c r="AF42" s="124"/>
      <c r="AG42" s="123"/>
      <c r="AH42" s="124"/>
      <c r="AI42" s="123"/>
      <c r="AJ42" s="124"/>
      <c r="AK42" s="123"/>
      <c r="AL42" s="124"/>
      <c r="AM42" s="123"/>
      <c r="AN42" s="124"/>
      <c r="AO42" s="123"/>
      <c r="AP42" s="124"/>
      <c r="AQ42" s="123"/>
      <c r="AR42" s="124"/>
      <c r="AS42" s="123"/>
      <c r="AT42" s="122"/>
      <c r="AU42" s="121"/>
    </row>
    <row r="43" spans="1:47" s="87" customFormat="1" ht="33" hidden="1" customHeight="1" x14ac:dyDescent="0.3">
      <c r="A43" s="139">
        <v>40</v>
      </c>
      <c r="B43" s="143">
        <v>40</v>
      </c>
      <c r="C43" s="137" t="s">
        <v>563</v>
      </c>
      <c r="D43" s="136"/>
      <c r="E43" s="135"/>
      <c r="F43" s="125" t="s">
        <v>163</v>
      </c>
      <c r="G43" s="134">
        <v>1</v>
      </c>
      <c r="H43" s="123" t="s">
        <v>561</v>
      </c>
      <c r="I43" s="123" t="s">
        <v>125</v>
      </c>
      <c r="J43" s="131"/>
      <c r="K43" s="125"/>
      <c r="L43" s="123"/>
      <c r="M43" s="133"/>
      <c r="N43" s="132"/>
      <c r="O43" s="133"/>
      <c r="P43" s="132"/>
      <c r="Q43" s="131"/>
      <c r="R43" s="130"/>
      <c r="S43" s="129"/>
      <c r="T43" s="130"/>
      <c r="U43" s="129"/>
      <c r="V43" s="128"/>
      <c r="W43" s="129"/>
      <c r="X43" s="128"/>
      <c r="Y43" s="127"/>
      <c r="Z43" s="126" t="s">
        <v>529</v>
      </c>
      <c r="AA43" s="125"/>
      <c r="AB43" s="124"/>
      <c r="AC43" s="123"/>
      <c r="AD43" s="124"/>
      <c r="AE43" s="123"/>
      <c r="AF43" s="124"/>
      <c r="AG43" s="123"/>
      <c r="AH43" s="124"/>
      <c r="AI43" s="123"/>
      <c r="AJ43" s="124"/>
      <c r="AK43" s="123"/>
      <c r="AL43" s="124"/>
      <c r="AM43" s="123"/>
      <c r="AN43" s="124"/>
      <c r="AO43" s="123"/>
      <c r="AP43" s="124"/>
      <c r="AQ43" s="123"/>
      <c r="AR43" s="124"/>
      <c r="AS43" s="123"/>
      <c r="AT43" s="122"/>
      <c r="AU43" s="121"/>
    </row>
    <row r="44" spans="1:47" s="87" customFormat="1" ht="33" hidden="1" customHeight="1" x14ac:dyDescent="0.3">
      <c r="A44" s="140">
        <v>41</v>
      </c>
      <c r="B44" s="143">
        <v>41</v>
      </c>
      <c r="C44" s="137" t="s">
        <v>563</v>
      </c>
      <c r="D44" s="136"/>
      <c r="E44" s="135"/>
      <c r="F44" s="125" t="s">
        <v>163</v>
      </c>
      <c r="G44" s="134">
        <v>1</v>
      </c>
      <c r="H44" s="123" t="s">
        <v>561</v>
      </c>
      <c r="I44" s="123" t="s">
        <v>125</v>
      </c>
      <c r="J44" s="131"/>
      <c r="K44" s="125"/>
      <c r="L44" s="123"/>
      <c r="M44" s="133"/>
      <c r="N44" s="132"/>
      <c r="O44" s="133"/>
      <c r="P44" s="132"/>
      <c r="Q44" s="131"/>
      <c r="R44" s="130"/>
      <c r="S44" s="129"/>
      <c r="T44" s="130"/>
      <c r="U44" s="129"/>
      <c r="V44" s="128"/>
      <c r="W44" s="129"/>
      <c r="X44" s="128"/>
      <c r="Y44" s="127"/>
      <c r="Z44" s="126" t="s">
        <v>529</v>
      </c>
      <c r="AA44" s="125"/>
      <c r="AB44" s="124"/>
      <c r="AC44" s="123"/>
      <c r="AD44" s="124"/>
      <c r="AE44" s="123"/>
      <c r="AF44" s="124"/>
      <c r="AG44" s="123"/>
      <c r="AH44" s="124"/>
      <c r="AI44" s="123"/>
      <c r="AJ44" s="124"/>
      <c r="AK44" s="123"/>
      <c r="AL44" s="124"/>
      <c r="AM44" s="123"/>
      <c r="AN44" s="124"/>
      <c r="AO44" s="123"/>
      <c r="AP44" s="124"/>
      <c r="AQ44" s="123"/>
      <c r="AR44" s="124"/>
      <c r="AS44" s="123"/>
      <c r="AT44" s="122"/>
      <c r="AU44" s="121"/>
    </row>
    <row r="45" spans="1:47" s="87" customFormat="1" ht="33" hidden="1" customHeight="1" x14ac:dyDescent="0.3">
      <c r="A45" s="139">
        <v>42</v>
      </c>
      <c r="B45" s="143">
        <v>42</v>
      </c>
      <c r="C45" s="137" t="s">
        <v>563</v>
      </c>
      <c r="D45" s="136"/>
      <c r="E45" s="135"/>
      <c r="F45" s="125" t="s">
        <v>163</v>
      </c>
      <c r="G45" s="134">
        <v>1</v>
      </c>
      <c r="H45" s="123" t="s">
        <v>561</v>
      </c>
      <c r="I45" s="123" t="s">
        <v>125</v>
      </c>
      <c r="J45" s="131"/>
      <c r="K45" s="125"/>
      <c r="L45" s="123"/>
      <c r="M45" s="133"/>
      <c r="N45" s="132"/>
      <c r="O45" s="133"/>
      <c r="P45" s="132"/>
      <c r="Q45" s="131"/>
      <c r="R45" s="130"/>
      <c r="S45" s="129"/>
      <c r="T45" s="130"/>
      <c r="U45" s="129"/>
      <c r="V45" s="128"/>
      <c r="W45" s="129"/>
      <c r="X45" s="128"/>
      <c r="Y45" s="127"/>
      <c r="Z45" s="126" t="s">
        <v>529</v>
      </c>
      <c r="AA45" s="125"/>
      <c r="AB45" s="124"/>
      <c r="AC45" s="123"/>
      <c r="AD45" s="124"/>
      <c r="AE45" s="123"/>
      <c r="AF45" s="124"/>
      <c r="AG45" s="123"/>
      <c r="AH45" s="124"/>
      <c r="AI45" s="123"/>
      <c r="AJ45" s="124"/>
      <c r="AK45" s="123"/>
      <c r="AL45" s="124"/>
      <c r="AM45" s="123"/>
      <c r="AN45" s="124"/>
      <c r="AO45" s="123"/>
      <c r="AP45" s="124"/>
      <c r="AQ45" s="123"/>
      <c r="AR45" s="124"/>
      <c r="AS45" s="123"/>
      <c r="AT45" s="122"/>
      <c r="AU45" s="121"/>
    </row>
    <row r="46" spans="1:47" s="87" customFormat="1" ht="33" hidden="1" customHeight="1" x14ac:dyDescent="0.3">
      <c r="A46" s="139">
        <v>43</v>
      </c>
      <c r="B46" s="143">
        <v>43</v>
      </c>
      <c r="C46" s="137" t="s">
        <v>563</v>
      </c>
      <c r="D46" s="136"/>
      <c r="E46" s="135"/>
      <c r="F46" s="125" t="s">
        <v>163</v>
      </c>
      <c r="G46" s="134">
        <v>1</v>
      </c>
      <c r="H46" s="123" t="s">
        <v>561</v>
      </c>
      <c r="I46" s="123" t="s">
        <v>125</v>
      </c>
      <c r="J46" s="131"/>
      <c r="K46" s="125"/>
      <c r="L46" s="123"/>
      <c r="M46" s="133"/>
      <c r="N46" s="132"/>
      <c r="O46" s="133"/>
      <c r="P46" s="132"/>
      <c r="Q46" s="131"/>
      <c r="R46" s="130"/>
      <c r="S46" s="129"/>
      <c r="T46" s="130"/>
      <c r="U46" s="129"/>
      <c r="V46" s="128"/>
      <c r="W46" s="129"/>
      <c r="X46" s="128"/>
      <c r="Y46" s="127"/>
      <c r="Z46" s="126"/>
      <c r="AA46" s="125"/>
      <c r="AB46" s="124"/>
      <c r="AC46" s="123"/>
      <c r="AD46" s="124"/>
      <c r="AE46" s="123"/>
      <c r="AF46" s="124"/>
      <c r="AG46" s="123"/>
      <c r="AH46" s="124"/>
      <c r="AI46" s="123"/>
      <c r="AJ46" s="124"/>
      <c r="AK46" s="123"/>
      <c r="AL46" s="124"/>
      <c r="AM46" s="123"/>
      <c r="AN46" s="124"/>
      <c r="AO46" s="123"/>
      <c r="AP46" s="124"/>
      <c r="AQ46" s="123"/>
      <c r="AR46" s="124"/>
      <c r="AS46" s="123"/>
      <c r="AT46" s="122"/>
      <c r="AU46" s="121" t="s">
        <v>564</v>
      </c>
    </row>
    <row r="47" spans="1:47" s="87" customFormat="1" ht="33" hidden="1" customHeight="1" x14ac:dyDescent="0.3">
      <c r="A47" s="139">
        <v>44</v>
      </c>
      <c r="B47" s="143">
        <v>44</v>
      </c>
      <c r="C47" s="137" t="s">
        <v>563</v>
      </c>
      <c r="D47" s="136"/>
      <c r="E47" s="135" t="s">
        <v>565</v>
      </c>
      <c r="F47" s="125" t="s">
        <v>163</v>
      </c>
      <c r="G47" s="134">
        <v>1</v>
      </c>
      <c r="H47" s="123" t="s">
        <v>561</v>
      </c>
      <c r="I47" s="123" t="s">
        <v>125</v>
      </c>
      <c r="J47" s="131"/>
      <c r="K47" s="125"/>
      <c r="L47" s="123"/>
      <c r="M47" s="133"/>
      <c r="N47" s="132"/>
      <c r="O47" s="133"/>
      <c r="P47" s="132"/>
      <c r="Q47" s="131"/>
      <c r="R47" s="130"/>
      <c r="S47" s="129"/>
      <c r="T47" s="130"/>
      <c r="U47" s="129"/>
      <c r="V47" s="128"/>
      <c r="W47" s="129"/>
      <c r="X47" s="128"/>
      <c r="Y47" s="127"/>
      <c r="Z47" s="126"/>
      <c r="AA47" s="125"/>
      <c r="AB47" s="124"/>
      <c r="AC47" s="123"/>
      <c r="AD47" s="124"/>
      <c r="AE47" s="123"/>
      <c r="AF47" s="124"/>
      <c r="AG47" s="123"/>
      <c r="AH47" s="124"/>
      <c r="AI47" s="123"/>
      <c r="AJ47" s="124"/>
      <c r="AK47" s="123"/>
      <c r="AL47" s="124"/>
      <c r="AM47" s="123"/>
      <c r="AN47" s="124"/>
      <c r="AO47" s="123"/>
      <c r="AP47" s="124"/>
      <c r="AQ47" s="123"/>
      <c r="AR47" s="124"/>
      <c r="AS47" s="123"/>
      <c r="AT47" s="122"/>
      <c r="AU47" s="121" t="s">
        <v>564</v>
      </c>
    </row>
    <row r="48" spans="1:47" s="87" customFormat="1" ht="33" customHeight="1" x14ac:dyDescent="0.3">
      <c r="A48" s="139">
        <v>45</v>
      </c>
      <c r="B48" s="143">
        <v>45</v>
      </c>
      <c r="C48" s="137" t="s">
        <v>563</v>
      </c>
      <c r="D48" s="136"/>
      <c r="E48" s="135"/>
      <c r="F48" s="125" t="s">
        <v>562</v>
      </c>
      <c r="G48" s="134">
        <v>2</v>
      </c>
      <c r="H48" s="123" t="s">
        <v>561</v>
      </c>
      <c r="I48" s="141"/>
      <c r="J48" s="131"/>
      <c r="K48" s="125"/>
      <c r="L48" s="123"/>
      <c r="M48" s="133"/>
      <c r="N48" s="132"/>
      <c r="O48" s="133"/>
      <c r="P48" s="132"/>
      <c r="Q48" s="131"/>
      <c r="R48" s="130"/>
      <c r="S48" s="129"/>
      <c r="T48" s="130"/>
      <c r="U48" s="129"/>
      <c r="V48" s="128"/>
      <c r="W48" s="129"/>
      <c r="X48" s="128"/>
      <c r="Y48" s="127"/>
      <c r="Z48" s="126"/>
      <c r="AA48" s="125"/>
      <c r="AB48" s="124">
        <v>1</v>
      </c>
      <c r="AC48" s="123"/>
      <c r="AD48" s="124"/>
      <c r="AE48" s="123"/>
      <c r="AF48" s="124"/>
      <c r="AG48" s="123"/>
      <c r="AH48" s="124"/>
      <c r="AI48" s="123"/>
      <c r="AJ48" s="124"/>
      <c r="AK48" s="123"/>
      <c r="AL48" s="124"/>
      <c r="AM48" s="123">
        <v>2</v>
      </c>
      <c r="AN48" s="124"/>
      <c r="AO48" s="123"/>
      <c r="AP48" s="124"/>
      <c r="AQ48" s="123"/>
      <c r="AR48" s="124"/>
      <c r="AS48" s="123"/>
      <c r="AT48" s="122"/>
      <c r="AU48" s="121"/>
    </row>
    <row r="49" spans="1:50" s="87" customFormat="1" ht="33" hidden="1" customHeight="1" x14ac:dyDescent="0.3">
      <c r="A49" s="139"/>
      <c r="B49" s="138"/>
      <c r="C49" s="137"/>
      <c r="D49" s="136"/>
      <c r="E49" s="135"/>
      <c r="F49" s="125"/>
      <c r="G49" s="142"/>
      <c r="H49" s="141"/>
      <c r="I49" s="141"/>
      <c r="J49" s="131"/>
      <c r="K49" s="125"/>
      <c r="L49" s="123"/>
      <c r="M49" s="133"/>
      <c r="N49" s="132"/>
      <c r="O49" s="133"/>
      <c r="P49" s="132"/>
      <c r="Q49" s="131"/>
      <c r="R49" s="130"/>
      <c r="S49" s="129"/>
      <c r="T49" s="130"/>
      <c r="U49" s="129"/>
      <c r="V49" s="128"/>
      <c r="W49" s="129"/>
      <c r="X49" s="128"/>
      <c r="Y49" s="127"/>
      <c r="Z49" s="126"/>
      <c r="AA49" s="125"/>
      <c r="AB49" s="124"/>
      <c r="AC49" s="123"/>
      <c r="AD49" s="124"/>
      <c r="AE49" s="123"/>
      <c r="AF49" s="124"/>
      <c r="AG49" s="123"/>
      <c r="AH49" s="124"/>
      <c r="AI49" s="123"/>
      <c r="AJ49" s="124"/>
      <c r="AK49" s="123"/>
      <c r="AL49" s="124"/>
      <c r="AM49" s="123"/>
      <c r="AN49" s="124"/>
      <c r="AO49" s="123"/>
      <c r="AP49" s="124"/>
      <c r="AQ49" s="123"/>
      <c r="AR49" s="124"/>
      <c r="AS49" s="123"/>
      <c r="AT49" s="122"/>
      <c r="AU49" s="121"/>
    </row>
    <row r="50" spans="1:50" s="87" customFormat="1" ht="33" hidden="1" customHeight="1" x14ac:dyDescent="0.3">
      <c r="A50" s="139"/>
      <c r="B50" s="138"/>
      <c r="C50" s="137"/>
      <c r="D50" s="136"/>
      <c r="E50" s="135"/>
      <c r="F50" s="125"/>
      <c r="G50" s="134"/>
      <c r="H50" s="123"/>
      <c r="I50" s="123"/>
      <c r="J50" s="131"/>
      <c r="K50" s="125"/>
      <c r="L50" s="123"/>
      <c r="M50" s="133"/>
      <c r="N50" s="132"/>
      <c r="O50" s="133"/>
      <c r="P50" s="132"/>
      <c r="Q50" s="131"/>
      <c r="R50" s="130"/>
      <c r="S50" s="129"/>
      <c r="T50" s="130"/>
      <c r="U50" s="129"/>
      <c r="V50" s="128"/>
      <c r="W50" s="129"/>
      <c r="X50" s="128"/>
      <c r="Y50" s="127"/>
      <c r="Z50" s="126"/>
      <c r="AA50" s="125"/>
      <c r="AB50" s="124"/>
      <c r="AC50" s="123"/>
      <c r="AD50" s="124"/>
      <c r="AE50" s="123"/>
      <c r="AF50" s="124"/>
      <c r="AG50" s="123"/>
      <c r="AH50" s="124"/>
      <c r="AI50" s="123"/>
      <c r="AJ50" s="124"/>
      <c r="AK50" s="123"/>
      <c r="AL50" s="124"/>
      <c r="AM50" s="123"/>
      <c r="AN50" s="124"/>
      <c r="AO50" s="123"/>
      <c r="AP50" s="124"/>
      <c r="AQ50" s="123"/>
      <c r="AR50" s="124"/>
      <c r="AS50" s="123"/>
      <c r="AT50" s="122"/>
      <c r="AU50" s="121"/>
    </row>
    <row r="51" spans="1:50" s="87" customFormat="1" ht="33" hidden="1" customHeight="1" x14ac:dyDescent="0.3">
      <c r="A51" s="139"/>
      <c r="B51" s="138"/>
      <c r="C51" s="137"/>
      <c r="D51" s="136"/>
      <c r="E51" s="135"/>
      <c r="F51" s="125"/>
      <c r="G51" s="142"/>
      <c r="H51" s="141"/>
      <c r="I51" s="141"/>
      <c r="J51" s="131"/>
      <c r="K51" s="125"/>
      <c r="L51" s="123"/>
      <c r="M51" s="133"/>
      <c r="N51" s="132"/>
      <c r="O51" s="133"/>
      <c r="P51" s="132"/>
      <c r="Q51" s="131"/>
      <c r="R51" s="130"/>
      <c r="S51" s="129"/>
      <c r="T51" s="130"/>
      <c r="U51" s="129"/>
      <c r="V51" s="128"/>
      <c r="W51" s="129"/>
      <c r="X51" s="128"/>
      <c r="Y51" s="127"/>
      <c r="Z51" s="126"/>
      <c r="AA51" s="125"/>
      <c r="AB51" s="124"/>
      <c r="AC51" s="123"/>
      <c r="AD51" s="124"/>
      <c r="AE51" s="123"/>
      <c r="AF51" s="124"/>
      <c r="AG51" s="123"/>
      <c r="AH51" s="124"/>
      <c r="AI51" s="123"/>
      <c r="AJ51" s="124"/>
      <c r="AK51" s="123"/>
      <c r="AL51" s="124"/>
      <c r="AM51" s="123"/>
      <c r="AN51" s="124"/>
      <c r="AO51" s="123"/>
      <c r="AP51" s="124"/>
      <c r="AQ51" s="123"/>
      <c r="AR51" s="124"/>
      <c r="AS51" s="123"/>
      <c r="AT51" s="122"/>
      <c r="AU51" s="121"/>
    </row>
    <row r="52" spans="1:50" s="87" customFormat="1" ht="33" hidden="1" customHeight="1" x14ac:dyDescent="0.3">
      <c r="A52" s="140"/>
      <c r="B52" s="138"/>
      <c r="C52" s="137"/>
      <c r="D52" s="136"/>
      <c r="E52" s="135"/>
      <c r="F52" s="125"/>
      <c r="G52" s="134"/>
      <c r="H52" s="123"/>
      <c r="I52" s="123"/>
      <c r="J52" s="131"/>
      <c r="K52" s="125"/>
      <c r="L52" s="123"/>
      <c r="M52" s="133"/>
      <c r="N52" s="132"/>
      <c r="O52" s="133"/>
      <c r="P52" s="132"/>
      <c r="Q52" s="131"/>
      <c r="R52" s="130"/>
      <c r="S52" s="129"/>
      <c r="T52" s="130"/>
      <c r="U52" s="129"/>
      <c r="V52" s="128"/>
      <c r="W52" s="129"/>
      <c r="X52" s="128"/>
      <c r="Y52" s="127"/>
      <c r="Z52" s="126"/>
      <c r="AA52" s="125"/>
      <c r="AB52" s="124"/>
      <c r="AC52" s="123"/>
      <c r="AD52" s="124"/>
      <c r="AE52" s="123"/>
      <c r="AF52" s="124"/>
      <c r="AG52" s="123"/>
      <c r="AH52" s="124"/>
      <c r="AI52" s="123"/>
      <c r="AJ52" s="124"/>
      <c r="AK52" s="123"/>
      <c r="AL52" s="124"/>
      <c r="AM52" s="123"/>
      <c r="AN52" s="124"/>
      <c r="AO52" s="123"/>
      <c r="AP52" s="124"/>
      <c r="AQ52" s="123"/>
      <c r="AR52" s="124"/>
      <c r="AS52" s="123"/>
      <c r="AT52" s="122"/>
      <c r="AU52" s="121"/>
    </row>
    <row r="53" spans="1:50" s="87" customFormat="1" ht="33" hidden="1" customHeight="1" x14ac:dyDescent="0.3">
      <c r="A53" s="139"/>
      <c r="B53" s="138"/>
      <c r="C53" s="137"/>
      <c r="D53" s="136"/>
      <c r="E53" s="135"/>
      <c r="F53" s="125"/>
      <c r="G53" s="134"/>
      <c r="H53" s="123"/>
      <c r="I53" s="123"/>
      <c r="J53" s="131"/>
      <c r="K53" s="125"/>
      <c r="L53" s="123"/>
      <c r="M53" s="133"/>
      <c r="N53" s="132"/>
      <c r="O53" s="133"/>
      <c r="P53" s="132"/>
      <c r="Q53" s="131"/>
      <c r="R53" s="130"/>
      <c r="S53" s="129"/>
      <c r="T53" s="130"/>
      <c r="U53" s="129"/>
      <c r="V53" s="128"/>
      <c r="W53" s="129"/>
      <c r="X53" s="128"/>
      <c r="Y53" s="127"/>
      <c r="Z53" s="126"/>
      <c r="AA53" s="125"/>
      <c r="AB53" s="124"/>
      <c r="AC53" s="123"/>
      <c r="AD53" s="124"/>
      <c r="AE53" s="123"/>
      <c r="AF53" s="124"/>
      <c r="AG53" s="123"/>
      <c r="AH53" s="124"/>
      <c r="AI53" s="123"/>
      <c r="AJ53" s="124"/>
      <c r="AK53" s="123"/>
      <c r="AL53" s="124"/>
      <c r="AM53" s="123"/>
      <c r="AN53" s="124"/>
      <c r="AO53" s="123"/>
      <c r="AP53" s="124"/>
      <c r="AQ53" s="123"/>
      <c r="AR53" s="124"/>
      <c r="AS53" s="123"/>
      <c r="AT53" s="122"/>
      <c r="AU53" s="121"/>
    </row>
    <row r="54" spans="1:50" s="87" customFormat="1" ht="33" hidden="1" customHeight="1" thickBot="1" x14ac:dyDescent="0.35">
      <c r="A54" s="120"/>
      <c r="B54" s="105"/>
      <c r="C54" s="119"/>
      <c r="D54" s="118"/>
      <c r="E54" s="117"/>
      <c r="F54" s="107"/>
      <c r="G54" s="116"/>
      <c r="H54" s="105"/>
      <c r="I54" s="105"/>
      <c r="J54" s="113"/>
      <c r="K54" s="107"/>
      <c r="L54" s="105"/>
      <c r="M54" s="115"/>
      <c r="N54" s="114"/>
      <c r="O54" s="115"/>
      <c r="P54" s="114"/>
      <c r="Q54" s="113"/>
      <c r="R54" s="112"/>
      <c r="S54" s="111"/>
      <c r="T54" s="112"/>
      <c r="U54" s="111"/>
      <c r="V54" s="110"/>
      <c r="W54" s="111"/>
      <c r="X54" s="110"/>
      <c r="Y54" s="109"/>
      <c r="Z54" s="108"/>
      <c r="AA54" s="107"/>
      <c r="AB54" s="106"/>
      <c r="AC54" s="105"/>
      <c r="AD54" s="106"/>
      <c r="AE54" s="105"/>
      <c r="AF54" s="106"/>
      <c r="AG54" s="105"/>
      <c r="AH54" s="106"/>
      <c r="AI54" s="105"/>
      <c r="AJ54" s="106"/>
      <c r="AK54" s="105"/>
      <c r="AL54" s="106"/>
      <c r="AM54" s="105"/>
      <c r="AN54" s="106"/>
      <c r="AO54" s="105"/>
      <c r="AP54" s="106"/>
      <c r="AQ54" s="105"/>
      <c r="AR54" s="106"/>
      <c r="AS54" s="105"/>
      <c r="AT54" s="104"/>
      <c r="AU54" s="103"/>
      <c r="AX54" s="95"/>
    </row>
    <row r="55" spans="1:50" s="87" customFormat="1" ht="33" hidden="1" customHeight="1" thickBot="1" x14ac:dyDescent="0.35">
      <c r="A55" s="97"/>
      <c r="B55" s="97"/>
      <c r="R55" s="86"/>
      <c r="S55" s="86"/>
      <c r="T55" s="86"/>
      <c r="V55" s="86"/>
      <c r="X55" s="86"/>
      <c r="Y55" s="96"/>
      <c r="Z55" s="86"/>
      <c r="AA55" s="102">
        <f t="shared" ref="AA55:AT55" si="0">SUM(AA4:AA54)</f>
        <v>0</v>
      </c>
      <c r="AB55" s="101">
        <f t="shared" si="0"/>
        <v>2</v>
      </c>
      <c r="AC55" s="100">
        <f t="shared" si="0"/>
        <v>0</v>
      </c>
      <c r="AD55" s="101">
        <f t="shared" si="0"/>
        <v>0</v>
      </c>
      <c r="AE55" s="100">
        <f t="shared" si="0"/>
        <v>3</v>
      </c>
      <c r="AF55" s="101">
        <f t="shared" si="0"/>
        <v>0</v>
      </c>
      <c r="AG55" s="100">
        <f t="shared" si="0"/>
        <v>0</v>
      </c>
      <c r="AH55" s="101">
        <f t="shared" si="0"/>
        <v>0</v>
      </c>
      <c r="AI55" s="100">
        <f t="shared" si="0"/>
        <v>0</v>
      </c>
      <c r="AJ55" s="101">
        <f t="shared" si="0"/>
        <v>0</v>
      </c>
      <c r="AK55" s="100">
        <f t="shared" si="0"/>
        <v>0</v>
      </c>
      <c r="AL55" s="101">
        <f t="shared" si="0"/>
        <v>0</v>
      </c>
      <c r="AM55" s="100">
        <f t="shared" si="0"/>
        <v>5</v>
      </c>
      <c r="AN55" s="101">
        <f t="shared" si="0"/>
        <v>0</v>
      </c>
      <c r="AO55" s="100">
        <f t="shared" si="0"/>
        <v>0</v>
      </c>
      <c r="AP55" s="101">
        <f t="shared" si="0"/>
        <v>0</v>
      </c>
      <c r="AQ55" s="100">
        <f t="shared" si="0"/>
        <v>0</v>
      </c>
      <c r="AR55" s="101">
        <f t="shared" si="0"/>
        <v>0</v>
      </c>
      <c r="AS55" s="100">
        <f t="shared" si="0"/>
        <v>0</v>
      </c>
      <c r="AT55" s="99">
        <f t="shared" si="0"/>
        <v>1</v>
      </c>
      <c r="AU55" s="98" t="s">
        <v>0</v>
      </c>
      <c r="AX55" s="95"/>
    </row>
    <row r="56" spans="1:50" s="87" customFormat="1" ht="34.200000000000003" customHeight="1" x14ac:dyDescent="0.3">
      <c r="A56" s="97"/>
      <c r="B56" s="97"/>
      <c r="F56" s="95"/>
      <c r="G56" s="95"/>
      <c r="H56" s="95"/>
      <c r="I56" s="95"/>
      <c r="R56" s="86"/>
      <c r="S56" s="86"/>
      <c r="T56" s="86"/>
      <c r="V56" s="86"/>
      <c r="X56" s="86"/>
      <c r="Y56" s="96"/>
      <c r="Z56" s="86"/>
      <c r="AB56" s="86"/>
      <c r="AD56" s="86"/>
      <c r="AF56" s="86"/>
      <c r="AH56" s="86"/>
      <c r="AJ56" s="86"/>
      <c r="AL56" s="86"/>
      <c r="AN56" s="86"/>
      <c r="AP56" s="86"/>
      <c r="AR56" s="86"/>
      <c r="AT56" s="86"/>
      <c r="AU56" s="95"/>
    </row>
    <row r="57" spans="1:50" s="87" customFormat="1" ht="34.200000000000003" customHeight="1" x14ac:dyDescent="0.3">
      <c r="A57" s="97"/>
      <c r="B57" s="97"/>
      <c r="F57" s="95"/>
      <c r="G57" s="95"/>
      <c r="H57" s="95"/>
      <c r="I57" s="95"/>
      <c r="R57" s="86"/>
      <c r="S57" s="86"/>
      <c r="T57" s="86"/>
      <c r="V57" s="86"/>
      <c r="X57" s="86"/>
      <c r="Y57" s="96"/>
      <c r="Z57" s="86"/>
      <c r="AB57" s="86"/>
      <c r="AD57" s="86"/>
      <c r="AF57" s="86"/>
      <c r="AH57" s="86"/>
      <c r="AJ57" s="86"/>
      <c r="AL57" s="86"/>
      <c r="AN57" s="86"/>
      <c r="AP57" s="86"/>
      <c r="AR57" s="86"/>
      <c r="AT57" s="86"/>
      <c r="AU57" s="95"/>
    </row>
    <row r="58" spans="1:50" s="87" customFormat="1" ht="34.200000000000003" customHeight="1" x14ac:dyDescent="0.3">
      <c r="A58" s="97"/>
      <c r="B58" s="97"/>
      <c r="F58" s="95"/>
      <c r="G58" s="95"/>
      <c r="H58" s="95"/>
      <c r="I58" s="95"/>
      <c r="R58" s="86"/>
      <c r="S58" s="86"/>
      <c r="T58" s="86"/>
      <c r="V58" s="86"/>
      <c r="X58" s="86"/>
      <c r="Y58" s="96"/>
      <c r="Z58" s="86"/>
      <c r="AB58" s="86"/>
      <c r="AD58" s="86"/>
      <c r="AF58" s="86"/>
      <c r="AH58" s="86"/>
      <c r="AJ58" s="86"/>
      <c r="AL58" s="86"/>
      <c r="AN58" s="86"/>
      <c r="AP58" s="86"/>
      <c r="AR58" s="86"/>
      <c r="AT58" s="86"/>
      <c r="AU58" s="95"/>
    </row>
    <row r="59" spans="1:50" s="87" customFormat="1" ht="34.200000000000003" customHeight="1" x14ac:dyDescent="0.3">
      <c r="A59" s="97"/>
      <c r="B59" s="97"/>
      <c r="F59" s="95"/>
      <c r="G59" s="95"/>
      <c r="H59" s="95"/>
      <c r="I59" s="95"/>
      <c r="R59" s="86"/>
      <c r="S59" s="86"/>
      <c r="T59" s="86"/>
      <c r="V59" s="86"/>
      <c r="X59" s="86"/>
      <c r="Y59" s="96"/>
      <c r="Z59" s="86"/>
      <c r="AB59" s="86"/>
      <c r="AD59" s="86"/>
      <c r="AF59" s="86"/>
      <c r="AH59" s="86"/>
      <c r="AJ59" s="86"/>
      <c r="AL59" s="86"/>
      <c r="AN59" s="86"/>
      <c r="AP59" s="86"/>
      <c r="AR59" s="86"/>
      <c r="AT59" s="86"/>
      <c r="AU59" s="95"/>
    </row>
    <row r="60" spans="1:50" s="87" customFormat="1" ht="34.200000000000003" customHeight="1" x14ac:dyDescent="0.3">
      <c r="A60" s="97"/>
      <c r="B60" s="97"/>
      <c r="F60" s="95"/>
      <c r="G60" s="95"/>
      <c r="H60" s="95"/>
      <c r="I60" s="95"/>
      <c r="R60" s="86"/>
      <c r="S60" s="86"/>
      <c r="T60" s="86"/>
      <c r="V60" s="86"/>
      <c r="X60" s="86"/>
      <c r="Y60" s="96"/>
      <c r="Z60" s="86"/>
      <c r="AB60" s="86"/>
      <c r="AD60" s="86"/>
      <c r="AF60" s="86"/>
      <c r="AH60" s="86"/>
      <c r="AJ60" s="86"/>
      <c r="AL60" s="86"/>
      <c r="AN60" s="86"/>
      <c r="AP60" s="86"/>
      <c r="AR60" s="86"/>
      <c r="AT60" s="86"/>
      <c r="AU60" s="95"/>
    </row>
    <row r="61" spans="1:50" s="87" customFormat="1" ht="34.200000000000003" customHeight="1" x14ac:dyDescent="0.3">
      <c r="A61" s="97"/>
      <c r="B61" s="97"/>
      <c r="F61" s="95"/>
      <c r="G61" s="95"/>
      <c r="H61" s="95"/>
      <c r="I61" s="95"/>
      <c r="R61" s="86"/>
      <c r="S61" s="86"/>
      <c r="T61" s="86"/>
      <c r="V61" s="86"/>
      <c r="X61" s="86"/>
      <c r="Y61" s="96"/>
      <c r="Z61" s="86"/>
      <c r="AB61" s="86"/>
      <c r="AD61" s="86"/>
      <c r="AF61" s="86"/>
      <c r="AH61" s="86"/>
      <c r="AJ61" s="86"/>
      <c r="AL61" s="86"/>
      <c r="AN61" s="86"/>
      <c r="AP61" s="86"/>
      <c r="AR61" s="86"/>
      <c r="AT61" s="86"/>
      <c r="AU61" s="95"/>
    </row>
    <row r="62" spans="1:50" s="87" customFormat="1" ht="34.200000000000003" customHeight="1" x14ac:dyDescent="0.3">
      <c r="A62" s="97"/>
      <c r="B62" s="97"/>
      <c r="F62" s="95"/>
      <c r="G62" s="95"/>
      <c r="H62" s="95"/>
      <c r="I62" s="95"/>
      <c r="R62" s="86"/>
      <c r="S62" s="86"/>
      <c r="T62" s="86"/>
      <c r="V62" s="86"/>
      <c r="X62" s="86"/>
      <c r="Y62" s="96"/>
      <c r="Z62" s="86"/>
      <c r="AB62" s="86"/>
      <c r="AD62" s="86"/>
      <c r="AF62" s="86"/>
      <c r="AH62" s="86"/>
      <c r="AJ62" s="86"/>
      <c r="AL62" s="86"/>
      <c r="AN62" s="86"/>
      <c r="AP62" s="86"/>
      <c r="AR62" s="86"/>
      <c r="AT62" s="86"/>
      <c r="AU62" s="95"/>
    </row>
    <row r="63" spans="1:50" s="87" customFormat="1" ht="34.200000000000003" customHeight="1" x14ac:dyDescent="0.3">
      <c r="A63" s="97"/>
      <c r="B63" s="97"/>
      <c r="F63" s="95"/>
      <c r="G63" s="95"/>
      <c r="H63" s="95"/>
      <c r="I63" s="95"/>
      <c r="R63" s="86"/>
      <c r="S63" s="86"/>
      <c r="T63" s="86"/>
      <c r="V63" s="86"/>
      <c r="X63" s="86"/>
      <c r="Y63" s="96"/>
      <c r="Z63" s="86"/>
      <c r="AB63" s="86"/>
      <c r="AD63" s="86"/>
      <c r="AF63" s="86"/>
      <c r="AH63" s="86"/>
      <c r="AJ63" s="86"/>
      <c r="AL63" s="86"/>
      <c r="AN63" s="86"/>
      <c r="AP63" s="86"/>
      <c r="AR63" s="86"/>
      <c r="AT63" s="86"/>
      <c r="AU63" s="95"/>
    </row>
    <row r="64" spans="1:50" s="87" customFormat="1" ht="34.200000000000003" customHeight="1" x14ac:dyDescent="0.3">
      <c r="A64" s="97"/>
      <c r="B64" s="97"/>
      <c r="F64" s="95"/>
      <c r="G64" s="95"/>
      <c r="H64" s="95"/>
      <c r="I64" s="95"/>
      <c r="R64" s="86"/>
      <c r="S64" s="86"/>
      <c r="T64" s="86"/>
      <c r="V64" s="86"/>
      <c r="X64" s="86"/>
      <c r="Y64" s="96"/>
      <c r="Z64" s="86"/>
      <c r="AB64" s="86"/>
      <c r="AD64" s="86"/>
      <c r="AF64" s="86"/>
      <c r="AH64" s="86"/>
      <c r="AJ64" s="86"/>
      <c r="AL64" s="86"/>
      <c r="AN64" s="86"/>
      <c r="AP64" s="86"/>
      <c r="AR64" s="86"/>
      <c r="AT64" s="86"/>
      <c r="AU64" s="95"/>
    </row>
    <row r="65" spans="1:47" s="87" customFormat="1" ht="34.200000000000003" customHeight="1" x14ac:dyDescent="0.3">
      <c r="A65" s="97"/>
      <c r="B65" s="97"/>
      <c r="F65" s="95"/>
      <c r="G65" s="95"/>
      <c r="H65" s="95"/>
      <c r="I65" s="95"/>
      <c r="R65" s="86"/>
      <c r="S65" s="86"/>
      <c r="T65" s="86"/>
      <c r="V65" s="86"/>
      <c r="X65" s="86"/>
      <c r="Y65" s="96"/>
      <c r="Z65" s="86"/>
      <c r="AB65" s="86"/>
      <c r="AD65" s="86"/>
      <c r="AF65" s="86"/>
      <c r="AH65" s="86"/>
      <c r="AJ65" s="86"/>
      <c r="AL65" s="86"/>
      <c r="AN65" s="86"/>
      <c r="AP65" s="86"/>
      <c r="AR65" s="86"/>
      <c r="AT65" s="86"/>
      <c r="AU65" s="95"/>
    </row>
    <row r="66" spans="1:47" s="87" customFormat="1" ht="34.200000000000003" customHeight="1" x14ac:dyDescent="0.3">
      <c r="A66" s="97"/>
      <c r="B66" s="97"/>
      <c r="F66" s="95"/>
      <c r="G66" s="95"/>
      <c r="H66" s="95"/>
      <c r="I66" s="95"/>
      <c r="R66" s="86"/>
      <c r="S66" s="86"/>
      <c r="T66" s="86"/>
      <c r="V66" s="86"/>
      <c r="X66" s="86"/>
      <c r="Y66" s="96"/>
      <c r="Z66" s="86"/>
      <c r="AB66" s="86"/>
      <c r="AD66" s="86"/>
      <c r="AF66" s="86"/>
      <c r="AH66" s="86"/>
      <c r="AJ66" s="86"/>
      <c r="AL66" s="86"/>
      <c r="AN66" s="86"/>
      <c r="AP66" s="86"/>
      <c r="AR66" s="86"/>
      <c r="AT66" s="86"/>
      <c r="AU66" s="95"/>
    </row>
    <row r="67" spans="1:47" s="87" customFormat="1" ht="34.200000000000003" customHeight="1" x14ac:dyDescent="0.3">
      <c r="A67" s="97"/>
      <c r="B67" s="97"/>
      <c r="F67" s="95"/>
      <c r="G67" s="95"/>
      <c r="H67" s="95"/>
      <c r="I67" s="95"/>
      <c r="R67" s="86"/>
      <c r="S67" s="86"/>
      <c r="T67" s="86"/>
      <c r="V67" s="86"/>
      <c r="X67" s="86"/>
      <c r="Y67" s="96"/>
      <c r="Z67" s="86"/>
      <c r="AB67" s="86"/>
      <c r="AD67" s="86"/>
      <c r="AF67" s="86"/>
      <c r="AH67" s="86"/>
      <c r="AJ67" s="86"/>
      <c r="AL67" s="86"/>
      <c r="AN67" s="86"/>
      <c r="AP67" s="86"/>
      <c r="AR67" s="86"/>
      <c r="AT67" s="86"/>
      <c r="AU67" s="95"/>
    </row>
    <row r="68" spans="1:47" s="87" customFormat="1" ht="34.200000000000003" customHeight="1" x14ac:dyDescent="0.3">
      <c r="A68" s="97"/>
      <c r="B68" s="97"/>
      <c r="F68" s="95"/>
      <c r="G68" s="95"/>
      <c r="H68" s="95"/>
      <c r="I68" s="95"/>
      <c r="R68" s="86"/>
      <c r="S68" s="86"/>
      <c r="T68" s="86"/>
      <c r="V68" s="86"/>
      <c r="X68" s="86"/>
      <c r="Y68" s="96"/>
      <c r="Z68" s="86"/>
      <c r="AB68" s="86"/>
      <c r="AD68" s="86"/>
      <c r="AF68" s="86"/>
      <c r="AH68" s="86"/>
      <c r="AJ68" s="86"/>
      <c r="AL68" s="86"/>
      <c r="AN68" s="86"/>
      <c r="AP68" s="86"/>
      <c r="AR68" s="86"/>
      <c r="AT68" s="86"/>
      <c r="AU68" s="95"/>
    </row>
    <row r="69" spans="1:47" s="87" customFormat="1" ht="34.200000000000003" customHeight="1" x14ac:dyDescent="0.3">
      <c r="A69" s="97"/>
      <c r="B69" s="97"/>
      <c r="F69" s="95"/>
      <c r="G69" s="95"/>
      <c r="H69" s="95"/>
      <c r="I69" s="95"/>
      <c r="R69" s="86"/>
      <c r="S69" s="86"/>
      <c r="T69" s="86"/>
      <c r="V69" s="86"/>
      <c r="X69" s="86"/>
      <c r="Y69" s="96"/>
      <c r="Z69" s="86"/>
      <c r="AB69" s="86"/>
      <c r="AD69" s="86"/>
      <c r="AF69" s="86"/>
      <c r="AH69" s="86"/>
      <c r="AJ69" s="86"/>
      <c r="AL69" s="86"/>
      <c r="AN69" s="86"/>
      <c r="AP69" s="86"/>
      <c r="AR69" s="86"/>
      <c r="AT69" s="86"/>
      <c r="AU69" s="95"/>
    </row>
    <row r="70" spans="1:47" s="87" customFormat="1" ht="34.200000000000003" customHeight="1" x14ac:dyDescent="0.3">
      <c r="A70" s="97"/>
      <c r="B70" s="97"/>
      <c r="F70" s="95"/>
      <c r="G70" s="95"/>
      <c r="H70" s="95"/>
      <c r="I70" s="95"/>
      <c r="R70" s="86"/>
      <c r="S70" s="86"/>
      <c r="T70" s="86"/>
      <c r="V70" s="86"/>
      <c r="X70" s="86"/>
      <c r="Y70" s="96"/>
      <c r="Z70" s="86"/>
      <c r="AB70" s="86"/>
      <c r="AD70" s="86"/>
      <c r="AF70" s="86"/>
      <c r="AH70" s="86"/>
      <c r="AJ70" s="86"/>
      <c r="AL70" s="86"/>
      <c r="AN70" s="86"/>
      <c r="AP70" s="86"/>
      <c r="AR70" s="86"/>
      <c r="AT70" s="86"/>
      <c r="AU70" s="95"/>
    </row>
    <row r="71" spans="1:47" s="87" customFormat="1" ht="34.200000000000003" customHeight="1" x14ac:dyDescent="0.3">
      <c r="A71" s="97"/>
      <c r="B71" s="97"/>
      <c r="F71" s="95"/>
      <c r="G71" s="95"/>
      <c r="H71" s="95"/>
      <c r="I71" s="95"/>
      <c r="R71" s="86"/>
      <c r="S71" s="86"/>
      <c r="T71" s="86"/>
      <c r="V71" s="86"/>
      <c r="X71" s="86"/>
      <c r="Y71" s="96"/>
      <c r="Z71" s="86"/>
      <c r="AB71" s="86"/>
      <c r="AD71" s="86"/>
      <c r="AF71" s="86"/>
      <c r="AH71" s="86"/>
      <c r="AJ71" s="86"/>
      <c r="AL71" s="86"/>
      <c r="AN71" s="86"/>
      <c r="AP71" s="86"/>
      <c r="AR71" s="86"/>
      <c r="AT71" s="86"/>
      <c r="AU71" s="95"/>
    </row>
    <row r="72" spans="1:47" s="87" customFormat="1" ht="34.200000000000003" customHeight="1" x14ac:dyDescent="0.3">
      <c r="A72" s="97"/>
      <c r="B72" s="97"/>
      <c r="F72" s="95"/>
      <c r="G72" s="95"/>
      <c r="H72" s="95"/>
      <c r="I72" s="95"/>
      <c r="R72" s="86"/>
      <c r="S72" s="86"/>
      <c r="T72" s="86"/>
      <c r="V72" s="86"/>
      <c r="X72" s="86"/>
      <c r="Y72" s="96"/>
      <c r="Z72" s="86"/>
      <c r="AB72" s="86"/>
      <c r="AD72" s="86"/>
      <c r="AF72" s="86"/>
      <c r="AH72" s="86"/>
      <c r="AJ72" s="86"/>
      <c r="AL72" s="86"/>
      <c r="AN72" s="86"/>
      <c r="AP72" s="86"/>
      <c r="AR72" s="86"/>
      <c r="AT72" s="86"/>
      <c r="AU72" s="95"/>
    </row>
    <row r="73" spans="1:47" s="87" customFormat="1" ht="34.200000000000003" customHeight="1" x14ac:dyDescent="0.3">
      <c r="A73" s="97"/>
      <c r="B73" s="97"/>
      <c r="F73" s="95"/>
      <c r="G73" s="95"/>
      <c r="H73" s="95"/>
      <c r="I73" s="95"/>
      <c r="R73" s="86"/>
      <c r="S73" s="86"/>
      <c r="T73" s="86"/>
      <c r="V73" s="86"/>
      <c r="X73" s="86"/>
      <c r="Y73" s="96"/>
      <c r="Z73" s="86"/>
      <c r="AB73" s="86"/>
      <c r="AD73" s="86"/>
      <c r="AF73" s="86"/>
      <c r="AH73" s="86"/>
      <c r="AJ73" s="86"/>
      <c r="AL73" s="86"/>
      <c r="AN73" s="86"/>
      <c r="AP73" s="86"/>
      <c r="AR73" s="86"/>
      <c r="AT73" s="86"/>
      <c r="AU73" s="95"/>
    </row>
    <row r="74" spans="1:47" s="87" customFormat="1" ht="34.200000000000003" customHeight="1" x14ac:dyDescent="0.3">
      <c r="A74" s="97"/>
      <c r="B74" s="97"/>
      <c r="F74" s="95"/>
      <c r="G74" s="95"/>
      <c r="H74" s="95"/>
      <c r="I74" s="95"/>
      <c r="R74" s="86"/>
      <c r="S74" s="86"/>
      <c r="T74" s="86"/>
      <c r="V74" s="86"/>
      <c r="X74" s="86"/>
      <c r="Y74" s="96"/>
      <c r="Z74" s="86"/>
      <c r="AB74" s="86"/>
      <c r="AD74" s="86"/>
      <c r="AF74" s="86"/>
      <c r="AH74" s="86"/>
      <c r="AJ74" s="86"/>
      <c r="AL74" s="86"/>
      <c r="AN74" s="86"/>
      <c r="AP74" s="86"/>
      <c r="AR74" s="86"/>
      <c r="AT74" s="86"/>
      <c r="AU74" s="95"/>
    </row>
    <row r="75" spans="1:47" s="87" customFormat="1" ht="34.200000000000003" customHeight="1" x14ac:dyDescent="0.3">
      <c r="A75" s="97"/>
      <c r="B75" s="97"/>
      <c r="F75" s="95"/>
      <c r="G75" s="95"/>
      <c r="H75" s="95"/>
      <c r="I75" s="95"/>
      <c r="R75" s="86"/>
      <c r="S75" s="86"/>
      <c r="T75" s="86"/>
      <c r="V75" s="86"/>
      <c r="X75" s="86"/>
      <c r="Y75" s="96"/>
      <c r="Z75" s="86"/>
      <c r="AB75" s="86"/>
      <c r="AD75" s="86"/>
      <c r="AF75" s="86"/>
      <c r="AH75" s="86"/>
      <c r="AJ75" s="86"/>
      <c r="AL75" s="86"/>
      <c r="AN75" s="86"/>
      <c r="AP75" s="86"/>
      <c r="AR75" s="86"/>
      <c r="AT75" s="86"/>
      <c r="AU75" s="95"/>
    </row>
    <row r="76" spans="1:47" s="87" customFormat="1" ht="34.200000000000003" customHeight="1" x14ac:dyDescent="0.3">
      <c r="A76" s="97"/>
      <c r="B76" s="97"/>
      <c r="F76" s="95"/>
      <c r="G76" s="95"/>
      <c r="H76" s="95"/>
      <c r="I76" s="95"/>
      <c r="R76" s="86"/>
      <c r="S76" s="86"/>
      <c r="T76" s="86"/>
      <c r="V76" s="86"/>
      <c r="X76" s="86"/>
      <c r="Y76" s="96"/>
      <c r="Z76" s="86"/>
      <c r="AB76" s="86"/>
      <c r="AD76" s="86"/>
      <c r="AF76" s="86"/>
      <c r="AH76" s="86"/>
      <c r="AJ76" s="86"/>
      <c r="AL76" s="86"/>
      <c r="AN76" s="86"/>
      <c r="AP76" s="86"/>
      <c r="AR76" s="86"/>
      <c r="AT76" s="86"/>
      <c r="AU76" s="95"/>
    </row>
    <row r="77" spans="1:47" s="87" customFormat="1" ht="34.200000000000003" customHeight="1" x14ac:dyDescent="0.3">
      <c r="A77" s="97"/>
      <c r="B77" s="97"/>
      <c r="F77" s="95"/>
      <c r="G77" s="95"/>
      <c r="H77" s="95"/>
      <c r="I77" s="95"/>
      <c r="R77" s="86"/>
      <c r="S77" s="86"/>
      <c r="T77" s="86"/>
      <c r="V77" s="86"/>
      <c r="X77" s="86"/>
      <c r="Y77" s="96"/>
      <c r="Z77" s="86"/>
      <c r="AB77" s="86"/>
      <c r="AD77" s="86"/>
      <c r="AF77" s="86"/>
      <c r="AH77" s="86"/>
      <c r="AJ77" s="86"/>
      <c r="AL77" s="86"/>
      <c r="AN77" s="86"/>
      <c r="AP77" s="86"/>
      <c r="AR77" s="86"/>
      <c r="AT77" s="86"/>
      <c r="AU77" s="95"/>
    </row>
    <row r="78" spans="1:47" s="87" customFormat="1" ht="34.200000000000003" customHeight="1" x14ac:dyDescent="0.3">
      <c r="A78" s="97"/>
      <c r="B78" s="97"/>
      <c r="F78" s="95"/>
      <c r="G78" s="95"/>
      <c r="H78" s="95"/>
      <c r="I78" s="95"/>
      <c r="R78" s="86"/>
      <c r="S78" s="86"/>
      <c r="T78" s="86"/>
      <c r="V78" s="86"/>
      <c r="X78" s="86"/>
      <c r="Y78" s="96"/>
      <c r="Z78" s="86"/>
      <c r="AB78" s="86"/>
      <c r="AD78" s="86"/>
      <c r="AF78" s="86"/>
      <c r="AH78" s="86"/>
      <c r="AJ78" s="86"/>
      <c r="AL78" s="86"/>
      <c r="AN78" s="86"/>
      <c r="AP78" s="86"/>
      <c r="AR78" s="86"/>
      <c r="AT78" s="86"/>
      <c r="AU78" s="95"/>
    </row>
    <row r="79" spans="1:47" s="87" customFormat="1" ht="34.200000000000003" customHeight="1" x14ac:dyDescent="0.3">
      <c r="A79" s="97"/>
      <c r="B79" s="97"/>
      <c r="F79" s="95"/>
      <c r="G79" s="95"/>
      <c r="H79" s="95"/>
      <c r="I79" s="95"/>
      <c r="R79" s="86"/>
      <c r="S79" s="86"/>
      <c r="T79" s="86"/>
      <c r="V79" s="86"/>
      <c r="X79" s="86"/>
      <c r="Y79" s="96"/>
      <c r="Z79" s="86"/>
      <c r="AB79" s="86"/>
      <c r="AD79" s="86"/>
      <c r="AF79" s="86"/>
      <c r="AH79" s="86"/>
      <c r="AJ79" s="86"/>
      <c r="AL79" s="86"/>
      <c r="AN79" s="86"/>
      <c r="AP79" s="86"/>
      <c r="AR79" s="86"/>
      <c r="AT79" s="86"/>
      <c r="AU79" s="95"/>
    </row>
    <row r="80" spans="1:47" s="87" customFormat="1" ht="34.200000000000003" customHeight="1" x14ac:dyDescent="0.3">
      <c r="A80" s="97"/>
      <c r="B80" s="97"/>
      <c r="F80" s="95"/>
      <c r="G80" s="95"/>
      <c r="H80" s="95"/>
      <c r="I80" s="95"/>
      <c r="R80" s="86"/>
      <c r="S80" s="86"/>
      <c r="T80" s="86"/>
      <c r="V80" s="86"/>
      <c r="X80" s="86"/>
      <c r="Y80" s="96"/>
      <c r="Z80" s="86"/>
      <c r="AB80" s="86"/>
      <c r="AD80" s="86"/>
      <c r="AF80" s="86"/>
      <c r="AH80" s="86"/>
      <c r="AJ80" s="86"/>
      <c r="AL80" s="86"/>
      <c r="AN80" s="86"/>
      <c r="AP80" s="86"/>
      <c r="AR80" s="86"/>
      <c r="AT80" s="86"/>
      <c r="AU80" s="95"/>
    </row>
    <row r="81" spans="1:47" s="87" customFormat="1" ht="34.200000000000003" customHeight="1" x14ac:dyDescent="0.3">
      <c r="A81" s="97"/>
      <c r="B81" s="97"/>
      <c r="F81" s="95"/>
      <c r="G81" s="95"/>
      <c r="H81" s="95"/>
      <c r="I81" s="95"/>
      <c r="R81" s="86"/>
      <c r="S81" s="86"/>
      <c r="T81" s="86"/>
      <c r="V81" s="86"/>
      <c r="X81" s="86"/>
      <c r="Y81" s="96"/>
      <c r="Z81" s="86"/>
      <c r="AB81" s="86"/>
      <c r="AD81" s="86"/>
      <c r="AF81" s="86"/>
      <c r="AH81" s="86"/>
      <c r="AJ81" s="86"/>
      <c r="AL81" s="86"/>
      <c r="AN81" s="86"/>
      <c r="AP81" s="86"/>
      <c r="AR81" s="86"/>
      <c r="AT81" s="86"/>
      <c r="AU81" s="95"/>
    </row>
    <row r="82" spans="1:47" s="87" customFormat="1" ht="34.200000000000003" customHeight="1" x14ac:dyDescent="0.3">
      <c r="A82" s="97"/>
      <c r="B82" s="97"/>
      <c r="F82" s="95"/>
      <c r="G82" s="95"/>
      <c r="H82" s="95"/>
      <c r="I82" s="95"/>
      <c r="R82" s="86"/>
      <c r="S82" s="86"/>
      <c r="T82" s="86"/>
      <c r="V82" s="86"/>
      <c r="X82" s="86"/>
      <c r="Y82" s="96"/>
      <c r="Z82" s="86"/>
      <c r="AB82" s="86"/>
      <c r="AD82" s="86"/>
      <c r="AF82" s="86"/>
      <c r="AH82" s="86"/>
      <c r="AJ82" s="86"/>
      <c r="AL82" s="86"/>
      <c r="AN82" s="86"/>
      <c r="AP82" s="86"/>
      <c r="AR82" s="86"/>
      <c r="AT82" s="86"/>
      <c r="AU82" s="95"/>
    </row>
    <row r="83" spans="1:47" s="87" customFormat="1" ht="34.200000000000003" customHeight="1" x14ac:dyDescent="0.3">
      <c r="A83" s="97"/>
      <c r="B83" s="97"/>
      <c r="F83" s="95"/>
      <c r="G83" s="95"/>
      <c r="H83" s="95"/>
      <c r="I83" s="95"/>
      <c r="R83" s="86"/>
      <c r="S83" s="86"/>
      <c r="T83" s="86"/>
      <c r="V83" s="86"/>
      <c r="X83" s="86"/>
      <c r="Y83" s="96"/>
      <c r="Z83" s="86"/>
      <c r="AB83" s="86"/>
      <c r="AD83" s="86"/>
      <c r="AF83" s="86"/>
      <c r="AH83" s="86"/>
      <c r="AJ83" s="86"/>
      <c r="AL83" s="86"/>
      <c r="AN83" s="86"/>
      <c r="AP83" s="86"/>
      <c r="AR83" s="86"/>
      <c r="AT83" s="86"/>
      <c r="AU83" s="95"/>
    </row>
    <row r="84" spans="1:47" s="87" customFormat="1" ht="34.200000000000003" customHeight="1" x14ac:dyDescent="0.3">
      <c r="A84" s="97"/>
      <c r="B84" s="97"/>
      <c r="F84" s="95"/>
      <c r="G84" s="95"/>
      <c r="H84" s="95"/>
      <c r="I84" s="95"/>
      <c r="R84" s="86"/>
      <c r="S84" s="86"/>
      <c r="T84" s="86"/>
      <c r="V84" s="86"/>
      <c r="X84" s="86"/>
      <c r="Y84" s="96"/>
      <c r="Z84" s="86"/>
      <c r="AB84" s="86"/>
      <c r="AD84" s="86"/>
      <c r="AF84" s="86"/>
      <c r="AH84" s="86"/>
      <c r="AJ84" s="86"/>
      <c r="AL84" s="86"/>
      <c r="AN84" s="86"/>
      <c r="AP84" s="86"/>
      <c r="AR84" s="86"/>
      <c r="AT84" s="86"/>
      <c r="AU84" s="95"/>
    </row>
    <row r="85" spans="1:47" s="90" customFormat="1" ht="34.200000000000003" customHeight="1" x14ac:dyDescent="0.25">
      <c r="A85" s="94"/>
      <c r="B85" s="94"/>
      <c r="D85" s="87"/>
      <c r="E85" s="87"/>
      <c r="F85" s="91"/>
      <c r="G85" s="91"/>
      <c r="H85" s="91"/>
      <c r="I85" s="91"/>
      <c r="R85" s="88"/>
      <c r="S85" s="88"/>
      <c r="T85" s="88"/>
      <c r="V85" s="88"/>
      <c r="X85" s="88"/>
      <c r="Y85" s="89"/>
      <c r="Z85" s="88"/>
      <c r="AA85" s="87"/>
      <c r="AB85" s="86"/>
      <c r="AC85" s="87"/>
      <c r="AD85" s="86"/>
      <c r="AE85" s="87"/>
      <c r="AF85" s="86"/>
      <c r="AG85" s="87"/>
      <c r="AH85" s="86"/>
      <c r="AI85" s="87"/>
      <c r="AJ85" s="86"/>
      <c r="AK85" s="87"/>
      <c r="AL85" s="86"/>
      <c r="AM85" s="87"/>
      <c r="AN85" s="86"/>
      <c r="AO85" s="87"/>
      <c r="AP85" s="86"/>
      <c r="AQ85" s="87"/>
      <c r="AR85" s="86"/>
      <c r="AS85" s="87"/>
      <c r="AT85" s="86"/>
      <c r="AU85" s="91"/>
    </row>
    <row r="86" spans="1:47" s="90" customFormat="1" ht="34.200000000000003" customHeight="1" x14ac:dyDescent="0.25">
      <c r="A86" s="94"/>
      <c r="B86" s="94"/>
      <c r="D86" s="87"/>
      <c r="E86" s="87"/>
      <c r="F86" s="91"/>
      <c r="G86" s="91"/>
      <c r="H86" s="91"/>
      <c r="I86" s="91"/>
      <c r="R86" s="88"/>
      <c r="S86" s="88"/>
      <c r="T86" s="88"/>
      <c r="V86" s="88"/>
      <c r="X86" s="88"/>
      <c r="Y86" s="89"/>
      <c r="Z86" s="88"/>
      <c r="AA86" s="87"/>
      <c r="AB86" s="86"/>
      <c r="AC86" s="87"/>
      <c r="AD86" s="86"/>
      <c r="AE86" s="87"/>
      <c r="AF86" s="86"/>
      <c r="AG86" s="87"/>
      <c r="AH86" s="86"/>
      <c r="AI86" s="87"/>
      <c r="AJ86" s="86"/>
      <c r="AK86" s="87"/>
      <c r="AL86" s="86"/>
      <c r="AM86" s="87"/>
      <c r="AN86" s="86"/>
      <c r="AO86" s="87"/>
      <c r="AP86" s="86"/>
      <c r="AQ86" s="87"/>
      <c r="AR86" s="86"/>
      <c r="AS86" s="87"/>
      <c r="AT86" s="86"/>
      <c r="AU86" s="91"/>
    </row>
    <row r="87" spans="1:47" s="90" customFormat="1" ht="34.200000000000003" customHeight="1" x14ac:dyDescent="0.25">
      <c r="A87" s="94"/>
      <c r="B87" s="94"/>
      <c r="D87" s="87"/>
      <c r="E87" s="87"/>
      <c r="F87" s="91"/>
      <c r="G87" s="91"/>
      <c r="H87" s="91"/>
      <c r="I87" s="91"/>
      <c r="R87" s="88"/>
      <c r="S87" s="88"/>
      <c r="T87" s="88"/>
      <c r="V87" s="88"/>
      <c r="X87" s="88"/>
      <c r="Y87" s="89"/>
      <c r="Z87" s="88"/>
      <c r="AA87" s="87"/>
      <c r="AB87" s="86"/>
      <c r="AC87" s="87"/>
      <c r="AD87" s="86"/>
      <c r="AE87" s="87"/>
      <c r="AF87" s="86"/>
      <c r="AG87" s="87"/>
      <c r="AH87" s="86"/>
      <c r="AI87" s="87"/>
      <c r="AJ87" s="86"/>
      <c r="AK87" s="87"/>
      <c r="AL87" s="86"/>
      <c r="AM87" s="87"/>
      <c r="AN87" s="86"/>
      <c r="AO87" s="87"/>
      <c r="AP87" s="86"/>
      <c r="AQ87" s="87"/>
      <c r="AR87" s="86"/>
      <c r="AS87" s="87"/>
      <c r="AT87" s="86"/>
      <c r="AU87" s="91"/>
    </row>
    <row r="88" spans="1:47" s="90" customFormat="1" ht="34.200000000000003" customHeight="1" x14ac:dyDescent="0.25">
      <c r="A88" s="94"/>
      <c r="B88" s="94"/>
      <c r="D88" s="87"/>
      <c r="E88" s="87"/>
      <c r="F88" s="91"/>
      <c r="G88" s="91"/>
      <c r="H88" s="91"/>
      <c r="I88" s="91"/>
      <c r="R88" s="88"/>
      <c r="S88" s="88"/>
      <c r="T88" s="88"/>
      <c r="V88" s="88"/>
      <c r="X88" s="88"/>
      <c r="Y88" s="89"/>
      <c r="Z88" s="88"/>
      <c r="AA88" s="87"/>
      <c r="AB88" s="86"/>
      <c r="AC88" s="87"/>
      <c r="AD88" s="86"/>
      <c r="AE88" s="87"/>
      <c r="AF88" s="86"/>
      <c r="AG88" s="87"/>
      <c r="AH88" s="86"/>
      <c r="AI88" s="87"/>
      <c r="AJ88" s="86"/>
      <c r="AK88" s="87"/>
      <c r="AL88" s="86"/>
      <c r="AM88" s="87"/>
      <c r="AN88" s="86"/>
      <c r="AO88" s="87"/>
      <c r="AP88" s="86"/>
      <c r="AQ88" s="87"/>
      <c r="AR88" s="86"/>
      <c r="AS88" s="87"/>
      <c r="AT88" s="86"/>
      <c r="AU88" s="91"/>
    </row>
    <row r="89" spans="1:47" s="90" customFormat="1" ht="34.200000000000003" customHeight="1" x14ac:dyDescent="0.25">
      <c r="A89" s="94"/>
      <c r="B89" s="94"/>
      <c r="D89" s="87"/>
      <c r="E89" s="87"/>
      <c r="F89" s="91"/>
      <c r="G89" s="91"/>
      <c r="H89" s="91"/>
      <c r="I89" s="91"/>
      <c r="R89" s="88"/>
      <c r="S89" s="88"/>
      <c r="T89" s="88"/>
      <c r="V89" s="88"/>
      <c r="X89" s="88"/>
      <c r="Y89" s="89"/>
      <c r="Z89" s="88"/>
      <c r="AA89" s="87"/>
      <c r="AB89" s="86"/>
      <c r="AC89" s="87"/>
      <c r="AD89" s="86"/>
      <c r="AE89" s="87"/>
      <c r="AF89" s="86"/>
      <c r="AG89" s="87"/>
      <c r="AH89" s="86"/>
      <c r="AI89" s="87"/>
      <c r="AJ89" s="86"/>
      <c r="AK89" s="87"/>
      <c r="AL89" s="86"/>
      <c r="AM89" s="87"/>
      <c r="AN89" s="86"/>
      <c r="AO89" s="87"/>
      <c r="AP89" s="86"/>
      <c r="AQ89" s="87"/>
      <c r="AR89" s="86"/>
      <c r="AS89" s="87"/>
      <c r="AT89" s="86"/>
    </row>
    <row r="90" spans="1:47" s="90" customFormat="1" ht="34.200000000000003" customHeight="1" x14ac:dyDescent="0.25">
      <c r="A90" s="94"/>
      <c r="B90" s="94"/>
      <c r="D90" s="87"/>
      <c r="E90" s="87"/>
      <c r="F90" s="91"/>
      <c r="G90" s="91"/>
      <c r="H90" s="91"/>
      <c r="I90" s="91"/>
      <c r="R90" s="88"/>
      <c r="S90" s="88"/>
      <c r="T90" s="88"/>
      <c r="V90" s="88"/>
      <c r="X90" s="88"/>
      <c r="Y90" s="89"/>
      <c r="Z90" s="88"/>
      <c r="AA90" s="87"/>
      <c r="AB90" s="86"/>
      <c r="AC90" s="87"/>
      <c r="AD90" s="86"/>
      <c r="AE90" s="87"/>
      <c r="AF90" s="86"/>
      <c r="AG90" s="87"/>
      <c r="AH90" s="86"/>
      <c r="AI90" s="87"/>
      <c r="AJ90" s="86"/>
      <c r="AK90" s="87"/>
      <c r="AL90" s="86"/>
      <c r="AM90" s="87"/>
      <c r="AN90" s="86"/>
      <c r="AO90" s="87"/>
      <c r="AP90" s="86"/>
      <c r="AQ90" s="87"/>
      <c r="AR90" s="86"/>
      <c r="AS90" s="87"/>
      <c r="AT90" s="86"/>
    </row>
    <row r="91" spans="1:47" s="90" customFormat="1" ht="34.200000000000003" customHeight="1" x14ac:dyDescent="0.25">
      <c r="A91" s="94"/>
      <c r="B91" s="94"/>
      <c r="D91" s="87"/>
      <c r="E91" s="87"/>
      <c r="F91" s="91"/>
      <c r="G91" s="91"/>
      <c r="H91" s="91"/>
      <c r="I91" s="91"/>
      <c r="R91" s="88"/>
      <c r="S91" s="88"/>
      <c r="T91" s="88"/>
      <c r="V91" s="88"/>
      <c r="X91" s="88"/>
      <c r="Y91" s="89"/>
      <c r="Z91" s="88"/>
      <c r="AA91" s="87"/>
      <c r="AB91" s="86"/>
      <c r="AC91" s="87"/>
      <c r="AD91" s="86"/>
      <c r="AE91" s="87"/>
      <c r="AF91" s="86"/>
      <c r="AG91" s="87"/>
      <c r="AH91" s="86"/>
      <c r="AI91" s="87"/>
      <c r="AJ91" s="86"/>
      <c r="AK91" s="87"/>
      <c r="AL91" s="86"/>
      <c r="AM91" s="87"/>
      <c r="AN91" s="86"/>
      <c r="AO91" s="87"/>
      <c r="AP91" s="86"/>
      <c r="AQ91" s="87"/>
      <c r="AR91" s="86"/>
      <c r="AS91" s="87"/>
      <c r="AT91" s="86"/>
    </row>
    <row r="92" spans="1:47" s="90" customFormat="1" ht="34.200000000000003" customHeight="1" x14ac:dyDescent="0.25">
      <c r="A92" s="94"/>
      <c r="B92" s="94"/>
      <c r="D92" s="87"/>
      <c r="E92" s="87"/>
      <c r="F92" s="91"/>
      <c r="G92" s="91"/>
      <c r="H92" s="91"/>
      <c r="I92" s="91"/>
      <c r="R92" s="88"/>
      <c r="S92" s="88"/>
      <c r="T92" s="88"/>
      <c r="V92" s="88"/>
      <c r="X92" s="88"/>
      <c r="Y92" s="89"/>
      <c r="Z92" s="88"/>
      <c r="AA92" s="87"/>
      <c r="AB92" s="86"/>
      <c r="AC92" s="87"/>
      <c r="AD92" s="86"/>
      <c r="AE92" s="87"/>
      <c r="AF92" s="86"/>
      <c r="AG92" s="87"/>
      <c r="AH92" s="86"/>
      <c r="AI92" s="87"/>
      <c r="AJ92" s="86"/>
      <c r="AK92" s="87"/>
      <c r="AL92" s="86"/>
      <c r="AM92" s="87"/>
      <c r="AN92" s="86"/>
      <c r="AO92" s="87"/>
      <c r="AP92" s="86"/>
      <c r="AQ92" s="87"/>
      <c r="AR92" s="86"/>
      <c r="AS92" s="87"/>
      <c r="AT92" s="86"/>
    </row>
    <row r="93" spans="1:47" s="90" customFormat="1" ht="34.200000000000003" customHeight="1" x14ac:dyDescent="0.25">
      <c r="A93" s="94"/>
      <c r="B93" s="94"/>
      <c r="D93" s="87"/>
      <c r="E93" s="87"/>
      <c r="F93" s="91"/>
      <c r="G93" s="91"/>
      <c r="H93" s="91"/>
      <c r="I93" s="91"/>
      <c r="R93" s="88"/>
      <c r="S93" s="88"/>
      <c r="T93" s="88"/>
      <c r="V93" s="88"/>
      <c r="X93" s="88"/>
      <c r="Y93" s="89"/>
      <c r="Z93" s="88"/>
      <c r="AA93" s="87"/>
      <c r="AB93" s="86"/>
      <c r="AC93" s="87"/>
      <c r="AD93" s="86"/>
      <c r="AE93" s="87"/>
      <c r="AF93" s="86"/>
      <c r="AG93" s="87"/>
      <c r="AH93" s="86"/>
      <c r="AI93" s="87"/>
      <c r="AJ93" s="86"/>
      <c r="AK93" s="87"/>
      <c r="AL93" s="86"/>
      <c r="AM93" s="87"/>
      <c r="AN93" s="86"/>
      <c r="AO93" s="87"/>
      <c r="AP93" s="86"/>
      <c r="AQ93" s="87"/>
      <c r="AR93" s="86"/>
      <c r="AS93" s="87"/>
      <c r="AT93" s="86"/>
    </row>
    <row r="94" spans="1:47" s="90" customFormat="1" ht="34.200000000000003" customHeight="1" x14ac:dyDescent="0.25">
      <c r="A94" s="94"/>
      <c r="B94" s="94"/>
      <c r="D94" s="87"/>
      <c r="E94" s="87"/>
      <c r="F94" s="91"/>
      <c r="G94" s="91"/>
      <c r="H94" s="91"/>
      <c r="I94" s="91"/>
      <c r="R94" s="88"/>
      <c r="S94" s="88"/>
      <c r="T94" s="88"/>
      <c r="V94" s="88"/>
      <c r="X94" s="88"/>
      <c r="Y94" s="89"/>
      <c r="Z94" s="88"/>
      <c r="AA94" s="87"/>
      <c r="AB94" s="86"/>
      <c r="AC94" s="87"/>
      <c r="AD94" s="86"/>
      <c r="AE94" s="87"/>
      <c r="AF94" s="86"/>
      <c r="AG94" s="87"/>
      <c r="AH94" s="86"/>
      <c r="AI94" s="87"/>
      <c r="AJ94" s="86"/>
      <c r="AK94" s="87"/>
      <c r="AL94" s="86"/>
      <c r="AM94" s="87"/>
      <c r="AN94" s="86"/>
      <c r="AO94" s="87"/>
      <c r="AP94" s="86"/>
      <c r="AQ94" s="87"/>
      <c r="AR94" s="86"/>
      <c r="AS94" s="87"/>
      <c r="AT94" s="86"/>
    </row>
    <row r="95" spans="1:47" s="90" customFormat="1" ht="34.200000000000003" customHeight="1" x14ac:dyDescent="0.25">
      <c r="A95" s="94"/>
      <c r="B95" s="94"/>
      <c r="D95" s="87"/>
      <c r="E95" s="87"/>
      <c r="F95" s="91"/>
      <c r="G95" s="91"/>
      <c r="H95" s="91"/>
      <c r="I95" s="91"/>
      <c r="R95" s="88"/>
      <c r="S95" s="88"/>
      <c r="T95" s="88"/>
      <c r="V95" s="88"/>
      <c r="X95" s="88"/>
      <c r="Y95" s="89"/>
      <c r="Z95" s="88"/>
      <c r="AA95" s="87"/>
      <c r="AB95" s="86"/>
      <c r="AC95" s="87"/>
      <c r="AD95" s="86"/>
      <c r="AE95" s="87"/>
      <c r="AF95" s="86"/>
      <c r="AG95" s="87"/>
      <c r="AH95" s="86"/>
      <c r="AI95" s="87"/>
      <c r="AJ95" s="86"/>
      <c r="AK95" s="87"/>
      <c r="AL95" s="86"/>
      <c r="AM95" s="87"/>
      <c r="AN95" s="86"/>
      <c r="AO95" s="87"/>
      <c r="AP95" s="86"/>
      <c r="AQ95" s="87"/>
      <c r="AR95" s="86"/>
      <c r="AS95" s="87"/>
      <c r="AT95" s="86"/>
    </row>
    <row r="96" spans="1:47" s="90" customFormat="1" ht="34.200000000000003" customHeight="1" x14ac:dyDescent="0.25">
      <c r="A96" s="94"/>
      <c r="B96" s="94"/>
      <c r="D96" s="87"/>
      <c r="E96" s="87"/>
      <c r="F96" s="91"/>
      <c r="G96" s="91"/>
      <c r="H96" s="91"/>
      <c r="I96" s="91"/>
      <c r="R96" s="88"/>
      <c r="S96" s="88"/>
      <c r="T96" s="88"/>
      <c r="V96" s="88"/>
      <c r="X96" s="88"/>
      <c r="Y96" s="89"/>
      <c r="Z96" s="88"/>
      <c r="AA96" s="87"/>
      <c r="AB96" s="86"/>
      <c r="AC96" s="87"/>
      <c r="AD96" s="86"/>
      <c r="AE96" s="87"/>
      <c r="AF96" s="86"/>
      <c r="AG96" s="87"/>
      <c r="AH96" s="86"/>
      <c r="AI96" s="87"/>
      <c r="AJ96" s="86"/>
      <c r="AK96" s="87"/>
      <c r="AL96" s="86"/>
      <c r="AM96" s="87"/>
      <c r="AN96" s="86"/>
      <c r="AO96" s="87"/>
      <c r="AP96" s="86"/>
      <c r="AQ96" s="87"/>
      <c r="AR96" s="86"/>
      <c r="AS96" s="87"/>
      <c r="AT96" s="86"/>
    </row>
    <row r="97" spans="1:46" s="90" customFormat="1" ht="34.200000000000003" customHeight="1" x14ac:dyDescent="0.25">
      <c r="A97" s="94"/>
      <c r="B97" s="94"/>
      <c r="D97" s="87"/>
      <c r="E97" s="87"/>
      <c r="F97" s="91"/>
      <c r="G97" s="91"/>
      <c r="H97" s="91"/>
      <c r="I97" s="91"/>
      <c r="R97" s="88"/>
      <c r="S97" s="88"/>
      <c r="T97" s="88"/>
      <c r="V97" s="88"/>
      <c r="X97" s="88"/>
      <c r="Y97" s="89"/>
      <c r="Z97" s="88"/>
      <c r="AA97" s="87"/>
      <c r="AB97" s="86"/>
      <c r="AC97" s="87"/>
      <c r="AD97" s="86"/>
      <c r="AE97" s="87"/>
      <c r="AF97" s="86"/>
      <c r="AG97" s="87"/>
      <c r="AH97" s="86"/>
      <c r="AI97" s="87"/>
      <c r="AJ97" s="86"/>
      <c r="AK97" s="87"/>
      <c r="AL97" s="86"/>
      <c r="AM97" s="87"/>
      <c r="AN97" s="86"/>
      <c r="AO97" s="87"/>
      <c r="AP97" s="86"/>
      <c r="AQ97" s="87"/>
      <c r="AR97" s="86"/>
      <c r="AS97" s="87"/>
      <c r="AT97" s="86"/>
    </row>
    <row r="98" spans="1:46" s="90" customFormat="1" ht="27.75" customHeight="1" x14ac:dyDescent="0.25">
      <c r="A98" s="94"/>
      <c r="B98" s="94"/>
      <c r="D98" s="87"/>
      <c r="E98" s="87"/>
      <c r="F98" s="91"/>
      <c r="G98" s="91"/>
      <c r="H98" s="91"/>
      <c r="I98" s="91"/>
      <c r="R98" s="88"/>
      <c r="S98" s="88"/>
      <c r="T98" s="88"/>
      <c r="V98" s="88"/>
      <c r="X98" s="88"/>
      <c r="Y98" s="89"/>
      <c r="Z98" s="88"/>
      <c r="AA98" s="87"/>
      <c r="AB98" s="86"/>
      <c r="AC98" s="87"/>
      <c r="AD98" s="86"/>
      <c r="AE98" s="87"/>
      <c r="AF98" s="86"/>
      <c r="AG98" s="87"/>
      <c r="AH98" s="86"/>
      <c r="AI98" s="87"/>
      <c r="AJ98" s="86"/>
      <c r="AK98" s="87"/>
      <c r="AL98" s="86"/>
      <c r="AM98" s="87"/>
      <c r="AN98" s="86"/>
      <c r="AO98" s="87"/>
      <c r="AP98" s="86"/>
      <c r="AQ98" s="87"/>
      <c r="AR98" s="86"/>
      <c r="AS98" s="87"/>
      <c r="AT98" s="86"/>
    </row>
  </sheetData>
  <sheetProtection autoFilter="0"/>
  <autoFilter ref="A3:AT55" xr:uid="{00000000-0009-0000-0000-000000000000}">
    <filterColumn colId="6">
      <filters>
        <filter val="2"/>
      </filters>
    </filterColumn>
  </autoFilter>
  <mergeCells count="8">
    <mergeCell ref="AA2:AT2"/>
    <mergeCell ref="F2:J2"/>
    <mergeCell ref="K2:Q2"/>
    <mergeCell ref="R2:Y2"/>
    <mergeCell ref="C1:E1"/>
    <mergeCell ref="G1:J1"/>
    <mergeCell ref="R1:Z1"/>
    <mergeCell ref="AA1:AT1"/>
  </mergeCells>
  <printOptions horizontalCentered="1"/>
  <pageMargins left="0.31496062992125984" right="0.31496062992125984" top="0.70866141732283472" bottom="0.47244094488188981" header="0.31496062992125984" footer="0.23622047244094491"/>
  <pageSetup paperSize="8" scale="62" fitToHeight="0" orientation="landscape" r:id="rId1"/>
  <headerFooter>
    <oddHeader>&amp;L&amp;"Arial,Fett"&amp;16Prüfprotokoll Brand- und Rauchschutztüren&amp;R&amp;G</oddHeader>
    <oddFooter>&amp;L&amp;8&amp;F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4ABF-05AB-49F5-965E-9BDDCDFEED95}">
  <sheetPr codeName="Tabelle11">
    <pageSetUpPr fitToPage="1"/>
  </sheetPr>
  <dimension ref="A1:U288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109375" bestFit="1" customWidth="1"/>
    <col min="7" max="7" width="13.6640625" customWidth="1"/>
    <col min="8" max="8" width="10.88671875" bestFit="1" customWidth="1"/>
    <col min="9" max="9" width="18.109375" bestFit="1" customWidth="1"/>
    <col min="10" max="10" width="13.44140625" bestFit="1" customWidth="1"/>
    <col min="21" max="21" width="11.5546875" style="29"/>
  </cols>
  <sheetData>
    <row r="1" spans="1:21" ht="15" thickBot="1" x14ac:dyDescent="0.35">
      <c r="A1" s="6" t="s">
        <v>717</v>
      </c>
    </row>
    <row r="2" spans="1:21" ht="43.8" thickBot="1" x14ac:dyDescent="0.35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">
      <c r="A3" s="55">
        <v>25</v>
      </c>
      <c r="B3" s="46" t="s">
        <v>340</v>
      </c>
      <c r="C3" s="55"/>
      <c r="D3" s="55"/>
      <c r="E3" s="55"/>
      <c r="F3" s="55"/>
      <c r="G3" s="55"/>
      <c r="H3" s="55"/>
      <c r="I3" s="55"/>
      <c r="J3" s="55"/>
      <c r="K3" s="56"/>
      <c r="L3" s="56"/>
      <c r="M3" s="57"/>
      <c r="N3" s="37"/>
      <c r="O3" s="36"/>
      <c r="P3" s="36"/>
      <c r="Q3" s="36"/>
      <c r="R3" s="36"/>
      <c r="S3" s="36"/>
      <c r="T3" s="36"/>
      <c r="U3" s="38"/>
    </row>
    <row r="4" spans="1:21" x14ac:dyDescent="0.3">
      <c r="A4" s="12">
        <v>22</v>
      </c>
      <c r="B4" s="46" t="s">
        <v>205</v>
      </c>
      <c r="C4" s="12"/>
      <c r="D4" s="12"/>
      <c r="E4" s="23"/>
      <c r="F4" s="23"/>
      <c r="G4" s="24"/>
      <c r="H4" s="12"/>
      <c r="I4" s="12"/>
      <c r="J4" s="12"/>
      <c r="K4" s="12"/>
      <c r="L4" s="12"/>
      <c r="M4" s="26"/>
      <c r="N4" s="25"/>
      <c r="O4" s="35"/>
      <c r="P4" s="35"/>
      <c r="Q4" s="35"/>
      <c r="R4" s="12"/>
      <c r="S4" s="26">
        <f t="shared" ref="S4:S13" si="0">R4+M4</f>
        <v>0</v>
      </c>
      <c r="T4" s="27">
        <f t="shared" ref="T4:T13" si="1">S4*A4</f>
        <v>0</v>
      </c>
      <c r="U4" s="43"/>
    </row>
    <row r="5" spans="1:21" x14ac:dyDescent="0.3">
      <c r="A5" s="12">
        <v>13</v>
      </c>
      <c r="B5" s="46" t="s">
        <v>203</v>
      </c>
      <c r="C5" s="12"/>
      <c r="D5" s="12"/>
      <c r="E5" s="23"/>
      <c r="F5" s="23"/>
      <c r="G5" s="24"/>
      <c r="H5" s="12"/>
      <c r="I5" s="12"/>
      <c r="J5" s="12"/>
      <c r="K5" s="12"/>
      <c r="L5" s="12"/>
      <c r="M5" s="26"/>
      <c r="N5" s="12"/>
      <c r="O5" s="12"/>
      <c r="P5" s="12"/>
      <c r="Q5" s="12"/>
      <c r="R5" s="12"/>
      <c r="S5" s="26">
        <f t="shared" si="0"/>
        <v>0</v>
      </c>
      <c r="T5" s="27">
        <f t="shared" si="1"/>
        <v>0</v>
      </c>
      <c r="U5" s="34"/>
    </row>
    <row r="6" spans="1:21" x14ac:dyDescent="0.3">
      <c r="A6" s="12">
        <v>9</v>
      </c>
      <c r="B6" s="46" t="s">
        <v>268</v>
      </c>
      <c r="C6" s="12"/>
      <c r="D6" s="12"/>
      <c r="E6" s="12"/>
      <c r="F6" s="12"/>
      <c r="G6" s="12"/>
      <c r="H6" s="12"/>
      <c r="I6" s="12"/>
      <c r="J6" s="12"/>
      <c r="K6" s="23"/>
      <c r="L6" s="23"/>
      <c r="M6" s="24"/>
      <c r="N6" s="12"/>
      <c r="O6" s="12"/>
      <c r="P6" s="12"/>
      <c r="Q6" s="12"/>
      <c r="R6" s="12"/>
      <c r="S6" s="26">
        <f t="shared" si="0"/>
        <v>0</v>
      </c>
      <c r="T6" s="27">
        <f t="shared" si="1"/>
        <v>0</v>
      </c>
      <c r="U6" s="34"/>
    </row>
    <row r="7" spans="1:21" x14ac:dyDescent="0.3">
      <c r="A7" s="12">
        <v>7</v>
      </c>
      <c r="B7" s="46" t="s">
        <v>208</v>
      </c>
      <c r="C7" s="12"/>
      <c r="D7" s="12"/>
      <c r="E7" s="12"/>
      <c r="F7" s="12"/>
      <c r="G7" s="12"/>
      <c r="H7" s="12"/>
      <c r="I7" s="12"/>
      <c r="J7" s="12"/>
      <c r="K7" s="23"/>
      <c r="L7" s="23"/>
      <c r="M7" s="24"/>
      <c r="N7" s="12"/>
      <c r="O7" s="12"/>
      <c r="P7" s="12"/>
      <c r="Q7" s="12"/>
      <c r="R7" s="12"/>
      <c r="S7" s="26">
        <f t="shared" si="0"/>
        <v>0</v>
      </c>
      <c r="T7" s="27">
        <f t="shared" si="1"/>
        <v>0</v>
      </c>
      <c r="U7" s="34"/>
    </row>
    <row r="8" spans="1:21" x14ac:dyDescent="0.3">
      <c r="A8" s="12">
        <v>7</v>
      </c>
      <c r="B8" s="46" t="s">
        <v>489</v>
      </c>
      <c r="C8" s="12"/>
      <c r="D8" s="12"/>
      <c r="E8" s="12"/>
      <c r="F8" s="12"/>
      <c r="G8" s="12"/>
      <c r="H8" s="12"/>
      <c r="I8" s="12"/>
      <c r="J8" s="12"/>
      <c r="K8" s="23"/>
      <c r="L8" s="23"/>
      <c r="M8" s="24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">
      <c r="A9" s="12">
        <v>5</v>
      </c>
      <c r="B9" s="46" t="s">
        <v>341</v>
      </c>
      <c r="C9" s="12"/>
      <c r="D9" s="12"/>
      <c r="E9" s="12"/>
      <c r="F9" s="12"/>
      <c r="G9" s="12"/>
      <c r="H9" s="12"/>
      <c r="I9" s="12"/>
      <c r="J9" s="12"/>
      <c r="K9" s="23"/>
      <c r="L9" s="23"/>
      <c r="M9" s="24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">
      <c r="A10" s="12">
        <v>3</v>
      </c>
      <c r="B10" s="46" t="s">
        <v>218</v>
      </c>
      <c r="C10" s="12"/>
      <c r="D10" s="12"/>
      <c r="E10" s="12"/>
      <c r="F10" s="12"/>
      <c r="G10" s="12"/>
      <c r="H10" s="12"/>
      <c r="I10" s="12"/>
      <c r="J10" s="12"/>
      <c r="K10" s="23"/>
      <c r="L10" s="23"/>
      <c r="M10" s="24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">
      <c r="A11" s="12">
        <v>3</v>
      </c>
      <c r="B11" s="46" t="s">
        <v>297</v>
      </c>
      <c r="C11" s="12"/>
      <c r="D11" s="12"/>
      <c r="E11" s="12"/>
      <c r="F11" s="12"/>
      <c r="G11" s="12"/>
      <c r="H11" s="12"/>
      <c r="I11" s="12"/>
      <c r="J11" s="12"/>
      <c r="K11" s="23"/>
      <c r="L11" s="23"/>
      <c r="M11" s="24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">
      <c r="A12" s="12">
        <v>2</v>
      </c>
      <c r="B12" s="46" t="s">
        <v>207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">
      <c r="A13" s="12">
        <v>2</v>
      </c>
      <c r="B13" s="46" t="s">
        <v>206</v>
      </c>
      <c r="C13" s="12"/>
      <c r="D13" s="12"/>
      <c r="E13" s="12"/>
      <c r="F13" s="12"/>
      <c r="G13" s="12"/>
      <c r="H13" s="12"/>
      <c r="I13" s="12"/>
      <c r="J13" s="12"/>
      <c r="K13" s="23"/>
      <c r="L13" s="23"/>
      <c r="M13" s="24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">
      <c r="A14" s="12">
        <v>2</v>
      </c>
      <c r="B14" s="46" t="s">
        <v>215</v>
      </c>
      <c r="C14" s="12"/>
      <c r="D14" s="12"/>
      <c r="E14" s="12"/>
      <c r="F14" s="12"/>
      <c r="G14" s="12"/>
      <c r="H14" s="12"/>
      <c r="I14" s="12"/>
      <c r="J14" s="12"/>
      <c r="K14" s="23"/>
      <c r="L14" s="23"/>
      <c r="M14" s="24"/>
      <c r="N14" s="12"/>
      <c r="O14" s="12"/>
      <c r="P14" s="12"/>
      <c r="Q14" s="12"/>
      <c r="R14" s="12"/>
      <c r="S14" s="26"/>
      <c r="T14" s="27"/>
      <c r="U14" s="43"/>
    </row>
    <row r="15" spans="1:21" x14ac:dyDescent="0.3">
      <c r="A15" s="12">
        <v>1</v>
      </c>
      <c r="B15" s="46" t="s">
        <v>225</v>
      </c>
      <c r="C15" s="12"/>
      <c r="D15" s="12"/>
      <c r="E15" s="23"/>
      <c r="F15" s="23"/>
      <c r="G15" s="24"/>
      <c r="H15" s="12"/>
      <c r="I15" s="12"/>
      <c r="J15" s="12"/>
      <c r="K15" s="12"/>
      <c r="L15" s="12"/>
      <c r="M15" s="26"/>
      <c r="N15" s="12"/>
      <c r="O15" s="12"/>
      <c r="P15" s="12"/>
      <c r="Q15" s="12"/>
      <c r="R15" s="12"/>
      <c r="S15" s="26">
        <f>R15+M15</f>
        <v>0</v>
      </c>
      <c r="T15" s="27">
        <f>S15*A15</f>
        <v>0</v>
      </c>
      <c r="U15" s="30">
        <v>43227</v>
      </c>
    </row>
    <row r="16" spans="1:21" x14ac:dyDescent="0.3">
      <c r="A16" s="12">
        <v>1</v>
      </c>
      <c r="B16" s="46" t="s">
        <v>286</v>
      </c>
      <c r="C16" s="12"/>
      <c r="D16" s="12"/>
      <c r="E16" s="12"/>
      <c r="F16" s="12"/>
      <c r="G16" s="12"/>
      <c r="H16" s="12"/>
      <c r="I16" s="12"/>
      <c r="J16" s="12"/>
      <c r="K16" s="23"/>
      <c r="L16" s="23"/>
      <c r="M16" s="24"/>
      <c r="N16" s="12"/>
      <c r="O16" s="12"/>
      <c r="P16" s="12"/>
      <c r="Q16" s="12"/>
      <c r="R16" s="12"/>
      <c r="S16" s="26">
        <f t="shared" ref="S16:S79" si="2">R16+M16</f>
        <v>0</v>
      </c>
      <c r="T16" s="27">
        <f t="shared" ref="T16:T79" si="3">S16*A16</f>
        <v>0</v>
      </c>
      <c r="U16" s="30"/>
    </row>
    <row r="17" spans="1:21" x14ac:dyDescent="0.3">
      <c r="A17" s="12">
        <v>1</v>
      </c>
      <c r="B17" s="46" t="s">
        <v>420</v>
      </c>
      <c r="C17" s="12"/>
      <c r="D17" s="12"/>
      <c r="E17" s="12"/>
      <c r="F17" s="12"/>
      <c r="G17" s="12"/>
      <c r="H17" s="12"/>
      <c r="I17" s="12"/>
      <c r="J17" s="12"/>
      <c r="K17" s="23"/>
      <c r="L17" s="23"/>
      <c r="M17" s="24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">
      <c r="A18" s="12">
        <v>1</v>
      </c>
      <c r="B18" s="46" t="s">
        <v>280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">
      <c r="A19" s="12">
        <v>0</v>
      </c>
      <c r="B19" s="46" t="s">
        <v>479</v>
      </c>
      <c r="C19" s="12"/>
      <c r="D19" s="12"/>
      <c r="E19" s="12"/>
      <c r="F19" s="12"/>
      <c r="G19" s="12"/>
      <c r="H19" s="12"/>
      <c r="I19" s="12"/>
      <c r="J19" s="12"/>
      <c r="K19" s="23"/>
      <c r="L19" s="23"/>
      <c r="M19" s="24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">
      <c r="A20" s="12">
        <v>0</v>
      </c>
      <c r="B20" s="46" t="s">
        <v>405</v>
      </c>
      <c r="C20" s="12"/>
      <c r="D20" s="12"/>
      <c r="E20" s="12"/>
      <c r="F20" s="12"/>
      <c r="G20" s="12"/>
      <c r="H20" s="12"/>
      <c r="I20" s="12"/>
      <c r="J20" s="12"/>
      <c r="K20" s="23"/>
      <c r="L20" s="23"/>
      <c r="M20" s="24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">
      <c r="A21" s="12">
        <v>0</v>
      </c>
      <c r="B21" s="46" t="s">
        <v>210</v>
      </c>
      <c r="C21" s="12"/>
      <c r="D21" s="12"/>
      <c r="E21" s="23"/>
      <c r="F21" s="23"/>
      <c r="G21" s="24"/>
      <c r="H21" s="12"/>
      <c r="I21" s="12"/>
      <c r="J21" s="12"/>
      <c r="K21" s="12"/>
      <c r="L21" s="12"/>
      <c r="M21" s="26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">
      <c r="A22" s="12">
        <v>0</v>
      </c>
      <c r="B22" s="46" t="s">
        <v>257</v>
      </c>
      <c r="C22" s="12"/>
      <c r="D22" s="12"/>
      <c r="E22" s="12"/>
      <c r="F22" s="12"/>
      <c r="G22" s="12"/>
      <c r="H22" s="12"/>
      <c r="I22" s="12"/>
      <c r="J22" s="12"/>
      <c r="K22" s="23"/>
      <c r="L22" s="23"/>
      <c r="M22" s="24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">
      <c r="A23" s="12">
        <v>0</v>
      </c>
      <c r="B23" s="46" t="s">
        <v>318</v>
      </c>
      <c r="C23" s="12"/>
      <c r="D23" s="12"/>
      <c r="E23" s="12"/>
      <c r="F23" s="12"/>
      <c r="G23" s="12"/>
      <c r="H23" s="12"/>
      <c r="I23" s="12"/>
      <c r="J23" s="12"/>
      <c r="K23" s="23"/>
      <c r="L23" s="23"/>
      <c r="M23" s="24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">
      <c r="A24" s="12">
        <v>0</v>
      </c>
      <c r="B24" s="46" t="s">
        <v>423</v>
      </c>
      <c r="C24" s="12"/>
      <c r="D24" s="12"/>
      <c r="E24" s="12"/>
      <c r="F24" s="12"/>
      <c r="G24" s="12"/>
      <c r="H24" s="12"/>
      <c r="I24" s="12"/>
      <c r="J24" s="12"/>
      <c r="K24" s="23"/>
      <c r="L24" s="23"/>
      <c r="M24" s="24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">
      <c r="A25" s="12">
        <v>0</v>
      </c>
      <c r="B25" s="46" t="s">
        <v>481</v>
      </c>
      <c r="C25" s="12"/>
      <c r="D25" s="12"/>
      <c r="E25" s="12"/>
      <c r="F25" s="12"/>
      <c r="G25" s="12"/>
      <c r="H25" s="12"/>
      <c r="I25" s="12"/>
      <c r="J25" s="12"/>
      <c r="K25" s="23"/>
      <c r="L25" s="23"/>
      <c r="M25" s="24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">
      <c r="A26" s="12">
        <v>0</v>
      </c>
      <c r="B26" s="46" t="s">
        <v>313</v>
      </c>
      <c r="C26" s="12"/>
      <c r="D26" s="12"/>
      <c r="E26" s="12"/>
      <c r="F26" s="12"/>
      <c r="G26" s="12"/>
      <c r="H26" s="12"/>
      <c r="I26" s="12"/>
      <c r="J26" s="12"/>
      <c r="K26" s="23"/>
      <c r="L26" s="23"/>
      <c r="M26" s="24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">
      <c r="A27" s="12">
        <v>0</v>
      </c>
      <c r="B27" s="46" t="s">
        <v>480</v>
      </c>
      <c r="C27" s="12"/>
      <c r="D27" s="12"/>
      <c r="E27" s="12"/>
      <c r="F27" s="12"/>
      <c r="G27" s="12"/>
      <c r="H27" s="12"/>
      <c r="I27" s="12"/>
      <c r="J27" s="12"/>
      <c r="K27" s="23"/>
      <c r="L27" s="23"/>
      <c r="M27" s="24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">
      <c r="A28" s="12">
        <v>0</v>
      </c>
      <c r="B28" s="46" t="s">
        <v>329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">
      <c r="A29" s="12">
        <v>0</v>
      </c>
      <c r="B29" s="46" t="s">
        <v>302</v>
      </c>
      <c r="C29" s="12"/>
      <c r="D29" s="12"/>
      <c r="E29" s="12"/>
      <c r="F29" s="12"/>
      <c r="G29" s="12"/>
      <c r="H29" s="12"/>
      <c r="I29" s="12"/>
      <c r="J29" s="12"/>
      <c r="K29" s="23"/>
      <c r="L29" s="23"/>
      <c r="M29" s="24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">
      <c r="A30" s="12">
        <v>0</v>
      </c>
      <c r="B30" s="46" t="s">
        <v>242</v>
      </c>
      <c r="C30" s="12"/>
      <c r="D30" s="12"/>
      <c r="E30" s="12"/>
      <c r="F30" s="12"/>
      <c r="G30" s="12"/>
      <c r="H30" s="12"/>
      <c r="I30" s="12"/>
      <c r="J30" s="12"/>
      <c r="K30" s="23"/>
      <c r="L30" s="23"/>
      <c r="M30" s="24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">
      <c r="A31" s="12">
        <v>0</v>
      </c>
      <c r="B31" s="46" t="s">
        <v>400</v>
      </c>
      <c r="C31" s="12"/>
      <c r="D31" s="12"/>
      <c r="E31" s="12"/>
      <c r="F31" s="12"/>
      <c r="G31" s="12"/>
      <c r="H31" s="12"/>
      <c r="I31" s="12"/>
      <c r="J31" s="12"/>
      <c r="K31" s="23"/>
      <c r="L31" s="23"/>
      <c r="M31" s="24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">
      <c r="A32" s="35">
        <v>0</v>
      </c>
      <c r="B32" s="46" t="s">
        <v>221</v>
      </c>
      <c r="C32" s="35"/>
      <c r="D32" s="35"/>
      <c r="E32" s="25"/>
      <c r="F32" s="25"/>
      <c r="G32" s="25"/>
      <c r="H32" s="25"/>
      <c r="I32" s="25"/>
      <c r="J32" s="25"/>
      <c r="K32" s="23"/>
      <c r="L32" s="23"/>
      <c r="M32" s="24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">
      <c r="A33" s="12">
        <v>0</v>
      </c>
      <c r="B33" s="46" t="s">
        <v>488</v>
      </c>
      <c r="C33" s="12"/>
      <c r="D33" s="12"/>
      <c r="E33" s="12"/>
      <c r="F33" s="12"/>
      <c r="G33" s="12"/>
      <c r="H33" s="12"/>
      <c r="I33" s="12"/>
      <c r="J33" s="12"/>
      <c r="K33" s="23"/>
      <c r="L33" s="23"/>
      <c r="M33" s="24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">
      <c r="A34" s="12">
        <v>0</v>
      </c>
      <c r="B34" s="46" t="s">
        <v>245</v>
      </c>
      <c r="C34" s="12"/>
      <c r="D34" s="12"/>
      <c r="E34" s="12"/>
      <c r="F34" s="12"/>
      <c r="G34" s="12"/>
      <c r="H34" s="12"/>
      <c r="I34" s="12"/>
      <c r="J34" s="12"/>
      <c r="K34" s="23"/>
      <c r="L34" s="23"/>
      <c r="M34" s="24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">
      <c r="A35" s="35">
        <v>0</v>
      </c>
      <c r="B35" s="46" t="s">
        <v>202</v>
      </c>
      <c r="C35" s="35"/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">
      <c r="A36" s="12">
        <v>0</v>
      </c>
      <c r="B36" s="12" t="s">
        <v>201</v>
      </c>
      <c r="C36" s="12"/>
      <c r="D36" s="12"/>
      <c r="E36" s="23"/>
      <c r="F36" s="23"/>
      <c r="G36" s="24"/>
      <c r="H36" s="12"/>
      <c r="I36" s="12"/>
      <c r="J36" s="12"/>
      <c r="K36" s="12"/>
      <c r="L36" s="12"/>
      <c r="M36" s="26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">
      <c r="A37" s="12">
        <v>0</v>
      </c>
      <c r="B37" s="46" t="s">
        <v>282</v>
      </c>
      <c r="C37" s="12"/>
      <c r="D37" s="12"/>
      <c r="E37" s="12"/>
      <c r="F37" s="12"/>
      <c r="G37" s="12"/>
      <c r="H37" s="12"/>
      <c r="I37" s="12"/>
      <c r="J37" s="12"/>
      <c r="K37" s="23"/>
      <c r="L37" s="23"/>
      <c r="M37" s="24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">
      <c r="A38" s="12">
        <v>0</v>
      </c>
      <c r="B38" s="46" t="s">
        <v>294</v>
      </c>
      <c r="C38" s="12"/>
      <c r="D38" s="12"/>
      <c r="E38" s="12"/>
      <c r="F38" s="12"/>
      <c r="G38" s="12"/>
      <c r="H38" s="12"/>
      <c r="I38" s="12"/>
      <c r="J38" s="12"/>
      <c r="K38" s="23"/>
      <c r="L38" s="23"/>
      <c r="M38" s="24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">
      <c r="A39" s="12">
        <v>0</v>
      </c>
      <c r="B39" s="46" t="s">
        <v>299</v>
      </c>
      <c r="C39" s="12"/>
      <c r="D39" s="12"/>
      <c r="E39" s="23"/>
      <c r="F39" s="23"/>
      <c r="G39" s="24"/>
      <c r="H39" s="12"/>
      <c r="I39" s="12"/>
      <c r="J39" s="12"/>
      <c r="K39" s="12"/>
      <c r="L39" s="12"/>
      <c r="M39" s="26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">
      <c r="A40" s="12">
        <v>0</v>
      </c>
      <c r="B40" s="12" t="s">
        <v>200</v>
      </c>
      <c r="C40" s="12"/>
      <c r="D40" s="12"/>
      <c r="E40" s="23"/>
      <c r="F40" s="23"/>
      <c r="G40" s="24"/>
      <c r="H40" s="12"/>
      <c r="I40" s="12"/>
      <c r="J40" s="12"/>
      <c r="K40" s="12"/>
      <c r="L40" s="12"/>
      <c r="M40" s="26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">
      <c r="A41" s="12">
        <v>0</v>
      </c>
      <c r="B41" s="46" t="s">
        <v>204</v>
      </c>
      <c r="C41" s="12"/>
      <c r="D41" s="12"/>
      <c r="E41" s="23"/>
      <c r="F41" s="23"/>
      <c r="G41" s="24"/>
      <c r="H41" s="12"/>
      <c r="I41" s="12"/>
      <c r="J41" s="12"/>
      <c r="K41" s="12"/>
      <c r="L41" s="12"/>
      <c r="M41" s="26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">
      <c r="A42" s="12">
        <v>0</v>
      </c>
      <c r="B42" s="46" t="s">
        <v>209</v>
      </c>
      <c r="C42" s="12"/>
      <c r="D42" s="12"/>
      <c r="E42" s="23"/>
      <c r="F42" s="23"/>
      <c r="G42" s="24"/>
      <c r="H42" s="12"/>
      <c r="I42" s="12"/>
      <c r="J42" s="12"/>
      <c r="K42" s="12"/>
      <c r="L42" s="12"/>
      <c r="M42" s="26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">
      <c r="A43" s="12">
        <v>0</v>
      </c>
      <c r="B43" s="46" t="s">
        <v>211</v>
      </c>
      <c r="C43" s="12"/>
      <c r="D43" s="12"/>
      <c r="E43" s="23"/>
      <c r="F43" s="23"/>
      <c r="G43" s="24"/>
      <c r="H43" s="12"/>
      <c r="I43" s="12"/>
      <c r="J43" s="12"/>
      <c r="K43" s="12"/>
      <c r="L43" s="12"/>
      <c r="M43" s="26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">
      <c r="A44" s="12">
        <v>0</v>
      </c>
      <c r="B44" s="46" t="s">
        <v>212</v>
      </c>
      <c r="C44" s="12"/>
      <c r="D44" s="12"/>
      <c r="E44" s="23"/>
      <c r="F44" s="23"/>
      <c r="G44" s="24"/>
      <c r="H44" s="12"/>
      <c r="I44" s="12"/>
      <c r="J44" s="12"/>
      <c r="K44" s="12"/>
      <c r="L44" s="12"/>
      <c r="M44" s="26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">
      <c r="A45" s="12">
        <v>0</v>
      </c>
      <c r="B45" s="46" t="s">
        <v>213</v>
      </c>
      <c r="C45" s="12"/>
      <c r="D45" s="12"/>
      <c r="E45" s="12"/>
      <c r="F45" s="12"/>
      <c r="G45" s="12"/>
      <c r="H45" s="12"/>
      <c r="I45" s="12"/>
      <c r="J45" s="12"/>
      <c r="K45" s="23"/>
      <c r="L45" s="23"/>
      <c r="M45" s="24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">
      <c r="A46" s="35">
        <v>0</v>
      </c>
      <c r="B46" s="46" t="s">
        <v>214</v>
      </c>
      <c r="C46" s="35"/>
      <c r="D46" s="35"/>
      <c r="E46" s="25"/>
      <c r="F46" s="25"/>
      <c r="G46" s="25"/>
      <c r="H46" s="25"/>
      <c r="I46" s="25"/>
      <c r="J46" s="25"/>
      <c r="K46" s="23"/>
      <c r="L46" s="23"/>
      <c r="M46" s="24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">
      <c r="A47" s="12">
        <v>0</v>
      </c>
      <c r="B47" s="46" t="s">
        <v>216</v>
      </c>
      <c r="C47" s="12"/>
      <c r="D47" s="12"/>
      <c r="E47" s="23"/>
      <c r="F47" s="23"/>
      <c r="G47" s="24"/>
      <c r="H47" s="12"/>
      <c r="I47" s="12"/>
      <c r="J47" s="12"/>
      <c r="K47" s="12"/>
      <c r="L47" s="12"/>
      <c r="M47" s="26"/>
      <c r="N47" s="12"/>
      <c r="O47" s="12"/>
      <c r="P47" s="12"/>
      <c r="Q47" s="12"/>
      <c r="R47" s="12"/>
      <c r="S47" s="26">
        <f t="shared" si="2"/>
        <v>0</v>
      </c>
      <c r="T47" s="27">
        <f t="shared" si="3"/>
        <v>0</v>
      </c>
      <c r="U47" s="30"/>
    </row>
    <row r="48" spans="1:21" x14ac:dyDescent="0.3">
      <c r="A48" s="12">
        <v>0</v>
      </c>
      <c r="B48" s="46" t="s">
        <v>217</v>
      </c>
      <c r="C48" s="12"/>
      <c r="D48" s="12"/>
      <c r="E48" s="23"/>
      <c r="F48" s="23"/>
      <c r="G48" s="24"/>
      <c r="H48" s="12"/>
      <c r="I48" s="12"/>
      <c r="J48" s="12"/>
      <c r="K48" s="12"/>
      <c r="L48" s="12"/>
      <c r="M48" s="26"/>
      <c r="N48" s="12"/>
      <c r="O48" s="12"/>
      <c r="P48" s="12"/>
      <c r="Q48" s="12"/>
      <c r="R48" s="12"/>
      <c r="S48" s="26">
        <f t="shared" si="2"/>
        <v>0</v>
      </c>
      <c r="T48" s="27">
        <f t="shared" si="3"/>
        <v>0</v>
      </c>
      <c r="U48" s="30"/>
    </row>
    <row r="49" spans="1:21" x14ac:dyDescent="0.3">
      <c r="A49" s="12">
        <v>0</v>
      </c>
      <c r="B49" s="46" t="s">
        <v>219</v>
      </c>
      <c r="C49" s="12"/>
      <c r="D49" s="12"/>
      <c r="E49" s="12"/>
      <c r="F49" s="12"/>
      <c r="G49" s="12"/>
      <c r="H49" s="12"/>
      <c r="I49" s="12"/>
      <c r="J49" s="12"/>
      <c r="K49" s="23"/>
      <c r="L49" s="23"/>
      <c r="M49" s="24"/>
      <c r="N49" s="12"/>
      <c r="O49" s="12"/>
      <c r="P49" s="12"/>
      <c r="Q49" s="12"/>
      <c r="R49" s="12"/>
      <c r="S49" s="26">
        <f t="shared" si="2"/>
        <v>0</v>
      </c>
      <c r="T49" s="27">
        <f t="shared" si="3"/>
        <v>0</v>
      </c>
      <c r="U49" s="30"/>
    </row>
    <row r="50" spans="1:21" x14ac:dyDescent="0.3">
      <c r="A50" s="35">
        <v>0</v>
      </c>
      <c r="B50" s="46" t="s">
        <v>220</v>
      </c>
      <c r="C50" s="35"/>
      <c r="D50" s="32"/>
      <c r="E50" s="33"/>
      <c r="F50" s="33"/>
      <c r="G50" s="33"/>
      <c r="H50" s="33"/>
      <c r="I50" s="33"/>
      <c r="J50" s="33"/>
      <c r="K50" s="33"/>
      <c r="L50" s="33"/>
      <c r="M50" s="33"/>
      <c r="N50" s="12"/>
      <c r="O50" s="12"/>
      <c r="P50" s="12"/>
      <c r="Q50" s="12"/>
      <c r="R50" s="12"/>
      <c r="S50" s="26">
        <f t="shared" si="2"/>
        <v>0</v>
      </c>
      <c r="T50" s="27">
        <f t="shared" si="3"/>
        <v>0</v>
      </c>
      <c r="U50" s="30"/>
    </row>
    <row r="51" spans="1:21" x14ac:dyDescent="0.3">
      <c r="A51" s="12">
        <v>0</v>
      </c>
      <c r="B51" s="46" t="s">
        <v>222</v>
      </c>
      <c r="C51" s="12"/>
      <c r="D51" s="12"/>
      <c r="E51" s="23"/>
      <c r="F51" s="23"/>
      <c r="G51" s="24"/>
      <c r="H51" s="12"/>
      <c r="I51" s="12"/>
      <c r="J51" s="12"/>
      <c r="K51" s="12"/>
      <c r="L51" s="12"/>
      <c r="M51" s="26"/>
      <c r="N51" s="12"/>
      <c r="O51" s="12"/>
      <c r="P51" s="12"/>
      <c r="Q51" s="12"/>
      <c r="R51" s="12"/>
      <c r="S51" s="26">
        <f t="shared" si="2"/>
        <v>0</v>
      </c>
      <c r="T51" s="27">
        <f t="shared" si="3"/>
        <v>0</v>
      </c>
      <c r="U51" s="30"/>
    </row>
    <row r="52" spans="1:21" x14ac:dyDescent="0.3">
      <c r="A52" s="12">
        <v>0</v>
      </c>
      <c r="B52" s="46" t="s">
        <v>223</v>
      </c>
      <c r="C52" s="12"/>
      <c r="D52" s="12"/>
      <c r="E52" s="12"/>
      <c r="F52" s="12"/>
      <c r="G52" s="12"/>
      <c r="H52" s="12"/>
      <c r="I52" s="12"/>
      <c r="J52" s="12"/>
      <c r="K52" s="23"/>
      <c r="L52" s="23"/>
      <c r="M52" s="24"/>
      <c r="N52" s="12"/>
      <c r="O52" s="12"/>
      <c r="P52" s="12"/>
      <c r="Q52" s="12"/>
      <c r="R52" s="12"/>
      <c r="S52" s="26">
        <f t="shared" si="2"/>
        <v>0</v>
      </c>
      <c r="T52" s="27">
        <f t="shared" si="3"/>
        <v>0</v>
      </c>
      <c r="U52" s="30"/>
    </row>
    <row r="53" spans="1:21" x14ac:dyDescent="0.3">
      <c r="A53" s="35">
        <v>0</v>
      </c>
      <c r="B53" s="46" t="s">
        <v>224</v>
      </c>
      <c r="C53" s="35"/>
      <c r="D53" s="35"/>
      <c r="E53" s="25"/>
      <c r="F53" s="25"/>
      <c r="G53" s="25"/>
      <c r="H53" s="25"/>
      <c r="I53" s="25"/>
      <c r="J53" s="25"/>
      <c r="K53" s="23"/>
      <c r="L53" s="23"/>
      <c r="M53" s="24"/>
      <c r="N53" s="12"/>
      <c r="O53" s="12"/>
      <c r="P53" s="12"/>
      <c r="Q53" s="12"/>
      <c r="R53" s="12"/>
      <c r="S53" s="26">
        <f t="shared" si="2"/>
        <v>0</v>
      </c>
      <c r="T53" s="27">
        <f t="shared" si="3"/>
        <v>0</v>
      </c>
      <c r="U53" s="30"/>
    </row>
    <row r="54" spans="1:21" x14ac:dyDescent="0.3">
      <c r="A54" s="12">
        <v>0</v>
      </c>
      <c r="B54" s="46" t="s">
        <v>226</v>
      </c>
      <c r="C54" s="12"/>
      <c r="D54" s="12"/>
      <c r="E54" s="23"/>
      <c r="F54" s="23"/>
      <c r="G54" s="24"/>
      <c r="H54" s="12"/>
      <c r="I54" s="12"/>
      <c r="J54" s="12"/>
      <c r="K54" s="12"/>
      <c r="L54" s="12"/>
      <c r="M54" s="26"/>
      <c r="N54" s="12"/>
      <c r="O54" s="12"/>
      <c r="P54" s="12"/>
      <c r="Q54" s="12"/>
      <c r="R54" s="12"/>
      <c r="S54" s="26">
        <f t="shared" si="2"/>
        <v>0</v>
      </c>
      <c r="T54" s="27">
        <f t="shared" si="3"/>
        <v>0</v>
      </c>
      <c r="U54" s="30"/>
    </row>
    <row r="55" spans="1:21" x14ac:dyDescent="0.3">
      <c r="A55" s="12">
        <v>0</v>
      </c>
      <c r="B55" s="46" t="s">
        <v>227</v>
      </c>
      <c r="C55" s="12"/>
      <c r="D55" s="12"/>
      <c r="E55" s="12"/>
      <c r="F55" s="12"/>
      <c r="G55" s="12"/>
      <c r="H55" s="12"/>
      <c r="I55" s="12"/>
      <c r="J55" s="12"/>
      <c r="K55" s="23"/>
      <c r="L55" s="23"/>
      <c r="M55" s="24"/>
      <c r="N55" s="12"/>
      <c r="O55" s="12"/>
      <c r="P55" s="12"/>
      <c r="Q55" s="12"/>
      <c r="R55" s="12"/>
      <c r="S55" s="26">
        <f t="shared" si="2"/>
        <v>0</v>
      </c>
      <c r="T55" s="27">
        <f t="shared" si="3"/>
        <v>0</v>
      </c>
      <c r="U55" s="30"/>
    </row>
    <row r="56" spans="1:21" x14ac:dyDescent="0.3">
      <c r="A56" s="12">
        <v>0</v>
      </c>
      <c r="B56" s="46" t="s">
        <v>228</v>
      </c>
      <c r="C56" s="12"/>
      <c r="D56" s="12"/>
      <c r="E56" s="12"/>
      <c r="F56" s="12"/>
      <c r="G56" s="12"/>
      <c r="H56" s="12"/>
      <c r="I56" s="12"/>
      <c r="J56" s="12"/>
      <c r="K56" s="23"/>
      <c r="L56" s="23"/>
      <c r="M56" s="24"/>
      <c r="N56" s="12"/>
      <c r="O56" s="12"/>
      <c r="P56" s="12"/>
      <c r="Q56" s="12"/>
      <c r="R56" s="12"/>
      <c r="S56" s="26">
        <f t="shared" si="2"/>
        <v>0</v>
      </c>
      <c r="T56" s="27">
        <f t="shared" si="3"/>
        <v>0</v>
      </c>
      <c r="U56" s="30"/>
    </row>
    <row r="57" spans="1:21" x14ac:dyDescent="0.3">
      <c r="A57" s="12">
        <v>0</v>
      </c>
      <c r="B57" s="46" t="s">
        <v>229</v>
      </c>
      <c r="C57" s="12"/>
      <c r="D57" s="12"/>
      <c r="E57" s="12"/>
      <c r="F57" s="12"/>
      <c r="G57" s="12"/>
      <c r="H57" s="12"/>
      <c r="I57" s="12"/>
      <c r="J57" s="12"/>
      <c r="K57" s="23"/>
      <c r="L57" s="23"/>
      <c r="M57" s="24"/>
      <c r="N57" s="12"/>
      <c r="O57" s="12"/>
      <c r="P57" s="12"/>
      <c r="Q57" s="12"/>
      <c r="R57" s="12"/>
      <c r="S57" s="26">
        <f t="shared" si="2"/>
        <v>0</v>
      </c>
      <c r="T57" s="27">
        <f t="shared" si="3"/>
        <v>0</v>
      </c>
      <c r="U57" s="30"/>
    </row>
    <row r="58" spans="1:21" x14ac:dyDescent="0.3">
      <c r="A58" s="35">
        <v>0</v>
      </c>
      <c r="B58" s="46" t="s">
        <v>230</v>
      </c>
      <c r="C58" s="35"/>
      <c r="D58" s="35"/>
      <c r="E58" s="25"/>
      <c r="F58" s="25"/>
      <c r="G58" s="25"/>
      <c r="H58" s="25"/>
      <c r="I58" s="25"/>
      <c r="J58" s="25"/>
      <c r="K58" s="23"/>
      <c r="L58" s="23"/>
      <c r="M58" s="24"/>
      <c r="N58" s="12"/>
      <c r="O58" s="12"/>
      <c r="P58" s="12"/>
      <c r="Q58" s="12"/>
      <c r="R58" s="12"/>
      <c r="S58" s="26">
        <f t="shared" si="2"/>
        <v>0</v>
      </c>
      <c r="T58" s="27">
        <f t="shared" si="3"/>
        <v>0</v>
      </c>
      <c r="U58" s="30"/>
    </row>
    <row r="59" spans="1:21" x14ac:dyDescent="0.3">
      <c r="A59" s="35">
        <v>0</v>
      </c>
      <c r="B59" s="46" t="s">
        <v>231</v>
      </c>
      <c r="C59" s="35"/>
      <c r="D59" s="35"/>
      <c r="E59" s="25"/>
      <c r="F59" s="25"/>
      <c r="G59" s="25"/>
      <c r="H59" s="25"/>
      <c r="I59" s="25"/>
      <c r="J59" s="25"/>
      <c r="K59" s="23"/>
      <c r="L59" s="23"/>
      <c r="M59" s="24"/>
      <c r="N59" s="12"/>
      <c r="O59" s="12"/>
      <c r="P59" s="12"/>
      <c r="Q59" s="12"/>
      <c r="R59" s="12"/>
      <c r="S59" s="26">
        <f t="shared" si="2"/>
        <v>0</v>
      </c>
      <c r="T59" s="27">
        <f t="shared" si="3"/>
        <v>0</v>
      </c>
      <c r="U59" s="30"/>
    </row>
    <row r="60" spans="1:21" x14ac:dyDescent="0.3">
      <c r="A60" s="35">
        <v>0</v>
      </c>
      <c r="B60" s="46" t="s">
        <v>232</v>
      </c>
      <c r="C60" s="35"/>
      <c r="D60" s="35"/>
      <c r="E60" s="25"/>
      <c r="F60" s="25"/>
      <c r="G60" s="25"/>
      <c r="H60" s="25"/>
      <c r="I60" s="25"/>
      <c r="J60" s="25"/>
      <c r="K60" s="23"/>
      <c r="L60" s="23"/>
      <c r="M60" s="24"/>
      <c r="N60" s="12"/>
      <c r="O60" s="12"/>
      <c r="P60" s="12"/>
      <c r="Q60" s="12"/>
      <c r="R60" s="12"/>
      <c r="S60" s="26">
        <f t="shared" si="2"/>
        <v>0</v>
      </c>
      <c r="T60" s="27">
        <f t="shared" si="3"/>
        <v>0</v>
      </c>
      <c r="U60" s="30"/>
    </row>
    <row r="61" spans="1:21" x14ac:dyDescent="0.3">
      <c r="A61" s="12">
        <v>0</v>
      </c>
      <c r="B61" s="46" t="s">
        <v>233</v>
      </c>
      <c r="C61" s="12"/>
      <c r="D61" s="12"/>
      <c r="E61" s="12"/>
      <c r="F61" s="12"/>
      <c r="G61" s="12"/>
      <c r="H61" s="12"/>
      <c r="I61" s="12"/>
      <c r="J61" s="12"/>
      <c r="K61" s="23"/>
      <c r="L61" s="23"/>
      <c r="M61" s="24"/>
      <c r="N61" s="12"/>
      <c r="O61" s="12"/>
      <c r="P61" s="12"/>
      <c r="Q61" s="12"/>
      <c r="R61" s="12"/>
      <c r="S61" s="26">
        <f t="shared" si="2"/>
        <v>0</v>
      </c>
      <c r="T61" s="27">
        <f t="shared" si="3"/>
        <v>0</v>
      </c>
      <c r="U61" s="30"/>
    </row>
    <row r="62" spans="1:21" x14ac:dyDescent="0.3">
      <c r="A62" s="12">
        <v>0</v>
      </c>
      <c r="B62" s="46" t="s">
        <v>234</v>
      </c>
      <c r="C62" s="12"/>
      <c r="D62" s="12"/>
      <c r="E62" s="12"/>
      <c r="F62" s="12"/>
      <c r="G62" s="12"/>
      <c r="H62" s="12"/>
      <c r="I62" s="12"/>
      <c r="J62" s="12"/>
      <c r="K62" s="23"/>
      <c r="L62" s="23"/>
      <c r="M62" s="24"/>
      <c r="N62" s="12"/>
      <c r="O62" s="12"/>
      <c r="P62" s="12"/>
      <c r="Q62" s="12"/>
      <c r="R62" s="12"/>
      <c r="S62" s="26">
        <f t="shared" si="2"/>
        <v>0</v>
      </c>
      <c r="T62" s="27">
        <f t="shared" si="3"/>
        <v>0</v>
      </c>
      <c r="U62" s="30"/>
    </row>
    <row r="63" spans="1:21" x14ac:dyDescent="0.3">
      <c r="A63" s="35">
        <v>0</v>
      </c>
      <c r="B63" s="46" t="s">
        <v>235</v>
      </c>
      <c r="C63" s="35"/>
      <c r="D63" s="35"/>
      <c r="E63" s="25"/>
      <c r="F63" s="25"/>
      <c r="G63" s="25"/>
      <c r="H63" s="25"/>
      <c r="I63" s="25"/>
      <c r="J63" s="25"/>
      <c r="K63" s="23"/>
      <c r="L63" s="23"/>
      <c r="M63" s="24"/>
      <c r="N63" s="12"/>
      <c r="O63" s="12"/>
      <c r="P63" s="12"/>
      <c r="Q63" s="12"/>
      <c r="R63" s="12"/>
      <c r="S63" s="26">
        <f t="shared" si="2"/>
        <v>0</v>
      </c>
      <c r="T63" s="27">
        <f t="shared" si="3"/>
        <v>0</v>
      </c>
      <c r="U63" s="30"/>
    </row>
    <row r="64" spans="1:21" x14ac:dyDescent="0.3">
      <c r="A64" s="35">
        <v>0</v>
      </c>
      <c r="B64" s="46" t="s">
        <v>236</v>
      </c>
      <c r="C64" s="35"/>
      <c r="D64" s="35"/>
      <c r="E64" s="25"/>
      <c r="F64" s="25"/>
      <c r="G64" s="25"/>
      <c r="H64" s="25"/>
      <c r="I64" s="25"/>
      <c r="J64" s="25"/>
      <c r="K64" s="23"/>
      <c r="L64" s="23"/>
      <c r="M64" s="24"/>
      <c r="N64" s="12"/>
      <c r="O64" s="12"/>
      <c r="P64" s="12"/>
      <c r="Q64" s="12"/>
      <c r="R64" s="12"/>
      <c r="S64" s="26">
        <f t="shared" si="2"/>
        <v>0</v>
      </c>
      <c r="T64" s="27">
        <f t="shared" si="3"/>
        <v>0</v>
      </c>
      <c r="U64" s="30"/>
    </row>
    <row r="65" spans="1:21" x14ac:dyDescent="0.3">
      <c r="A65" s="35">
        <v>0</v>
      </c>
      <c r="B65" s="46" t="s">
        <v>237</v>
      </c>
      <c r="C65" s="35"/>
      <c r="D65" s="35"/>
      <c r="E65" s="25"/>
      <c r="F65" s="25"/>
      <c r="G65" s="25"/>
      <c r="H65" s="25"/>
      <c r="I65" s="25"/>
      <c r="J65" s="25"/>
      <c r="K65" s="23"/>
      <c r="L65" s="23"/>
      <c r="M65" s="24"/>
      <c r="N65" s="12"/>
      <c r="O65" s="12"/>
      <c r="P65" s="12"/>
      <c r="Q65" s="12"/>
      <c r="R65" s="12"/>
      <c r="S65" s="26">
        <f t="shared" si="2"/>
        <v>0</v>
      </c>
      <c r="T65" s="27">
        <f t="shared" si="3"/>
        <v>0</v>
      </c>
      <c r="U65" s="30"/>
    </row>
    <row r="66" spans="1:21" x14ac:dyDescent="0.3">
      <c r="A66" s="35">
        <v>0</v>
      </c>
      <c r="B66" s="46" t="s">
        <v>238</v>
      </c>
      <c r="C66" s="35"/>
      <c r="D66" s="35"/>
      <c r="E66" s="25"/>
      <c r="F66" s="25"/>
      <c r="G66" s="25"/>
      <c r="H66" s="25"/>
      <c r="I66" s="25"/>
      <c r="J66" s="25"/>
      <c r="K66" s="23"/>
      <c r="L66" s="23"/>
      <c r="M66" s="24"/>
      <c r="N66" s="12"/>
      <c r="O66" s="12"/>
      <c r="P66" s="12"/>
      <c r="Q66" s="12"/>
      <c r="R66" s="12"/>
      <c r="S66" s="26">
        <f t="shared" si="2"/>
        <v>0</v>
      </c>
      <c r="T66" s="27">
        <f t="shared" si="3"/>
        <v>0</v>
      </c>
      <c r="U66" s="30"/>
    </row>
    <row r="67" spans="1:21" x14ac:dyDescent="0.3">
      <c r="A67" s="12">
        <v>0</v>
      </c>
      <c r="B67" s="46" t="s">
        <v>239</v>
      </c>
      <c r="C67" s="12"/>
      <c r="D67" s="12"/>
      <c r="E67" s="12"/>
      <c r="F67" s="12"/>
      <c r="G67" s="12"/>
      <c r="H67" s="12"/>
      <c r="I67" s="12"/>
      <c r="J67" s="12"/>
      <c r="K67" s="23"/>
      <c r="L67" s="23"/>
      <c r="M67" s="24"/>
      <c r="N67" s="12"/>
      <c r="O67" s="12"/>
      <c r="P67" s="12"/>
      <c r="Q67" s="12"/>
      <c r="R67" s="12"/>
      <c r="S67" s="26">
        <f t="shared" si="2"/>
        <v>0</v>
      </c>
      <c r="T67" s="27">
        <f t="shared" si="3"/>
        <v>0</v>
      </c>
      <c r="U67" s="30"/>
    </row>
    <row r="68" spans="1:21" x14ac:dyDescent="0.3">
      <c r="A68" s="12">
        <v>0</v>
      </c>
      <c r="B68" s="46" t="s">
        <v>240</v>
      </c>
      <c r="C68" s="12"/>
      <c r="D68" s="12"/>
      <c r="E68" s="12"/>
      <c r="F68" s="12"/>
      <c r="G68" s="12"/>
      <c r="H68" s="12"/>
      <c r="I68" s="12"/>
      <c r="J68" s="12"/>
      <c r="K68" s="23"/>
      <c r="L68" s="23"/>
      <c r="M68" s="24"/>
      <c r="N68" s="12"/>
      <c r="O68" s="12"/>
      <c r="P68" s="12"/>
      <c r="Q68" s="12"/>
      <c r="R68" s="12"/>
      <c r="S68" s="26">
        <f t="shared" si="2"/>
        <v>0</v>
      </c>
      <c r="T68" s="27">
        <f t="shared" si="3"/>
        <v>0</v>
      </c>
      <c r="U68" s="30"/>
    </row>
    <row r="69" spans="1:21" x14ac:dyDescent="0.3">
      <c r="A69" s="12">
        <v>0</v>
      </c>
      <c r="B69" s="46" t="s">
        <v>241</v>
      </c>
      <c r="C69" s="12"/>
      <c r="D69" s="12"/>
      <c r="E69" s="12"/>
      <c r="F69" s="12"/>
      <c r="G69" s="28"/>
      <c r="H69" s="12"/>
      <c r="I69" s="12"/>
      <c r="J69" s="12"/>
      <c r="K69" s="23"/>
      <c r="L69" s="23"/>
      <c r="M69" s="24"/>
      <c r="N69" s="12"/>
      <c r="O69" s="12"/>
      <c r="P69" s="12"/>
      <c r="Q69" s="12"/>
      <c r="R69" s="12"/>
      <c r="S69" s="26">
        <f t="shared" si="2"/>
        <v>0</v>
      </c>
      <c r="T69" s="27">
        <f t="shared" si="3"/>
        <v>0</v>
      </c>
      <c r="U69" s="30"/>
    </row>
    <row r="70" spans="1:21" x14ac:dyDescent="0.3">
      <c r="A70" s="12">
        <v>0</v>
      </c>
      <c r="B70" s="46" t="s">
        <v>243</v>
      </c>
      <c r="C70" s="12"/>
      <c r="D70" s="12"/>
      <c r="E70" s="12"/>
      <c r="F70" s="12"/>
      <c r="G70" s="12"/>
      <c r="H70" s="12"/>
      <c r="I70" s="12"/>
      <c r="J70" s="12"/>
      <c r="K70" s="23"/>
      <c r="L70" s="23"/>
      <c r="M70" s="24"/>
      <c r="N70" s="12"/>
      <c r="O70" s="12"/>
      <c r="P70" s="12"/>
      <c r="Q70" s="12"/>
      <c r="R70" s="12"/>
      <c r="S70" s="26">
        <f t="shared" si="2"/>
        <v>0</v>
      </c>
      <c r="T70" s="27">
        <f t="shared" si="3"/>
        <v>0</v>
      </c>
      <c r="U70" s="30"/>
    </row>
    <row r="71" spans="1:21" x14ac:dyDescent="0.3">
      <c r="A71" s="12">
        <v>0</v>
      </c>
      <c r="B71" s="46" t="s">
        <v>244</v>
      </c>
      <c r="C71" s="12"/>
      <c r="D71" s="12"/>
      <c r="E71" s="12"/>
      <c r="F71" s="12"/>
      <c r="G71" s="12"/>
      <c r="H71" s="12"/>
      <c r="I71" s="12"/>
      <c r="J71" s="12"/>
      <c r="K71" s="23"/>
      <c r="L71" s="23"/>
      <c r="M71" s="24"/>
      <c r="N71" s="12"/>
      <c r="O71" s="12"/>
      <c r="P71" s="12"/>
      <c r="Q71" s="12"/>
      <c r="R71" s="12"/>
      <c r="S71" s="26">
        <f t="shared" si="2"/>
        <v>0</v>
      </c>
      <c r="T71" s="27">
        <f t="shared" si="3"/>
        <v>0</v>
      </c>
      <c r="U71" s="30"/>
    </row>
    <row r="72" spans="1:21" x14ac:dyDescent="0.3">
      <c r="A72" s="12">
        <v>0</v>
      </c>
      <c r="B72" s="46" t="s">
        <v>246</v>
      </c>
      <c r="C72" s="12"/>
      <c r="D72" s="12"/>
      <c r="E72" s="12"/>
      <c r="F72" s="12"/>
      <c r="G72" s="12"/>
      <c r="H72" s="12"/>
      <c r="I72" s="12"/>
      <c r="J72" s="12"/>
      <c r="K72" s="23"/>
      <c r="L72" s="23"/>
      <c r="M72" s="24"/>
      <c r="N72" s="12"/>
      <c r="O72" s="12"/>
      <c r="P72" s="12"/>
      <c r="Q72" s="12"/>
      <c r="R72" s="12"/>
      <c r="S72" s="26">
        <f t="shared" si="2"/>
        <v>0</v>
      </c>
      <c r="T72" s="27">
        <f t="shared" si="3"/>
        <v>0</v>
      </c>
      <c r="U72" s="30"/>
    </row>
    <row r="73" spans="1:21" x14ac:dyDescent="0.3">
      <c r="A73" s="12">
        <v>0</v>
      </c>
      <c r="B73" s="46" t="s">
        <v>247</v>
      </c>
      <c r="C73" s="12"/>
      <c r="D73" s="12"/>
      <c r="E73" s="12"/>
      <c r="F73" s="12"/>
      <c r="G73" s="12"/>
      <c r="H73" s="12"/>
      <c r="I73" s="12"/>
      <c r="J73" s="12"/>
      <c r="K73" s="23"/>
      <c r="L73" s="23"/>
      <c r="M73" s="24"/>
      <c r="N73" s="12"/>
      <c r="O73" s="12"/>
      <c r="P73" s="12"/>
      <c r="Q73" s="12"/>
      <c r="R73" s="12"/>
      <c r="S73" s="26">
        <f t="shared" si="2"/>
        <v>0</v>
      </c>
      <c r="T73" s="27">
        <f t="shared" si="3"/>
        <v>0</v>
      </c>
      <c r="U73" s="30"/>
    </row>
    <row r="74" spans="1:21" x14ac:dyDescent="0.3">
      <c r="A74" s="12">
        <v>0</v>
      </c>
      <c r="B74" s="46" t="s">
        <v>248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2"/>
        <v>0</v>
      </c>
      <c r="T74" s="27">
        <f t="shared" si="3"/>
        <v>0</v>
      </c>
      <c r="U74" s="30"/>
    </row>
    <row r="75" spans="1:21" x14ac:dyDescent="0.3">
      <c r="A75" s="12">
        <v>0</v>
      </c>
      <c r="B75" s="46" t="s">
        <v>249</v>
      </c>
      <c r="C75" s="12"/>
      <c r="D75" s="12"/>
      <c r="E75" s="12"/>
      <c r="F75" s="12"/>
      <c r="G75" s="12"/>
      <c r="H75" s="12"/>
      <c r="I75" s="12"/>
      <c r="J75" s="12"/>
      <c r="K75" s="23"/>
      <c r="L75" s="23"/>
      <c r="M75" s="24"/>
      <c r="N75" s="12"/>
      <c r="O75" s="12"/>
      <c r="P75" s="12"/>
      <c r="Q75" s="12"/>
      <c r="R75" s="12"/>
      <c r="S75" s="26">
        <f t="shared" si="2"/>
        <v>0</v>
      </c>
      <c r="T75" s="27">
        <f t="shared" si="3"/>
        <v>0</v>
      </c>
      <c r="U75" s="30"/>
    </row>
    <row r="76" spans="1:21" x14ac:dyDescent="0.3">
      <c r="A76" s="12">
        <v>0</v>
      </c>
      <c r="B76" s="46" t="s">
        <v>250</v>
      </c>
      <c r="C76" s="12"/>
      <c r="D76" s="12"/>
      <c r="E76" s="12"/>
      <c r="F76" s="12"/>
      <c r="G76" s="12"/>
      <c r="H76" s="12"/>
      <c r="I76" s="12"/>
      <c r="J76" s="12"/>
      <c r="K76" s="23"/>
      <c r="L76" s="23"/>
      <c r="M76" s="24"/>
      <c r="N76" s="12"/>
      <c r="O76" s="12"/>
      <c r="P76" s="12"/>
      <c r="Q76" s="12"/>
      <c r="R76" s="12"/>
      <c r="S76" s="26">
        <f t="shared" si="2"/>
        <v>0</v>
      </c>
      <c r="T76" s="27">
        <f t="shared" si="3"/>
        <v>0</v>
      </c>
      <c r="U76" s="30"/>
    </row>
    <row r="77" spans="1:21" x14ac:dyDescent="0.3">
      <c r="A77" s="12">
        <v>0</v>
      </c>
      <c r="B77" s="46" t="s">
        <v>251</v>
      </c>
      <c r="C77" s="12"/>
      <c r="D77" s="12"/>
      <c r="E77" s="12"/>
      <c r="F77" s="12"/>
      <c r="G77" s="12"/>
      <c r="H77" s="12"/>
      <c r="I77" s="12"/>
      <c r="J77" s="12"/>
      <c r="K77" s="23"/>
      <c r="L77" s="23"/>
      <c r="M77" s="24"/>
      <c r="N77" s="12"/>
      <c r="O77" s="12"/>
      <c r="P77" s="12"/>
      <c r="Q77" s="12"/>
      <c r="R77" s="12"/>
      <c r="S77" s="26">
        <f t="shared" si="2"/>
        <v>0</v>
      </c>
      <c r="T77" s="27">
        <f t="shared" si="3"/>
        <v>0</v>
      </c>
      <c r="U77" s="30"/>
    </row>
    <row r="78" spans="1:21" x14ac:dyDescent="0.3">
      <c r="A78" s="12">
        <v>0</v>
      </c>
      <c r="B78" s="46" t="s">
        <v>252</v>
      </c>
      <c r="C78" s="12"/>
      <c r="D78" s="12"/>
      <c r="E78" s="12"/>
      <c r="F78" s="12"/>
      <c r="G78" s="12"/>
      <c r="H78" s="12"/>
      <c r="I78" s="12"/>
      <c r="J78" s="12"/>
      <c r="K78" s="23"/>
      <c r="L78" s="23"/>
      <c r="M78" s="24"/>
      <c r="N78" s="12"/>
      <c r="O78" s="12"/>
      <c r="P78" s="12"/>
      <c r="Q78" s="12"/>
      <c r="R78" s="12"/>
      <c r="S78" s="26">
        <f t="shared" si="2"/>
        <v>0</v>
      </c>
      <c r="T78" s="27">
        <f t="shared" si="3"/>
        <v>0</v>
      </c>
      <c r="U78" s="30"/>
    </row>
    <row r="79" spans="1:21" x14ac:dyDescent="0.3">
      <c r="A79" s="12">
        <v>0</v>
      </c>
      <c r="B79" s="46" t="s">
        <v>253</v>
      </c>
      <c r="C79" s="12"/>
      <c r="D79" s="12"/>
      <c r="E79" s="12"/>
      <c r="F79" s="12"/>
      <c r="G79" s="12"/>
      <c r="H79" s="12"/>
      <c r="I79" s="12"/>
      <c r="J79" s="12"/>
      <c r="K79" s="23"/>
      <c r="L79" s="23"/>
      <c r="M79" s="24"/>
      <c r="N79" s="12"/>
      <c r="O79" s="12"/>
      <c r="P79" s="12"/>
      <c r="Q79" s="12"/>
      <c r="R79" s="12"/>
      <c r="S79" s="26">
        <f t="shared" si="2"/>
        <v>0</v>
      </c>
      <c r="T79" s="27">
        <f t="shared" si="3"/>
        <v>0</v>
      </c>
      <c r="U79" s="30"/>
    </row>
    <row r="80" spans="1:21" x14ac:dyDescent="0.3">
      <c r="A80" s="12">
        <v>0</v>
      </c>
      <c r="B80" s="46" t="s">
        <v>254</v>
      </c>
      <c r="C80" s="12"/>
      <c r="D80" s="12"/>
      <c r="E80" s="12"/>
      <c r="F80" s="12"/>
      <c r="G80" s="28"/>
      <c r="H80" s="12"/>
      <c r="I80" s="12"/>
      <c r="J80" s="12"/>
      <c r="K80" s="23"/>
      <c r="L80" s="23"/>
      <c r="M80" s="24"/>
      <c r="N80" s="12"/>
      <c r="O80" s="12"/>
      <c r="P80" s="12"/>
      <c r="Q80" s="12"/>
      <c r="R80" s="12"/>
      <c r="S80" s="26">
        <f t="shared" ref="S80:S86" si="4">R80+M80</f>
        <v>0</v>
      </c>
      <c r="T80" s="27">
        <f t="shared" ref="T80:T86" si="5">S80*A80</f>
        <v>0</v>
      </c>
      <c r="U80" s="30"/>
    </row>
    <row r="81" spans="1:21" x14ac:dyDescent="0.3">
      <c r="A81" s="12">
        <v>0</v>
      </c>
      <c r="B81" s="46" t="s">
        <v>255</v>
      </c>
      <c r="C81" s="12"/>
      <c r="D81" s="12"/>
      <c r="E81" s="12"/>
      <c r="F81" s="12"/>
      <c r="G81" s="28"/>
      <c r="H81" s="12"/>
      <c r="I81" s="12"/>
      <c r="J81" s="12"/>
      <c r="K81" s="23"/>
      <c r="L81" s="23"/>
      <c r="M81" s="24"/>
      <c r="N81" s="12"/>
      <c r="O81" s="12"/>
      <c r="P81" s="12"/>
      <c r="Q81" s="12"/>
      <c r="R81" s="12"/>
      <c r="S81" s="26">
        <f t="shared" si="4"/>
        <v>0</v>
      </c>
      <c r="T81" s="27">
        <f t="shared" si="5"/>
        <v>0</v>
      </c>
      <c r="U81" s="30"/>
    </row>
    <row r="82" spans="1:21" x14ac:dyDescent="0.3">
      <c r="A82" s="12">
        <v>0</v>
      </c>
      <c r="B82" s="46" t="s">
        <v>256</v>
      </c>
      <c r="C82" s="12"/>
      <c r="D82" s="12"/>
      <c r="E82" s="12"/>
      <c r="F82" s="12"/>
      <c r="G82" s="12"/>
      <c r="H82" s="12"/>
      <c r="I82" s="12"/>
      <c r="J82" s="12"/>
      <c r="K82" s="23"/>
      <c r="L82" s="23"/>
      <c r="M82" s="24"/>
      <c r="N82" s="12"/>
      <c r="O82" s="12"/>
      <c r="P82" s="12"/>
      <c r="Q82" s="12"/>
      <c r="R82" s="12"/>
      <c r="S82" s="26">
        <f t="shared" si="4"/>
        <v>0</v>
      </c>
      <c r="T82" s="27">
        <f t="shared" si="5"/>
        <v>0</v>
      </c>
      <c r="U82" s="30"/>
    </row>
    <row r="83" spans="1:21" x14ac:dyDescent="0.3">
      <c r="A83" s="12">
        <v>0</v>
      </c>
      <c r="B83" s="46" t="s">
        <v>258</v>
      </c>
      <c r="C83" s="12"/>
      <c r="D83" s="12"/>
      <c r="E83" s="12"/>
      <c r="F83" s="12"/>
      <c r="G83" s="12"/>
      <c r="H83" s="12"/>
      <c r="I83" s="12"/>
      <c r="J83" s="12"/>
      <c r="K83" s="23"/>
      <c r="L83" s="23"/>
      <c r="M83" s="24"/>
      <c r="N83" s="12"/>
      <c r="O83" s="12"/>
      <c r="P83" s="12"/>
      <c r="Q83" s="12"/>
      <c r="R83" s="12"/>
      <c r="S83" s="26">
        <f t="shared" si="4"/>
        <v>0</v>
      </c>
      <c r="T83" s="27">
        <f t="shared" si="5"/>
        <v>0</v>
      </c>
      <c r="U83" s="30"/>
    </row>
    <row r="84" spans="1:21" x14ac:dyDescent="0.3">
      <c r="A84" s="12">
        <v>0</v>
      </c>
      <c r="B84" s="46" t="s">
        <v>259</v>
      </c>
      <c r="C84" s="12"/>
      <c r="D84" s="12"/>
      <c r="E84" s="12"/>
      <c r="F84" s="12"/>
      <c r="G84" s="12"/>
      <c r="H84" s="12"/>
      <c r="I84" s="12"/>
      <c r="J84" s="12"/>
      <c r="K84" s="23"/>
      <c r="L84" s="23"/>
      <c r="M84" s="24"/>
      <c r="N84" s="12"/>
      <c r="O84" s="12"/>
      <c r="P84" s="12"/>
      <c r="Q84" s="12"/>
      <c r="R84" s="12"/>
      <c r="S84" s="26">
        <f t="shared" si="4"/>
        <v>0</v>
      </c>
      <c r="T84" s="27">
        <f t="shared" si="5"/>
        <v>0</v>
      </c>
      <c r="U84" s="30"/>
    </row>
    <row r="85" spans="1:21" x14ac:dyDescent="0.3">
      <c r="A85" s="12">
        <v>0</v>
      </c>
      <c r="B85" s="46" t="s">
        <v>260</v>
      </c>
      <c r="C85" s="12"/>
      <c r="D85" s="12"/>
      <c r="E85" s="12"/>
      <c r="F85" s="12"/>
      <c r="G85" s="12"/>
      <c r="H85" s="12"/>
      <c r="I85" s="12"/>
      <c r="J85" s="12"/>
      <c r="K85" s="23"/>
      <c r="L85" s="23"/>
      <c r="M85" s="24"/>
      <c r="N85" s="12"/>
      <c r="O85" s="12"/>
      <c r="P85" s="12"/>
      <c r="Q85" s="12"/>
      <c r="R85" s="12"/>
      <c r="S85" s="26">
        <f t="shared" si="4"/>
        <v>0</v>
      </c>
      <c r="T85" s="27">
        <f t="shared" si="5"/>
        <v>0</v>
      </c>
      <c r="U85" s="30"/>
    </row>
    <row r="86" spans="1:21" x14ac:dyDescent="0.3">
      <c r="A86" s="12">
        <v>0</v>
      </c>
      <c r="B86" s="46" t="s">
        <v>261</v>
      </c>
      <c r="C86" s="12"/>
      <c r="D86" s="12"/>
      <c r="E86" s="12"/>
      <c r="F86" s="12"/>
      <c r="G86" s="12"/>
      <c r="H86" s="12"/>
      <c r="I86" s="12"/>
      <c r="J86" s="12"/>
      <c r="K86" s="23"/>
      <c r="L86" s="23"/>
      <c r="M86" s="24"/>
      <c r="N86" s="12"/>
      <c r="O86" s="12"/>
      <c r="P86" s="12"/>
      <c r="Q86" s="12"/>
      <c r="R86" s="12"/>
      <c r="S86" s="26">
        <f t="shared" si="4"/>
        <v>0</v>
      </c>
      <c r="T86" s="27">
        <f t="shared" si="5"/>
        <v>0</v>
      </c>
      <c r="U86" s="30"/>
    </row>
    <row r="87" spans="1:21" x14ac:dyDescent="0.3">
      <c r="A87" s="12">
        <v>0</v>
      </c>
      <c r="B87" s="46" t="s">
        <v>262</v>
      </c>
      <c r="C87" s="12"/>
      <c r="D87" s="12"/>
      <c r="E87" s="12"/>
      <c r="F87" s="12"/>
      <c r="G87" s="12"/>
      <c r="H87" s="12"/>
      <c r="I87" s="12"/>
      <c r="J87" s="12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">
      <c r="A88" s="12">
        <v>0</v>
      </c>
      <c r="B88" s="46" t="s">
        <v>263</v>
      </c>
      <c r="C88" s="12"/>
      <c r="D88" s="12"/>
      <c r="E88" s="25"/>
      <c r="F88" s="25"/>
      <c r="G88" s="25"/>
      <c r="H88" s="25"/>
      <c r="I88" s="25"/>
      <c r="J88" s="25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">
      <c r="A89" s="12">
        <v>0</v>
      </c>
      <c r="B89" s="46" t="s">
        <v>264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6" t="s">
        <v>265</v>
      </c>
      <c r="C90" s="12"/>
      <c r="D90" s="12"/>
      <c r="E90" s="12"/>
      <c r="F90" s="12"/>
      <c r="G90" s="12"/>
      <c r="H90" s="12"/>
      <c r="I90" s="12"/>
      <c r="J90" s="12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7" t="s">
        <v>266</v>
      </c>
      <c r="C91" s="12"/>
      <c r="D91" s="12"/>
      <c r="E91" s="25"/>
      <c r="F91" s="12"/>
      <c r="G91" s="12"/>
      <c r="H91" s="12"/>
      <c r="I91" s="12"/>
      <c r="J91" s="12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6" t="s">
        <v>267</v>
      </c>
      <c r="C92" s="12"/>
      <c r="D92" s="12"/>
      <c r="E92" s="12"/>
      <c r="F92" s="12"/>
      <c r="G92" s="12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6" t="s">
        <v>269</v>
      </c>
      <c r="C93" s="12"/>
      <c r="D93" s="12"/>
      <c r="E93" s="12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6" t="s">
        <v>270</v>
      </c>
      <c r="C94" s="12"/>
      <c r="D94" s="12"/>
      <c r="E94" s="12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6" t="s">
        <v>271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6" t="s">
        <v>272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6" t="s">
        <v>273</v>
      </c>
      <c r="C97" s="12"/>
      <c r="D97" s="12"/>
      <c r="E97" s="12"/>
      <c r="F97" s="12"/>
      <c r="G97" s="12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6" t="s">
        <v>274</v>
      </c>
      <c r="C98" s="12"/>
      <c r="D98" s="12"/>
      <c r="E98" s="12"/>
      <c r="F98" s="12"/>
      <c r="G98" s="12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6" t="s">
        <v>275</v>
      </c>
      <c r="C99" s="12"/>
      <c r="D99" s="12"/>
      <c r="E99" s="12"/>
      <c r="F99" s="12"/>
      <c r="G99" s="12"/>
      <c r="H99" s="12"/>
      <c r="I99" s="12"/>
      <c r="J99" s="12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6" t="s">
        <v>276</v>
      </c>
      <c r="C100" s="12"/>
      <c r="D100" s="12"/>
      <c r="E100" s="12"/>
      <c r="F100" s="12"/>
      <c r="G100" s="12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6" t="s">
        <v>277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6" t="s">
        <v>278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6" t="s">
        <v>279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6" t="s">
        <v>281</v>
      </c>
      <c r="C104" s="12"/>
      <c r="D104" s="12"/>
      <c r="E104" s="12"/>
      <c r="F104" s="12"/>
      <c r="G104" s="12"/>
      <c r="H104" s="12"/>
      <c r="I104" s="12"/>
      <c r="J104" s="12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6" t="s">
        <v>283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6" t="s">
        <v>284</v>
      </c>
      <c r="C106" s="12"/>
      <c r="D106" s="12"/>
      <c r="E106" s="12"/>
      <c r="F106" s="12"/>
      <c r="G106" s="12"/>
      <c r="H106" s="12"/>
      <c r="I106" s="12"/>
      <c r="J106" s="12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6" t="s">
        <v>285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6" t="s">
        <v>287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6" t="s">
        <v>288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6" t="s">
        <v>289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6" t="s">
        <v>290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6" t="s">
        <v>291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6" t="s">
        <v>292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6" t="s">
        <v>293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6" t="s">
        <v>295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6" t="s">
        <v>296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6" t="s">
        <v>298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6" t="s">
        <v>193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6" t="s">
        <v>300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6" t="s">
        <v>301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6" t="s">
        <v>303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6" t="s">
        <v>304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6" t="s">
        <v>305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6" t="s">
        <v>306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6" t="s">
        <v>307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6" t="s">
        <v>308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6" t="s">
        <v>309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">
      <c r="A128" s="48">
        <v>0</v>
      </c>
      <c r="B128" s="49" t="s">
        <v>310</v>
      </c>
      <c r="C128" s="50"/>
      <c r="D128" s="50"/>
      <c r="E128" s="51"/>
      <c r="F128" s="51"/>
      <c r="G128" s="51"/>
      <c r="H128" s="51"/>
      <c r="I128" s="51"/>
      <c r="J128" s="51"/>
      <c r="K128" s="52"/>
      <c r="L128" s="52"/>
      <c r="M128" s="53"/>
      <c r="N128" s="54"/>
      <c r="P128" s="51"/>
      <c r="Q128" s="51"/>
      <c r="R128" s="51"/>
      <c r="S128" s="51"/>
      <c r="T128" s="51"/>
    </row>
    <row r="129" spans="1:20" x14ac:dyDescent="0.3">
      <c r="A129" s="48">
        <v>0</v>
      </c>
      <c r="B129" s="49" t="s">
        <v>311</v>
      </c>
      <c r="C129" s="50"/>
      <c r="D129" s="50"/>
      <c r="E129" s="51"/>
      <c r="F129" s="51"/>
      <c r="G129" s="51"/>
      <c r="H129" s="51"/>
      <c r="I129" s="51"/>
      <c r="J129" s="51"/>
      <c r="K129" s="52"/>
      <c r="L129" s="52"/>
      <c r="M129" s="53"/>
      <c r="N129" s="54"/>
      <c r="P129" s="51"/>
      <c r="Q129" s="51"/>
      <c r="R129" s="51"/>
      <c r="S129" s="51"/>
      <c r="T129" s="51"/>
    </row>
    <row r="130" spans="1:20" x14ac:dyDescent="0.3">
      <c r="A130" s="48">
        <v>0</v>
      </c>
      <c r="B130" s="49" t="s">
        <v>312</v>
      </c>
      <c r="C130" s="50"/>
      <c r="D130" s="50"/>
      <c r="E130" s="51"/>
      <c r="F130" s="51"/>
      <c r="G130" s="51"/>
      <c r="H130" s="51"/>
      <c r="I130" s="51"/>
      <c r="J130" s="51"/>
      <c r="K130" s="52"/>
      <c r="L130" s="52"/>
      <c r="M130" s="53"/>
      <c r="N130" s="54"/>
      <c r="P130" s="51"/>
      <c r="Q130" s="51"/>
      <c r="R130" s="51"/>
      <c r="S130" s="51"/>
      <c r="T130" s="51"/>
    </row>
    <row r="131" spans="1:20" x14ac:dyDescent="0.3">
      <c r="A131" s="48">
        <v>0</v>
      </c>
      <c r="B131" s="49" t="s">
        <v>314</v>
      </c>
      <c r="C131" s="50"/>
      <c r="D131" s="50"/>
      <c r="E131" s="51"/>
      <c r="F131" s="51"/>
      <c r="G131" s="51"/>
      <c r="H131" s="51"/>
      <c r="I131" s="51"/>
      <c r="J131" s="51"/>
      <c r="K131" s="52"/>
      <c r="L131" s="52"/>
      <c r="M131" s="53"/>
      <c r="N131" s="54"/>
      <c r="P131" s="51"/>
      <c r="Q131" s="51"/>
      <c r="R131" s="51"/>
      <c r="S131" s="51"/>
      <c r="T131" s="51"/>
    </row>
    <row r="132" spans="1:20" x14ac:dyDescent="0.3">
      <c r="A132" s="48">
        <v>0</v>
      </c>
      <c r="B132" s="49" t="s">
        <v>315</v>
      </c>
      <c r="C132" s="50"/>
      <c r="D132" s="50"/>
      <c r="E132" s="51"/>
      <c r="F132" s="51"/>
      <c r="G132" s="51"/>
      <c r="H132" s="51"/>
      <c r="I132" s="51"/>
      <c r="J132" s="51"/>
      <c r="K132" s="52"/>
      <c r="L132" s="52"/>
      <c r="M132" s="53"/>
      <c r="N132" s="54"/>
      <c r="P132" s="51"/>
      <c r="Q132" s="51"/>
      <c r="R132" s="51"/>
      <c r="S132" s="51"/>
      <c r="T132" s="51"/>
    </row>
    <row r="133" spans="1:20" x14ac:dyDescent="0.3">
      <c r="A133" s="48">
        <v>0</v>
      </c>
      <c r="B133" s="49" t="s">
        <v>316</v>
      </c>
      <c r="C133" s="50"/>
      <c r="D133" s="50"/>
      <c r="E133" s="51"/>
      <c r="F133" s="51"/>
      <c r="G133" s="51"/>
      <c r="H133" s="51"/>
      <c r="I133" s="51"/>
      <c r="J133" s="51"/>
      <c r="K133" s="52"/>
      <c r="L133" s="52"/>
      <c r="M133" s="53"/>
      <c r="N133" s="54"/>
      <c r="P133" s="51"/>
      <c r="Q133" s="51"/>
      <c r="R133" s="51"/>
      <c r="S133" s="51"/>
      <c r="T133" s="51"/>
    </row>
    <row r="134" spans="1:20" x14ac:dyDescent="0.3">
      <c r="A134" s="48">
        <v>0</v>
      </c>
      <c r="B134" s="49" t="s">
        <v>317</v>
      </c>
      <c r="C134" s="50"/>
      <c r="D134" s="50"/>
      <c r="E134" s="51"/>
      <c r="F134" s="51"/>
      <c r="G134" s="51"/>
      <c r="H134" s="51"/>
      <c r="I134" s="51"/>
      <c r="J134" s="51"/>
      <c r="K134" s="52"/>
      <c r="L134" s="52"/>
      <c r="M134" s="53"/>
      <c r="N134" s="54"/>
      <c r="P134" s="51"/>
      <c r="Q134" s="51"/>
      <c r="R134" s="51"/>
      <c r="S134" s="51"/>
      <c r="T134" s="51"/>
    </row>
    <row r="135" spans="1:20" x14ac:dyDescent="0.3">
      <c r="A135" s="48">
        <v>0</v>
      </c>
      <c r="B135" s="49" t="s">
        <v>319</v>
      </c>
      <c r="C135" s="50"/>
      <c r="D135" s="50"/>
      <c r="E135" s="51"/>
      <c r="F135" s="51"/>
      <c r="G135" s="51"/>
      <c r="H135" s="51"/>
      <c r="I135" s="51"/>
      <c r="J135" s="51"/>
      <c r="K135" s="52"/>
      <c r="L135" s="52"/>
      <c r="M135" s="53"/>
      <c r="N135" s="54"/>
      <c r="P135" s="51"/>
      <c r="Q135" s="51"/>
      <c r="R135" s="51"/>
      <c r="S135" s="51"/>
      <c r="T135" s="51"/>
    </row>
    <row r="136" spans="1:20" x14ac:dyDescent="0.3">
      <c r="A136" s="48">
        <v>0</v>
      </c>
      <c r="B136" s="49" t="s">
        <v>320</v>
      </c>
      <c r="C136" s="50"/>
      <c r="D136" s="50"/>
      <c r="E136" s="51"/>
      <c r="F136" s="51"/>
      <c r="G136" s="51"/>
      <c r="H136" s="51"/>
      <c r="I136" s="51"/>
      <c r="J136" s="51"/>
      <c r="K136" s="52"/>
      <c r="L136" s="52"/>
      <c r="M136" s="53"/>
      <c r="N136" s="54"/>
      <c r="P136" s="51"/>
      <c r="Q136" s="51"/>
      <c r="R136" s="51"/>
      <c r="S136" s="51"/>
      <c r="T136" s="51"/>
    </row>
    <row r="137" spans="1:20" x14ac:dyDescent="0.3">
      <c r="A137" s="48">
        <v>0</v>
      </c>
      <c r="B137" s="49" t="s">
        <v>321</v>
      </c>
      <c r="C137" s="50"/>
      <c r="D137" s="50"/>
      <c r="E137" s="51"/>
      <c r="F137" s="51"/>
      <c r="G137" s="51"/>
      <c r="H137" s="51"/>
      <c r="I137" s="51"/>
      <c r="J137" s="51"/>
      <c r="K137" s="52"/>
      <c r="L137" s="52"/>
      <c r="M137" s="53"/>
      <c r="N137" s="54"/>
      <c r="P137" s="51"/>
      <c r="Q137" s="51"/>
      <c r="R137" s="51"/>
      <c r="S137" s="51"/>
      <c r="T137" s="51"/>
    </row>
    <row r="138" spans="1:20" x14ac:dyDescent="0.3">
      <c r="A138" s="48">
        <v>0</v>
      </c>
      <c r="B138" s="49" t="s">
        <v>322</v>
      </c>
      <c r="C138" s="50"/>
      <c r="D138" s="50"/>
      <c r="E138" s="51"/>
      <c r="F138" s="51"/>
      <c r="G138" s="51"/>
      <c r="H138" s="51"/>
      <c r="I138" s="51"/>
      <c r="J138" s="51"/>
      <c r="K138" s="52"/>
      <c r="L138" s="52"/>
      <c r="M138" s="53"/>
      <c r="N138" s="54"/>
      <c r="P138" s="51"/>
      <c r="Q138" s="51"/>
      <c r="R138" s="51"/>
      <c r="S138" s="51"/>
      <c r="T138" s="51"/>
    </row>
    <row r="139" spans="1:20" x14ac:dyDescent="0.3">
      <c r="A139" s="48">
        <v>0</v>
      </c>
      <c r="B139" s="49" t="s">
        <v>323</v>
      </c>
      <c r="C139" s="50"/>
      <c r="D139" s="50"/>
      <c r="E139" s="51"/>
      <c r="F139" s="51"/>
      <c r="G139" s="51"/>
      <c r="H139" s="51"/>
      <c r="I139" s="51"/>
      <c r="J139" s="51"/>
      <c r="K139" s="52"/>
      <c r="L139" s="52"/>
      <c r="M139" s="53"/>
      <c r="N139" s="54"/>
      <c r="P139" s="51"/>
      <c r="Q139" s="51"/>
      <c r="R139" s="51"/>
      <c r="S139" s="51"/>
      <c r="T139" s="51"/>
    </row>
    <row r="140" spans="1:20" x14ac:dyDescent="0.3">
      <c r="A140" s="48">
        <v>0</v>
      </c>
      <c r="B140" s="49" t="s">
        <v>328</v>
      </c>
      <c r="C140" s="50"/>
      <c r="D140" s="50"/>
      <c r="E140" s="51"/>
      <c r="F140" s="51"/>
      <c r="G140" s="51"/>
      <c r="H140" s="51"/>
      <c r="I140" s="51"/>
      <c r="J140" s="51"/>
      <c r="K140" s="52"/>
      <c r="L140" s="52"/>
      <c r="M140" s="53"/>
      <c r="N140" s="54"/>
      <c r="P140" s="51"/>
      <c r="Q140" s="51"/>
      <c r="R140" s="51"/>
      <c r="S140" s="51"/>
      <c r="T140" s="51"/>
    </row>
    <row r="141" spans="1:20" x14ac:dyDescent="0.3">
      <c r="A141" s="48">
        <v>0</v>
      </c>
      <c r="B141" s="49" t="s">
        <v>330</v>
      </c>
      <c r="C141" s="50"/>
      <c r="D141" s="50"/>
      <c r="E141" s="51"/>
      <c r="F141" s="51"/>
      <c r="G141" s="51"/>
      <c r="H141" s="51"/>
      <c r="I141" s="51"/>
      <c r="J141" s="51"/>
      <c r="K141" s="52"/>
      <c r="L141" s="52"/>
      <c r="M141" s="53"/>
      <c r="N141" s="54"/>
      <c r="P141" s="51"/>
      <c r="Q141" s="51"/>
      <c r="R141" s="51"/>
      <c r="S141" s="51"/>
      <c r="T141" s="51"/>
    </row>
    <row r="142" spans="1:20" x14ac:dyDescent="0.3">
      <c r="A142" s="48">
        <v>0</v>
      </c>
      <c r="B142" s="49" t="s">
        <v>331</v>
      </c>
      <c r="C142" s="50"/>
      <c r="D142" s="50"/>
      <c r="E142" s="51"/>
      <c r="F142" s="51"/>
      <c r="G142" s="51"/>
      <c r="H142" s="51"/>
      <c r="I142" s="51"/>
      <c r="J142" s="51"/>
      <c r="K142" s="52"/>
      <c r="L142" s="52"/>
      <c r="M142" s="53"/>
      <c r="N142" s="54"/>
      <c r="P142" s="51"/>
      <c r="Q142" s="51"/>
      <c r="R142" s="51"/>
      <c r="S142" s="51"/>
      <c r="T142" s="51"/>
    </row>
    <row r="143" spans="1:20" x14ac:dyDescent="0.3">
      <c r="A143" s="48">
        <v>0</v>
      </c>
      <c r="B143" s="49" t="s">
        <v>332</v>
      </c>
      <c r="C143" s="50"/>
      <c r="D143" s="50"/>
      <c r="E143" s="51"/>
      <c r="F143" s="51"/>
      <c r="G143" s="51"/>
      <c r="H143" s="51"/>
      <c r="I143" s="51"/>
      <c r="J143" s="51"/>
      <c r="K143" s="52"/>
      <c r="L143" s="52"/>
      <c r="M143" s="53"/>
      <c r="N143" s="54"/>
      <c r="P143" s="51"/>
      <c r="Q143" s="51"/>
      <c r="R143" s="51"/>
      <c r="S143" s="51"/>
      <c r="T143" s="51"/>
    </row>
    <row r="144" spans="1:20" x14ac:dyDescent="0.3">
      <c r="A144" s="48">
        <v>0</v>
      </c>
      <c r="B144" s="49" t="s">
        <v>333</v>
      </c>
      <c r="C144" s="50"/>
      <c r="D144" s="50"/>
      <c r="E144" s="51"/>
      <c r="F144" s="51"/>
      <c r="G144" s="51"/>
      <c r="H144" s="51"/>
      <c r="I144" s="51"/>
      <c r="J144" s="51"/>
      <c r="K144" s="52"/>
      <c r="L144" s="52"/>
      <c r="M144" s="53"/>
      <c r="N144" s="54"/>
      <c r="P144" s="51"/>
      <c r="Q144" s="51"/>
      <c r="R144" s="51"/>
      <c r="S144" s="51"/>
      <c r="T144" s="51"/>
    </row>
    <row r="145" spans="1:20" x14ac:dyDescent="0.3">
      <c r="A145" s="48">
        <v>0</v>
      </c>
      <c r="B145" s="49" t="s">
        <v>334</v>
      </c>
      <c r="C145" s="50"/>
      <c r="D145" s="50"/>
      <c r="E145" s="51"/>
      <c r="F145" s="51"/>
      <c r="G145" s="51"/>
      <c r="H145" s="51"/>
      <c r="I145" s="51"/>
      <c r="J145" s="51"/>
      <c r="K145" s="52"/>
      <c r="L145" s="52"/>
      <c r="M145" s="53"/>
      <c r="N145" s="54"/>
      <c r="P145" s="51"/>
      <c r="Q145" s="51"/>
      <c r="R145" s="51"/>
      <c r="S145" s="51"/>
      <c r="T145" s="51"/>
    </row>
    <row r="146" spans="1:20" x14ac:dyDescent="0.3">
      <c r="A146" s="48">
        <v>0</v>
      </c>
      <c r="B146" s="49" t="s">
        <v>335</v>
      </c>
      <c r="C146" s="50"/>
      <c r="D146" s="50"/>
      <c r="E146" s="51"/>
      <c r="F146" s="51"/>
      <c r="G146" s="51"/>
      <c r="H146" s="51"/>
      <c r="I146" s="51"/>
      <c r="J146" s="51"/>
      <c r="K146" s="52"/>
      <c r="L146" s="52"/>
      <c r="M146" s="53"/>
      <c r="N146" s="54"/>
      <c r="P146" s="51"/>
      <c r="Q146" s="51"/>
      <c r="R146" s="51"/>
      <c r="S146" s="51"/>
      <c r="T146" s="51"/>
    </row>
    <row r="147" spans="1:20" x14ac:dyDescent="0.3">
      <c r="A147" s="48">
        <v>0</v>
      </c>
      <c r="B147" s="49" t="s">
        <v>336</v>
      </c>
      <c r="C147" s="50"/>
      <c r="D147" s="50"/>
      <c r="E147" s="51"/>
      <c r="F147" s="51"/>
      <c r="G147" s="51"/>
      <c r="H147" s="51"/>
      <c r="I147" s="51"/>
      <c r="J147" s="51"/>
      <c r="K147" s="52"/>
      <c r="L147" s="52"/>
      <c r="M147" s="53"/>
      <c r="N147" s="54"/>
      <c r="P147" s="51"/>
      <c r="Q147" s="51"/>
      <c r="R147" s="51"/>
      <c r="S147" s="51"/>
      <c r="T147" s="51"/>
    </row>
    <row r="148" spans="1:20" x14ac:dyDescent="0.3">
      <c r="A148" s="48">
        <v>0</v>
      </c>
      <c r="B148" s="49" t="s">
        <v>337</v>
      </c>
      <c r="C148" s="50"/>
      <c r="D148" s="50"/>
      <c r="E148" s="51"/>
      <c r="F148" s="51"/>
      <c r="G148" s="51"/>
      <c r="H148" s="51"/>
      <c r="I148" s="51"/>
      <c r="J148" s="51"/>
      <c r="K148" s="52"/>
      <c r="L148" s="52"/>
      <c r="M148" s="53"/>
      <c r="N148" s="54"/>
      <c r="P148" s="51"/>
      <c r="Q148" s="51"/>
      <c r="R148" s="51"/>
      <c r="S148" s="51"/>
      <c r="T148" s="51"/>
    </row>
    <row r="149" spans="1:20" x14ac:dyDescent="0.3">
      <c r="A149" s="48">
        <v>0</v>
      </c>
      <c r="B149" s="49" t="s">
        <v>338</v>
      </c>
      <c r="C149" s="50"/>
      <c r="D149" s="50"/>
      <c r="E149" s="51"/>
      <c r="F149" s="51"/>
      <c r="G149" s="51"/>
      <c r="H149" s="51"/>
      <c r="I149" s="51"/>
      <c r="J149" s="51"/>
      <c r="K149" s="52"/>
      <c r="L149" s="52"/>
      <c r="M149" s="53"/>
      <c r="N149" s="54"/>
      <c r="P149" s="51"/>
      <c r="Q149" s="51"/>
      <c r="R149" s="51"/>
      <c r="S149" s="51"/>
      <c r="T149" s="51"/>
    </row>
    <row r="150" spans="1:20" x14ac:dyDescent="0.3">
      <c r="A150" s="48">
        <v>0</v>
      </c>
      <c r="B150" s="49" t="s">
        <v>339</v>
      </c>
      <c r="C150" s="50"/>
      <c r="D150" s="50"/>
      <c r="E150" s="51"/>
      <c r="F150" s="51"/>
      <c r="G150" s="51"/>
      <c r="H150" s="51"/>
      <c r="I150" s="51"/>
      <c r="J150" s="51"/>
      <c r="K150" s="52"/>
      <c r="L150" s="52"/>
      <c r="M150" s="53"/>
      <c r="N150" s="54"/>
      <c r="P150" s="51"/>
      <c r="Q150" s="51"/>
      <c r="R150" s="51"/>
      <c r="S150" s="51"/>
      <c r="T150" s="51"/>
    </row>
    <row r="151" spans="1:20" x14ac:dyDescent="0.3">
      <c r="A151" s="48">
        <v>0</v>
      </c>
      <c r="B151" s="49" t="s">
        <v>342</v>
      </c>
      <c r="C151" s="50"/>
      <c r="D151" s="50"/>
      <c r="E151" s="51"/>
      <c r="F151" s="51"/>
      <c r="G151" s="51"/>
      <c r="H151" s="51"/>
      <c r="I151" s="51"/>
      <c r="J151" s="51"/>
      <c r="K151" s="52"/>
      <c r="L151" s="52"/>
      <c r="M151" s="53"/>
      <c r="N151" s="54"/>
      <c r="P151" s="51"/>
      <c r="Q151" s="51"/>
      <c r="R151" s="51"/>
      <c r="S151" s="51"/>
      <c r="T151" s="51"/>
    </row>
    <row r="152" spans="1:20" x14ac:dyDescent="0.3">
      <c r="A152" s="48">
        <v>0</v>
      </c>
      <c r="B152" s="49" t="s">
        <v>343</v>
      </c>
      <c r="C152" s="50"/>
      <c r="D152" s="50"/>
      <c r="E152" s="51"/>
      <c r="F152" s="51"/>
      <c r="G152" s="51"/>
      <c r="H152" s="51"/>
      <c r="I152" s="51"/>
      <c r="J152" s="51"/>
      <c r="K152" s="52"/>
      <c r="L152" s="52"/>
      <c r="M152" s="53"/>
      <c r="N152" s="54"/>
      <c r="P152" s="51"/>
      <c r="Q152" s="51"/>
      <c r="R152" s="51"/>
      <c r="S152" s="51"/>
      <c r="T152" s="51"/>
    </row>
    <row r="153" spans="1:20" x14ac:dyDescent="0.3">
      <c r="A153" s="48">
        <v>0</v>
      </c>
      <c r="B153" s="49" t="s">
        <v>344</v>
      </c>
      <c r="C153" s="50"/>
      <c r="D153" s="50"/>
      <c r="E153" s="51"/>
      <c r="F153" s="51"/>
      <c r="G153" s="51"/>
      <c r="H153" s="51"/>
      <c r="I153" s="51"/>
      <c r="J153" s="51"/>
      <c r="K153" s="52"/>
      <c r="L153" s="52"/>
      <c r="M153" s="53"/>
      <c r="N153" s="54"/>
      <c r="P153" s="51"/>
      <c r="Q153" s="51"/>
      <c r="R153" s="51"/>
      <c r="S153" s="51"/>
      <c r="T153" s="51"/>
    </row>
    <row r="154" spans="1:20" x14ac:dyDescent="0.3">
      <c r="A154" s="48">
        <v>0</v>
      </c>
      <c r="B154" s="49" t="s">
        <v>345</v>
      </c>
      <c r="C154" s="50"/>
      <c r="D154" s="50"/>
      <c r="E154" s="51"/>
      <c r="F154" s="51"/>
      <c r="G154" s="51"/>
      <c r="H154" s="51"/>
      <c r="I154" s="51"/>
      <c r="J154" s="51"/>
      <c r="K154" s="52"/>
      <c r="L154" s="52"/>
      <c r="M154" s="53"/>
      <c r="N154" s="54"/>
      <c r="P154" s="51"/>
      <c r="Q154" s="51"/>
      <c r="R154" s="51"/>
      <c r="S154" s="51"/>
      <c r="T154" s="51"/>
    </row>
    <row r="155" spans="1:20" x14ac:dyDescent="0.3">
      <c r="A155" s="48">
        <v>0</v>
      </c>
      <c r="B155" s="49" t="s">
        <v>346</v>
      </c>
      <c r="C155" s="50"/>
      <c r="D155" s="50"/>
      <c r="E155" s="51"/>
      <c r="F155" s="51"/>
      <c r="G155" s="51"/>
      <c r="H155" s="51"/>
      <c r="I155" s="51"/>
      <c r="J155" s="51"/>
      <c r="K155" s="52"/>
      <c r="L155" s="52"/>
      <c r="M155" s="53"/>
      <c r="N155" s="54"/>
      <c r="P155" s="51"/>
      <c r="Q155" s="51"/>
      <c r="R155" s="51"/>
      <c r="S155" s="51"/>
      <c r="T155" s="51"/>
    </row>
    <row r="156" spans="1:20" x14ac:dyDescent="0.3">
      <c r="A156" s="48">
        <v>0</v>
      </c>
      <c r="B156" s="49" t="s">
        <v>347</v>
      </c>
      <c r="C156" s="50"/>
      <c r="D156" s="50"/>
      <c r="E156" s="51"/>
      <c r="F156" s="51"/>
      <c r="G156" s="51"/>
      <c r="H156" s="51"/>
      <c r="I156" s="51"/>
      <c r="J156" s="51"/>
      <c r="K156" s="52"/>
      <c r="L156" s="52"/>
      <c r="M156" s="53"/>
      <c r="N156" s="54"/>
      <c r="P156" s="51"/>
      <c r="Q156" s="51"/>
      <c r="R156" s="51"/>
      <c r="S156" s="51"/>
      <c r="T156" s="51"/>
    </row>
    <row r="157" spans="1:20" x14ac:dyDescent="0.3">
      <c r="A157" s="48">
        <v>0</v>
      </c>
      <c r="B157" s="49" t="s">
        <v>348</v>
      </c>
      <c r="C157" s="50"/>
      <c r="D157" s="50"/>
      <c r="E157" s="51"/>
      <c r="F157" s="51"/>
      <c r="G157" s="51"/>
      <c r="H157" s="51"/>
      <c r="I157" s="51"/>
      <c r="J157" s="51"/>
      <c r="K157" s="52"/>
      <c r="L157" s="52"/>
      <c r="M157" s="53"/>
      <c r="N157" s="54"/>
      <c r="P157" s="51"/>
      <c r="Q157" s="51"/>
      <c r="R157" s="51"/>
      <c r="S157" s="51"/>
      <c r="T157" s="51"/>
    </row>
    <row r="158" spans="1:20" x14ac:dyDescent="0.3">
      <c r="A158" s="48">
        <v>0</v>
      </c>
      <c r="B158" s="49" t="s">
        <v>349</v>
      </c>
      <c r="C158" s="50"/>
      <c r="D158" s="50"/>
      <c r="E158" s="51"/>
      <c r="F158" s="51"/>
      <c r="G158" s="51"/>
      <c r="H158" s="51"/>
      <c r="I158" s="51"/>
      <c r="J158" s="51"/>
      <c r="K158" s="52"/>
      <c r="L158" s="52"/>
      <c r="M158" s="53"/>
      <c r="N158" s="54"/>
      <c r="P158" s="51"/>
      <c r="Q158" s="51"/>
      <c r="R158" s="51"/>
      <c r="S158" s="51"/>
      <c r="T158" s="51"/>
    </row>
    <row r="159" spans="1:20" x14ac:dyDescent="0.3">
      <c r="A159" s="48">
        <v>0</v>
      </c>
      <c r="B159" s="49" t="s">
        <v>350</v>
      </c>
      <c r="C159" s="50"/>
      <c r="D159" s="50"/>
      <c r="E159" s="51"/>
      <c r="F159" s="51"/>
      <c r="G159" s="51"/>
      <c r="H159" s="51"/>
      <c r="I159" s="51"/>
      <c r="J159" s="51"/>
      <c r="K159" s="52"/>
      <c r="L159" s="52"/>
      <c r="M159" s="53"/>
      <c r="N159" s="54"/>
      <c r="P159" s="51"/>
      <c r="Q159" s="51"/>
      <c r="R159" s="51"/>
      <c r="S159" s="51"/>
      <c r="T159" s="51"/>
    </row>
    <row r="160" spans="1:20" x14ac:dyDescent="0.3">
      <c r="A160" s="48">
        <v>0</v>
      </c>
      <c r="B160" s="49" t="s">
        <v>351</v>
      </c>
      <c r="C160" s="50"/>
      <c r="D160" s="50"/>
      <c r="E160" s="51"/>
      <c r="F160" s="51"/>
      <c r="G160" s="51"/>
      <c r="H160" s="51"/>
      <c r="I160" s="51"/>
      <c r="J160" s="51"/>
      <c r="K160" s="52"/>
      <c r="L160" s="52"/>
      <c r="M160" s="53"/>
      <c r="N160" s="54"/>
      <c r="P160" s="51"/>
      <c r="Q160" s="51"/>
      <c r="R160" s="51"/>
      <c r="S160" s="51"/>
      <c r="T160" s="51"/>
    </row>
    <row r="161" spans="1:20" x14ac:dyDescent="0.3">
      <c r="A161" s="48">
        <v>0</v>
      </c>
      <c r="B161" s="49" t="s">
        <v>352</v>
      </c>
      <c r="C161" s="50"/>
      <c r="D161" s="50"/>
      <c r="E161" s="51"/>
      <c r="F161" s="51"/>
      <c r="G161" s="51"/>
      <c r="H161" s="51"/>
      <c r="I161" s="51"/>
      <c r="J161" s="51"/>
      <c r="K161" s="52"/>
      <c r="L161" s="52"/>
      <c r="M161" s="53"/>
      <c r="N161" s="54"/>
      <c r="P161" s="51"/>
      <c r="Q161" s="51"/>
      <c r="R161" s="51"/>
      <c r="S161" s="51"/>
      <c r="T161" s="51"/>
    </row>
    <row r="162" spans="1:20" x14ac:dyDescent="0.3">
      <c r="A162" s="48">
        <v>0</v>
      </c>
      <c r="B162" s="49" t="s">
        <v>353</v>
      </c>
      <c r="C162" s="50"/>
      <c r="D162" s="50"/>
      <c r="E162" s="51"/>
      <c r="F162" s="51"/>
      <c r="G162" s="51"/>
      <c r="H162" s="51"/>
      <c r="I162" s="51"/>
      <c r="J162" s="51"/>
      <c r="K162" s="52"/>
      <c r="L162" s="52"/>
      <c r="M162" s="53"/>
      <c r="N162" s="54"/>
      <c r="P162" s="51"/>
      <c r="Q162" s="51"/>
      <c r="R162" s="51"/>
      <c r="S162" s="51"/>
      <c r="T162" s="51"/>
    </row>
    <row r="163" spans="1:20" x14ac:dyDescent="0.3">
      <c r="A163" s="48">
        <v>0</v>
      </c>
      <c r="B163" s="49" t="s">
        <v>354</v>
      </c>
      <c r="C163" s="50"/>
      <c r="D163" s="50"/>
      <c r="E163" s="51"/>
      <c r="F163" s="51"/>
      <c r="G163" s="51"/>
      <c r="H163" s="51"/>
      <c r="I163" s="51"/>
      <c r="J163" s="51"/>
      <c r="K163" s="52"/>
      <c r="L163" s="52"/>
      <c r="M163" s="53"/>
      <c r="N163" s="54"/>
      <c r="P163" s="51"/>
      <c r="Q163" s="51"/>
      <c r="R163" s="51"/>
      <c r="S163" s="51"/>
      <c r="T163" s="51"/>
    </row>
    <row r="164" spans="1:20" x14ac:dyDescent="0.3">
      <c r="A164" s="48">
        <v>0</v>
      </c>
      <c r="B164" s="49" t="s">
        <v>355</v>
      </c>
      <c r="C164" s="50"/>
      <c r="D164" s="50"/>
      <c r="E164" s="51"/>
      <c r="F164" s="51"/>
      <c r="G164" s="51"/>
      <c r="H164" s="51"/>
      <c r="I164" s="51"/>
      <c r="J164" s="51"/>
      <c r="K164" s="52"/>
      <c r="L164" s="52"/>
      <c r="M164" s="53"/>
      <c r="N164" s="54"/>
      <c r="P164" s="51"/>
      <c r="Q164" s="51"/>
      <c r="R164" s="51"/>
      <c r="S164" s="51"/>
      <c r="T164" s="51"/>
    </row>
    <row r="165" spans="1:20" x14ac:dyDescent="0.3">
      <c r="A165" s="48">
        <v>0</v>
      </c>
      <c r="B165" s="49" t="s">
        <v>356</v>
      </c>
      <c r="C165" s="50"/>
      <c r="D165" s="50"/>
      <c r="E165" s="51"/>
      <c r="F165" s="51"/>
      <c r="G165" s="51"/>
      <c r="H165" s="51"/>
      <c r="I165" s="51"/>
      <c r="J165" s="51"/>
      <c r="K165" s="52"/>
      <c r="L165" s="52"/>
      <c r="M165" s="53"/>
      <c r="N165" s="54"/>
      <c r="P165" s="51"/>
      <c r="Q165" s="51"/>
      <c r="R165" s="51"/>
      <c r="S165" s="51"/>
      <c r="T165" s="51"/>
    </row>
    <row r="166" spans="1:20" x14ac:dyDescent="0.3">
      <c r="A166" s="48">
        <v>0</v>
      </c>
      <c r="B166" s="49" t="s">
        <v>357</v>
      </c>
      <c r="C166" s="50"/>
      <c r="D166" s="50"/>
      <c r="E166" s="51"/>
      <c r="F166" s="51"/>
      <c r="G166" s="51"/>
      <c r="H166" s="51"/>
      <c r="I166" s="51"/>
      <c r="J166" s="51"/>
      <c r="K166" s="52"/>
      <c r="L166" s="52"/>
      <c r="M166" s="53"/>
      <c r="N166" s="54"/>
      <c r="P166" s="51"/>
      <c r="Q166" s="51"/>
      <c r="R166" s="51"/>
      <c r="S166" s="51"/>
      <c r="T166" s="51"/>
    </row>
    <row r="167" spans="1:20" x14ac:dyDescent="0.3">
      <c r="A167" s="48">
        <v>0</v>
      </c>
      <c r="B167" s="49" t="s">
        <v>368</v>
      </c>
      <c r="C167" s="50"/>
      <c r="D167" s="50"/>
      <c r="E167" s="51"/>
      <c r="F167" s="51"/>
      <c r="G167" s="51"/>
      <c r="H167" s="51"/>
      <c r="I167" s="51"/>
      <c r="J167" s="51"/>
      <c r="K167" s="52"/>
      <c r="L167" s="52"/>
      <c r="M167" s="53"/>
      <c r="N167" s="54"/>
      <c r="P167" s="51"/>
      <c r="Q167" s="51"/>
      <c r="R167" s="51"/>
      <c r="S167" s="51"/>
      <c r="T167" s="51"/>
    </row>
    <row r="168" spans="1:20" x14ac:dyDescent="0.3">
      <c r="A168" s="48">
        <v>0</v>
      </c>
      <c r="B168" s="49" t="s">
        <v>369</v>
      </c>
      <c r="C168" s="50"/>
      <c r="D168" s="50"/>
      <c r="E168" s="51"/>
      <c r="F168" s="51"/>
      <c r="G168" s="51"/>
      <c r="H168" s="51"/>
      <c r="I168" s="51"/>
      <c r="J168" s="51"/>
      <c r="K168" s="52"/>
      <c r="L168" s="52"/>
      <c r="M168" s="53"/>
      <c r="N168" s="54"/>
      <c r="P168" s="51"/>
      <c r="Q168" s="51"/>
      <c r="R168" s="51"/>
      <c r="S168" s="51"/>
      <c r="T168" s="51"/>
    </row>
    <row r="169" spans="1:20" x14ac:dyDescent="0.3">
      <c r="A169" s="48">
        <v>0</v>
      </c>
      <c r="B169" s="49" t="s">
        <v>370</v>
      </c>
      <c r="C169" s="50"/>
      <c r="D169" s="50"/>
      <c r="E169" s="51"/>
      <c r="F169" s="51"/>
      <c r="G169" s="51"/>
      <c r="H169" s="51"/>
      <c r="I169" s="51"/>
      <c r="J169" s="51"/>
      <c r="K169" s="52"/>
      <c r="L169" s="52"/>
      <c r="M169" s="53"/>
      <c r="N169" s="54"/>
      <c r="P169" s="51"/>
      <c r="Q169" s="51"/>
      <c r="R169" s="51"/>
      <c r="S169" s="51"/>
      <c r="T169" s="51"/>
    </row>
    <row r="170" spans="1:20" x14ac:dyDescent="0.3">
      <c r="A170" s="48">
        <v>0</v>
      </c>
      <c r="B170" s="49" t="s">
        <v>371</v>
      </c>
      <c r="C170" s="50"/>
      <c r="D170" s="50"/>
      <c r="E170" s="51"/>
      <c r="F170" s="51"/>
      <c r="G170" s="51"/>
      <c r="H170" s="51"/>
      <c r="I170" s="51"/>
      <c r="J170" s="51"/>
      <c r="K170" s="52"/>
      <c r="L170" s="52"/>
      <c r="M170" s="53"/>
      <c r="N170" s="54"/>
      <c r="P170" s="51"/>
      <c r="Q170" s="51"/>
      <c r="R170" s="51"/>
      <c r="S170" s="51"/>
      <c r="T170" s="51"/>
    </row>
    <row r="171" spans="1:20" x14ac:dyDescent="0.3">
      <c r="A171" s="48">
        <v>0</v>
      </c>
      <c r="B171" s="49" t="s">
        <v>372</v>
      </c>
      <c r="C171" s="50"/>
      <c r="D171" s="50"/>
      <c r="E171" s="51"/>
      <c r="F171" s="51"/>
      <c r="G171" s="51"/>
      <c r="H171" s="51"/>
      <c r="I171" s="51"/>
      <c r="J171" s="51"/>
      <c r="K171" s="52"/>
      <c r="L171" s="52"/>
      <c r="M171" s="53"/>
      <c r="N171" s="54"/>
      <c r="P171" s="51"/>
      <c r="Q171" s="51"/>
      <c r="R171" s="51"/>
      <c r="S171" s="51"/>
      <c r="T171" s="51"/>
    </row>
    <row r="172" spans="1:20" x14ac:dyDescent="0.3">
      <c r="A172" s="48">
        <v>0</v>
      </c>
      <c r="B172" s="49" t="s">
        <v>373</v>
      </c>
      <c r="C172" s="50"/>
      <c r="D172" s="50"/>
      <c r="E172" s="51"/>
      <c r="F172" s="51"/>
      <c r="G172" s="51"/>
      <c r="H172" s="51"/>
      <c r="I172" s="51"/>
      <c r="J172" s="51"/>
      <c r="K172" s="52"/>
      <c r="L172" s="52"/>
      <c r="M172" s="53"/>
      <c r="N172" s="54"/>
      <c r="P172" s="51"/>
      <c r="Q172" s="51"/>
      <c r="R172" s="51"/>
      <c r="S172" s="51"/>
      <c r="T172" s="51"/>
    </row>
    <row r="173" spans="1:20" x14ac:dyDescent="0.3">
      <c r="A173" s="48">
        <v>0</v>
      </c>
      <c r="B173" s="49" t="s">
        <v>374</v>
      </c>
      <c r="C173" s="50"/>
      <c r="D173" s="50"/>
      <c r="E173" s="51"/>
      <c r="F173" s="51"/>
      <c r="G173" s="51"/>
      <c r="H173" s="51"/>
      <c r="I173" s="51"/>
      <c r="J173" s="51"/>
      <c r="K173" s="52"/>
      <c r="L173" s="52"/>
      <c r="M173" s="53"/>
      <c r="N173" s="54"/>
      <c r="P173" s="51"/>
      <c r="Q173" s="51"/>
      <c r="R173" s="51"/>
      <c r="S173" s="51"/>
      <c r="T173" s="51"/>
    </row>
    <row r="174" spans="1:20" x14ac:dyDescent="0.3">
      <c r="A174" s="48">
        <v>0</v>
      </c>
      <c r="B174" s="49" t="s">
        <v>375</v>
      </c>
      <c r="C174" s="50"/>
      <c r="D174" s="50"/>
      <c r="E174" s="51"/>
      <c r="F174" s="51"/>
      <c r="G174" s="51"/>
      <c r="H174" s="51"/>
      <c r="I174" s="51"/>
      <c r="J174" s="51"/>
      <c r="K174" s="52"/>
      <c r="L174" s="52"/>
      <c r="M174" s="53"/>
      <c r="N174" s="54"/>
      <c r="P174" s="51"/>
      <c r="Q174" s="51"/>
      <c r="R174" s="51"/>
      <c r="S174" s="51"/>
      <c r="T174" s="51"/>
    </row>
    <row r="175" spans="1:20" x14ac:dyDescent="0.3">
      <c r="A175" s="48">
        <v>0</v>
      </c>
      <c r="B175" s="49" t="s">
        <v>376</v>
      </c>
      <c r="C175" s="50"/>
      <c r="D175" s="50"/>
      <c r="E175" s="51"/>
      <c r="F175" s="51"/>
      <c r="G175" s="51"/>
      <c r="H175" s="51"/>
      <c r="I175" s="51"/>
      <c r="J175" s="51"/>
      <c r="K175" s="52"/>
      <c r="L175" s="52"/>
      <c r="M175" s="53"/>
      <c r="N175" s="54"/>
      <c r="P175" s="51"/>
      <c r="Q175" s="51"/>
      <c r="R175" s="51"/>
      <c r="S175" s="51"/>
      <c r="T175" s="51"/>
    </row>
    <row r="176" spans="1:20" x14ac:dyDescent="0.3">
      <c r="A176" s="48">
        <v>0</v>
      </c>
      <c r="B176" s="49" t="s">
        <v>377</v>
      </c>
      <c r="C176" s="50"/>
      <c r="D176" s="50"/>
      <c r="E176" s="51"/>
      <c r="F176" s="51"/>
      <c r="G176" s="51"/>
      <c r="H176" s="51"/>
      <c r="I176" s="51"/>
      <c r="J176" s="51"/>
      <c r="K176" s="52"/>
      <c r="L176" s="52"/>
      <c r="M176" s="53"/>
      <c r="N176" s="54"/>
      <c r="P176" s="51"/>
      <c r="Q176" s="51"/>
      <c r="R176" s="51"/>
      <c r="S176" s="51"/>
      <c r="T176" s="51"/>
    </row>
    <row r="177" spans="1:20" x14ac:dyDescent="0.3">
      <c r="A177" s="48">
        <v>0</v>
      </c>
      <c r="B177" s="49" t="s">
        <v>378</v>
      </c>
      <c r="C177" s="50"/>
      <c r="D177" s="50"/>
      <c r="E177" s="51"/>
      <c r="F177" s="51"/>
      <c r="G177" s="51"/>
      <c r="H177" s="51"/>
      <c r="I177" s="51"/>
      <c r="J177" s="51"/>
      <c r="K177" s="52"/>
      <c r="L177" s="52"/>
      <c r="M177" s="53"/>
      <c r="N177" s="54"/>
      <c r="P177" s="51"/>
      <c r="Q177" s="51"/>
      <c r="R177" s="51"/>
      <c r="S177" s="51"/>
      <c r="T177" s="51"/>
    </row>
    <row r="178" spans="1:20" x14ac:dyDescent="0.3">
      <c r="A178" s="48">
        <v>0</v>
      </c>
      <c r="B178" s="49" t="s">
        <v>379</v>
      </c>
      <c r="C178" s="50"/>
      <c r="D178" s="50"/>
      <c r="E178" s="51"/>
      <c r="F178" s="51"/>
      <c r="G178" s="51"/>
      <c r="H178" s="51"/>
      <c r="I178" s="51"/>
      <c r="J178" s="51"/>
      <c r="K178" s="52"/>
      <c r="L178" s="52"/>
      <c r="M178" s="53"/>
      <c r="N178" s="54"/>
      <c r="P178" s="51"/>
      <c r="Q178" s="51"/>
      <c r="R178" s="51"/>
      <c r="S178" s="51"/>
      <c r="T178" s="51"/>
    </row>
    <row r="179" spans="1:20" x14ac:dyDescent="0.3">
      <c r="A179" s="48">
        <v>0</v>
      </c>
      <c r="B179" s="49" t="s">
        <v>380</v>
      </c>
      <c r="C179" s="50"/>
      <c r="D179" s="50"/>
      <c r="E179" s="51"/>
      <c r="F179" s="51"/>
      <c r="G179" s="51"/>
      <c r="H179" s="51"/>
      <c r="I179" s="51"/>
      <c r="J179" s="51"/>
      <c r="K179" s="52"/>
      <c r="L179" s="52"/>
      <c r="M179" s="53"/>
      <c r="N179" s="54"/>
      <c r="P179" s="51"/>
      <c r="Q179" s="51"/>
      <c r="R179" s="51"/>
      <c r="S179" s="51"/>
      <c r="T179" s="51"/>
    </row>
    <row r="180" spans="1:20" x14ac:dyDescent="0.3">
      <c r="A180" s="48">
        <v>0</v>
      </c>
      <c r="B180" s="49" t="s">
        <v>381</v>
      </c>
      <c r="C180" s="50"/>
      <c r="D180" s="50"/>
      <c r="E180" s="51"/>
      <c r="F180" s="51"/>
      <c r="G180" s="51"/>
      <c r="H180" s="51"/>
      <c r="I180" s="51"/>
      <c r="J180" s="51"/>
      <c r="K180" s="52"/>
      <c r="L180" s="52"/>
      <c r="M180" s="53"/>
      <c r="N180" s="54"/>
      <c r="P180" s="51"/>
      <c r="Q180" s="51"/>
      <c r="R180" s="51"/>
      <c r="S180" s="51"/>
      <c r="T180" s="51"/>
    </row>
    <row r="181" spans="1:20" x14ac:dyDescent="0.3">
      <c r="A181" s="48">
        <v>0</v>
      </c>
      <c r="B181" s="49" t="s">
        <v>382</v>
      </c>
      <c r="C181" s="50"/>
      <c r="D181" s="50"/>
      <c r="E181" s="51"/>
      <c r="F181" s="51"/>
      <c r="G181" s="51"/>
      <c r="H181" s="51"/>
      <c r="I181" s="51"/>
      <c r="J181" s="51"/>
      <c r="K181" s="52"/>
      <c r="L181" s="52"/>
      <c r="M181" s="53"/>
      <c r="N181" s="54"/>
      <c r="P181" s="51"/>
      <c r="Q181" s="51"/>
      <c r="R181" s="51"/>
      <c r="S181" s="51"/>
      <c r="T181" s="51"/>
    </row>
    <row r="182" spans="1:20" x14ac:dyDescent="0.3">
      <c r="A182" s="48">
        <v>0</v>
      </c>
      <c r="B182" s="49" t="s">
        <v>383</v>
      </c>
      <c r="C182" s="50"/>
      <c r="D182" s="50"/>
      <c r="E182" s="51"/>
      <c r="F182" s="51"/>
      <c r="G182" s="51"/>
      <c r="H182" s="51"/>
      <c r="I182" s="51"/>
      <c r="J182" s="51"/>
      <c r="K182" s="52"/>
      <c r="L182" s="52"/>
      <c r="M182" s="53"/>
      <c r="N182" s="54"/>
      <c r="P182" s="51"/>
      <c r="Q182" s="51"/>
      <c r="R182" s="51"/>
      <c r="S182" s="51"/>
      <c r="T182" s="51"/>
    </row>
    <row r="183" spans="1:20" x14ac:dyDescent="0.3">
      <c r="A183" s="48">
        <v>0</v>
      </c>
      <c r="B183" s="49" t="s">
        <v>384</v>
      </c>
      <c r="C183" s="50"/>
      <c r="D183" s="50"/>
      <c r="E183" s="51"/>
      <c r="F183" s="51"/>
      <c r="G183" s="51"/>
      <c r="H183" s="51"/>
      <c r="I183" s="51"/>
      <c r="J183" s="51"/>
      <c r="K183" s="52"/>
      <c r="L183" s="52"/>
      <c r="M183" s="53"/>
      <c r="N183" s="54"/>
      <c r="P183" s="51"/>
      <c r="Q183" s="51"/>
      <c r="R183" s="51"/>
      <c r="S183" s="51"/>
      <c r="T183" s="51"/>
    </row>
    <row r="184" spans="1:20" x14ac:dyDescent="0.3">
      <c r="A184" s="48">
        <v>0</v>
      </c>
      <c r="B184" s="49" t="s">
        <v>385</v>
      </c>
      <c r="C184" s="50"/>
      <c r="D184" s="50"/>
      <c r="E184" s="51"/>
      <c r="F184" s="51"/>
      <c r="G184" s="51"/>
      <c r="H184" s="51"/>
      <c r="I184" s="51"/>
      <c r="J184" s="51"/>
      <c r="K184" s="52"/>
      <c r="L184" s="52"/>
      <c r="M184" s="53"/>
      <c r="N184" s="54"/>
      <c r="P184" s="51"/>
      <c r="Q184" s="51"/>
      <c r="R184" s="51"/>
      <c r="S184" s="51"/>
      <c r="T184" s="51"/>
    </row>
    <row r="185" spans="1:20" x14ac:dyDescent="0.3">
      <c r="A185" s="48">
        <v>0</v>
      </c>
      <c r="B185" s="49" t="s">
        <v>386</v>
      </c>
      <c r="C185" s="50"/>
      <c r="D185" s="50"/>
      <c r="E185" s="51"/>
      <c r="F185" s="51"/>
      <c r="G185" s="51"/>
      <c r="H185" s="51"/>
      <c r="I185" s="51"/>
      <c r="J185" s="51"/>
      <c r="K185" s="52"/>
      <c r="L185" s="52"/>
      <c r="M185" s="53"/>
      <c r="N185" s="54"/>
      <c r="P185" s="51"/>
      <c r="Q185" s="51"/>
      <c r="R185" s="51"/>
      <c r="S185" s="51"/>
      <c r="T185" s="51"/>
    </row>
    <row r="186" spans="1:20" x14ac:dyDescent="0.3">
      <c r="A186" s="48">
        <v>0</v>
      </c>
      <c r="B186" s="49" t="s">
        <v>387</v>
      </c>
      <c r="C186" s="50"/>
      <c r="D186" s="50"/>
      <c r="E186" s="51"/>
      <c r="F186" s="51"/>
      <c r="G186" s="51"/>
      <c r="H186" s="51"/>
      <c r="I186" s="51"/>
      <c r="J186" s="51"/>
      <c r="K186" s="52"/>
      <c r="L186" s="52"/>
      <c r="M186" s="53"/>
      <c r="N186" s="54"/>
      <c r="P186" s="51"/>
      <c r="Q186" s="51"/>
      <c r="R186" s="51"/>
      <c r="S186" s="51"/>
      <c r="T186" s="51"/>
    </row>
    <row r="187" spans="1:20" x14ac:dyDescent="0.3">
      <c r="A187" s="48">
        <v>0</v>
      </c>
      <c r="B187" s="49" t="s">
        <v>388</v>
      </c>
      <c r="C187" s="50"/>
      <c r="D187" s="50"/>
      <c r="E187" s="51"/>
      <c r="F187" s="51"/>
      <c r="G187" s="51"/>
      <c r="H187" s="51"/>
      <c r="I187" s="51"/>
      <c r="J187" s="51"/>
      <c r="K187" s="52"/>
      <c r="L187" s="52"/>
      <c r="M187" s="53"/>
      <c r="N187" s="54"/>
      <c r="P187" s="51"/>
      <c r="Q187" s="51"/>
      <c r="R187" s="51"/>
      <c r="S187" s="51"/>
      <c r="T187" s="51"/>
    </row>
    <row r="188" spans="1:20" x14ac:dyDescent="0.3">
      <c r="A188" s="48">
        <v>0</v>
      </c>
      <c r="B188" s="49" t="s">
        <v>389</v>
      </c>
      <c r="C188" s="50"/>
      <c r="D188" s="50"/>
      <c r="E188" s="51"/>
      <c r="F188" s="51"/>
      <c r="G188" s="51"/>
      <c r="H188" s="51"/>
      <c r="I188" s="51"/>
      <c r="J188" s="51"/>
      <c r="K188" s="52"/>
      <c r="L188" s="52"/>
      <c r="M188" s="53"/>
      <c r="N188" s="54"/>
      <c r="P188" s="51"/>
      <c r="Q188" s="51"/>
      <c r="R188" s="51"/>
      <c r="S188" s="51"/>
      <c r="T188" s="51"/>
    </row>
    <row r="189" spans="1:20" x14ac:dyDescent="0.3">
      <c r="A189" s="48">
        <v>0</v>
      </c>
      <c r="B189" s="49" t="s">
        <v>390</v>
      </c>
      <c r="C189" s="50"/>
      <c r="D189" s="50"/>
      <c r="E189" s="51"/>
      <c r="F189" s="51"/>
      <c r="G189" s="51"/>
      <c r="H189" s="51"/>
      <c r="I189" s="51"/>
      <c r="J189" s="51"/>
      <c r="K189" s="52"/>
      <c r="L189" s="52"/>
      <c r="M189" s="53"/>
      <c r="N189" s="54"/>
      <c r="P189" s="51"/>
      <c r="Q189" s="51"/>
      <c r="R189" s="51"/>
      <c r="S189" s="51"/>
      <c r="T189" s="51"/>
    </row>
    <row r="190" spans="1:20" x14ac:dyDescent="0.3">
      <c r="A190" s="48">
        <v>0</v>
      </c>
      <c r="B190" s="49" t="s">
        <v>398</v>
      </c>
      <c r="C190" s="50"/>
      <c r="D190" s="50"/>
      <c r="E190" s="51"/>
      <c r="F190" s="51"/>
      <c r="G190" s="51"/>
      <c r="H190" s="51"/>
      <c r="I190" s="51"/>
      <c r="J190" s="51"/>
      <c r="K190" s="52"/>
      <c r="L190" s="52"/>
      <c r="M190" s="53"/>
      <c r="N190" s="54"/>
      <c r="P190" s="51"/>
      <c r="Q190" s="51"/>
      <c r="R190" s="51"/>
      <c r="S190" s="51"/>
      <c r="T190" s="51"/>
    </row>
    <row r="191" spans="1:20" x14ac:dyDescent="0.3">
      <c r="A191" s="48">
        <v>0</v>
      </c>
      <c r="B191" s="49" t="s">
        <v>399</v>
      </c>
      <c r="C191" s="50"/>
      <c r="D191" s="50"/>
      <c r="E191" s="51"/>
      <c r="F191" s="51"/>
      <c r="G191" s="51"/>
      <c r="H191" s="51"/>
      <c r="I191" s="51"/>
      <c r="J191" s="51"/>
      <c r="K191" s="52"/>
      <c r="L191" s="52"/>
      <c r="M191" s="53"/>
      <c r="N191" s="54"/>
      <c r="P191" s="51"/>
      <c r="Q191" s="51"/>
      <c r="R191" s="51"/>
      <c r="S191" s="51"/>
      <c r="T191" s="51"/>
    </row>
    <row r="192" spans="1:20" x14ac:dyDescent="0.3">
      <c r="A192" s="48">
        <v>0</v>
      </c>
      <c r="B192" s="49" t="s">
        <v>401</v>
      </c>
      <c r="C192" s="50"/>
      <c r="D192" s="50"/>
      <c r="E192" s="51"/>
      <c r="F192" s="51"/>
      <c r="G192" s="51"/>
      <c r="H192" s="51"/>
      <c r="I192" s="51"/>
      <c r="J192" s="51"/>
      <c r="K192" s="52"/>
      <c r="L192" s="52"/>
      <c r="M192" s="53"/>
      <c r="N192" s="54"/>
      <c r="P192" s="51"/>
      <c r="Q192" s="51"/>
      <c r="R192" s="51"/>
      <c r="S192" s="51"/>
      <c r="T192" s="51"/>
    </row>
    <row r="193" spans="1:20" x14ac:dyDescent="0.3">
      <c r="A193" s="48">
        <v>0</v>
      </c>
      <c r="B193" s="49" t="s">
        <v>402</v>
      </c>
      <c r="C193" s="50"/>
      <c r="D193" s="50"/>
      <c r="E193" s="51"/>
      <c r="F193" s="51"/>
      <c r="G193" s="51"/>
      <c r="H193" s="51"/>
      <c r="I193" s="51"/>
      <c r="J193" s="51"/>
      <c r="K193" s="52"/>
      <c r="L193" s="52"/>
      <c r="M193" s="53"/>
      <c r="N193" s="54"/>
      <c r="P193" s="51"/>
      <c r="Q193" s="51"/>
      <c r="R193" s="51"/>
      <c r="S193" s="51"/>
      <c r="T193" s="51"/>
    </row>
    <row r="194" spans="1:20" x14ac:dyDescent="0.3">
      <c r="A194" s="48">
        <v>0</v>
      </c>
      <c r="B194" s="49" t="s">
        <v>403</v>
      </c>
      <c r="C194" s="50"/>
      <c r="D194" s="50"/>
      <c r="E194" s="51"/>
      <c r="F194" s="51"/>
      <c r="G194" s="51"/>
      <c r="H194" s="51"/>
      <c r="I194" s="51"/>
      <c r="J194" s="51"/>
      <c r="K194" s="52"/>
      <c r="L194" s="52"/>
      <c r="M194" s="53"/>
      <c r="N194" s="54"/>
      <c r="P194" s="51"/>
      <c r="Q194" s="51"/>
      <c r="R194" s="51"/>
      <c r="S194" s="51"/>
      <c r="T194" s="51"/>
    </row>
    <row r="195" spans="1:20" x14ac:dyDescent="0.3">
      <c r="A195" s="48">
        <v>0</v>
      </c>
      <c r="B195" s="49" t="s">
        <v>404</v>
      </c>
      <c r="C195" s="50"/>
      <c r="D195" s="50"/>
      <c r="E195" s="51"/>
      <c r="F195" s="51"/>
      <c r="G195" s="51"/>
      <c r="H195" s="51"/>
      <c r="I195" s="51"/>
      <c r="J195" s="51"/>
      <c r="K195" s="52"/>
      <c r="L195" s="52"/>
      <c r="M195" s="53"/>
      <c r="N195" s="54"/>
      <c r="P195" s="51"/>
      <c r="Q195" s="51"/>
      <c r="R195" s="51"/>
      <c r="S195" s="51"/>
      <c r="T195" s="51"/>
    </row>
    <row r="196" spans="1:20" x14ac:dyDescent="0.3">
      <c r="A196" s="48">
        <v>0</v>
      </c>
      <c r="B196" s="49" t="s">
        <v>406</v>
      </c>
      <c r="C196" s="50"/>
      <c r="D196" s="50"/>
      <c r="E196" s="51"/>
      <c r="F196" s="51"/>
      <c r="G196" s="51"/>
      <c r="H196" s="51"/>
      <c r="I196" s="51"/>
      <c r="J196" s="51"/>
      <c r="K196" s="52"/>
      <c r="L196" s="52"/>
      <c r="M196" s="53"/>
      <c r="N196" s="54"/>
      <c r="P196" s="51"/>
      <c r="Q196" s="51"/>
      <c r="R196" s="51"/>
      <c r="S196" s="51"/>
      <c r="T196" s="51"/>
    </row>
    <row r="197" spans="1:20" x14ac:dyDescent="0.3">
      <c r="A197" s="48">
        <v>0</v>
      </c>
      <c r="B197" s="49" t="s">
        <v>407</v>
      </c>
      <c r="C197" s="50"/>
      <c r="D197" s="50"/>
      <c r="E197" s="51"/>
      <c r="F197" s="51"/>
      <c r="G197" s="51"/>
      <c r="H197" s="51"/>
      <c r="I197" s="51"/>
      <c r="J197" s="51"/>
      <c r="K197" s="52"/>
      <c r="L197" s="52"/>
      <c r="M197" s="53"/>
      <c r="N197" s="54"/>
      <c r="P197" s="51"/>
      <c r="Q197" s="51"/>
      <c r="R197" s="51"/>
      <c r="S197" s="51"/>
      <c r="T197" s="51"/>
    </row>
    <row r="198" spans="1:20" x14ac:dyDescent="0.3">
      <c r="A198" s="48">
        <v>0</v>
      </c>
      <c r="B198" s="49" t="s">
        <v>408</v>
      </c>
      <c r="C198" s="50"/>
      <c r="D198" s="50"/>
      <c r="E198" s="51"/>
      <c r="F198" s="51"/>
      <c r="G198" s="51"/>
      <c r="H198" s="51"/>
      <c r="I198" s="51"/>
      <c r="J198" s="51"/>
      <c r="K198" s="52"/>
      <c r="L198" s="52"/>
      <c r="M198" s="53"/>
      <c r="N198" s="54"/>
      <c r="P198" s="51"/>
      <c r="Q198" s="51"/>
      <c r="R198" s="51"/>
      <c r="S198" s="51"/>
      <c r="T198" s="51"/>
    </row>
    <row r="199" spans="1:20" x14ac:dyDescent="0.3">
      <c r="A199" s="48">
        <v>0</v>
      </c>
      <c r="B199" s="49" t="s">
        <v>409</v>
      </c>
      <c r="C199" s="50"/>
      <c r="D199" s="50"/>
      <c r="E199" s="51"/>
      <c r="F199" s="51"/>
      <c r="G199" s="51"/>
      <c r="H199" s="51"/>
      <c r="I199" s="51"/>
      <c r="J199" s="51"/>
      <c r="K199" s="52"/>
      <c r="L199" s="52"/>
      <c r="M199" s="53"/>
      <c r="N199" s="54"/>
      <c r="P199" s="51"/>
      <c r="Q199" s="51"/>
      <c r="R199" s="51"/>
      <c r="S199" s="51"/>
      <c r="T199" s="51"/>
    </row>
    <row r="200" spans="1:20" x14ac:dyDescent="0.3">
      <c r="A200" s="48">
        <v>0</v>
      </c>
      <c r="B200" s="49" t="s">
        <v>410</v>
      </c>
      <c r="C200" s="50"/>
      <c r="D200" s="50"/>
      <c r="E200" s="51"/>
      <c r="F200" s="51"/>
      <c r="G200" s="51"/>
      <c r="H200" s="51"/>
      <c r="I200" s="51"/>
      <c r="J200" s="51"/>
      <c r="K200" s="52"/>
      <c r="L200" s="52"/>
      <c r="M200" s="53"/>
      <c r="N200" s="54"/>
      <c r="P200" s="51"/>
      <c r="Q200" s="51"/>
      <c r="R200" s="51"/>
      <c r="S200" s="51"/>
      <c r="T200" s="51"/>
    </row>
    <row r="201" spans="1:20" x14ac:dyDescent="0.3">
      <c r="A201" s="48">
        <v>0</v>
      </c>
      <c r="B201" s="49" t="s">
        <v>411</v>
      </c>
      <c r="C201" s="50"/>
      <c r="D201" s="50"/>
      <c r="E201" s="51"/>
      <c r="F201" s="51"/>
      <c r="G201" s="51"/>
      <c r="H201" s="51"/>
      <c r="I201" s="51"/>
      <c r="J201" s="51"/>
      <c r="K201" s="52"/>
      <c r="L201" s="52"/>
      <c r="M201" s="53"/>
      <c r="N201" s="54"/>
      <c r="P201" s="51"/>
      <c r="Q201" s="51"/>
      <c r="R201" s="51"/>
      <c r="S201" s="51"/>
      <c r="T201" s="51"/>
    </row>
    <row r="202" spans="1:20" x14ac:dyDescent="0.3">
      <c r="A202" s="48">
        <v>0</v>
      </c>
      <c r="B202" s="49" t="s">
        <v>412</v>
      </c>
      <c r="C202" s="50"/>
      <c r="D202" s="50"/>
      <c r="E202" s="51"/>
      <c r="F202" s="51"/>
      <c r="G202" s="51"/>
      <c r="H202" s="51"/>
      <c r="I202" s="51"/>
      <c r="J202" s="51"/>
      <c r="K202" s="52"/>
      <c r="L202" s="52"/>
      <c r="M202" s="53"/>
      <c r="N202" s="54"/>
      <c r="P202" s="51"/>
      <c r="Q202" s="51"/>
      <c r="R202" s="51"/>
      <c r="S202" s="51"/>
      <c r="T202" s="51"/>
    </row>
    <row r="203" spans="1:20" x14ac:dyDescent="0.3">
      <c r="A203" s="48">
        <v>0</v>
      </c>
      <c r="B203" s="49" t="s">
        <v>413</v>
      </c>
      <c r="C203" s="50"/>
      <c r="D203" s="50"/>
      <c r="E203" s="51"/>
      <c r="F203" s="51"/>
      <c r="G203" s="51"/>
      <c r="H203" s="51"/>
      <c r="I203" s="51"/>
      <c r="J203" s="51"/>
      <c r="K203" s="52"/>
      <c r="L203" s="52"/>
      <c r="M203" s="53"/>
      <c r="N203" s="54"/>
      <c r="P203" s="51"/>
      <c r="Q203" s="51"/>
      <c r="R203" s="51"/>
      <c r="S203" s="51"/>
      <c r="T203" s="51"/>
    </row>
    <row r="204" spans="1:20" x14ac:dyDescent="0.3">
      <c r="A204" s="48">
        <v>0</v>
      </c>
      <c r="B204" s="49" t="s">
        <v>414</v>
      </c>
      <c r="C204" s="50"/>
      <c r="D204" s="50"/>
      <c r="E204" s="51"/>
      <c r="F204" s="51"/>
      <c r="G204" s="51"/>
      <c r="H204" s="51"/>
      <c r="I204" s="51"/>
      <c r="J204" s="51"/>
      <c r="K204" s="52"/>
      <c r="L204" s="52"/>
      <c r="M204" s="53"/>
      <c r="N204" s="54"/>
      <c r="P204" s="51"/>
      <c r="Q204" s="51"/>
      <c r="R204" s="51"/>
      <c r="S204" s="51"/>
      <c r="T204" s="51"/>
    </row>
    <row r="205" spans="1:20" x14ac:dyDescent="0.3">
      <c r="A205" s="48">
        <v>0</v>
      </c>
      <c r="B205" s="49" t="s">
        <v>415</v>
      </c>
      <c r="C205" s="50"/>
      <c r="D205" s="50"/>
      <c r="E205" s="51"/>
      <c r="F205" s="51"/>
      <c r="G205" s="51"/>
      <c r="H205" s="51"/>
      <c r="I205" s="51"/>
      <c r="J205" s="51"/>
      <c r="K205" s="52"/>
      <c r="L205" s="52"/>
      <c r="M205" s="53"/>
      <c r="N205" s="54"/>
      <c r="P205" s="51"/>
      <c r="Q205" s="51"/>
      <c r="R205" s="51"/>
      <c r="S205" s="51"/>
      <c r="T205" s="51"/>
    </row>
    <row r="206" spans="1:20" x14ac:dyDescent="0.3">
      <c r="A206" s="48">
        <v>0</v>
      </c>
      <c r="B206" s="49" t="s">
        <v>416</v>
      </c>
      <c r="C206" s="50"/>
      <c r="D206" s="50"/>
      <c r="E206" s="51"/>
      <c r="F206" s="51"/>
      <c r="G206" s="51"/>
      <c r="H206" s="51"/>
      <c r="I206" s="51"/>
      <c r="J206" s="51"/>
      <c r="K206" s="52"/>
      <c r="L206" s="52"/>
      <c r="M206" s="53"/>
      <c r="N206" s="54"/>
      <c r="P206" s="51"/>
      <c r="Q206" s="51"/>
      <c r="R206" s="51"/>
      <c r="S206" s="51"/>
      <c r="T206" s="51"/>
    </row>
    <row r="207" spans="1:20" x14ac:dyDescent="0.3">
      <c r="A207" s="48">
        <v>0</v>
      </c>
      <c r="B207" s="49" t="s">
        <v>417</v>
      </c>
      <c r="C207" s="50"/>
      <c r="D207" s="50"/>
      <c r="E207" s="51"/>
      <c r="F207" s="51"/>
      <c r="G207" s="51"/>
      <c r="H207" s="51"/>
      <c r="I207" s="51"/>
      <c r="J207" s="51"/>
      <c r="K207" s="52"/>
      <c r="L207" s="52"/>
      <c r="M207" s="53"/>
      <c r="N207" s="54"/>
      <c r="P207" s="51"/>
      <c r="Q207" s="51"/>
      <c r="R207" s="51"/>
      <c r="S207" s="51"/>
      <c r="T207" s="51"/>
    </row>
    <row r="208" spans="1:20" x14ac:dyDescent="0.3">
      <c r="A208" s="48">
        <v>0</v>
      </c>
      <c r="B208" s="49" t="s">
        <v>418</v>
      </c>
      <c r="C208" s="50"/>
      <c r="D208" s="50"/>
      <c r="E208" s="51"/>
      <c r="F208" s="51"/>
      <c r="G208" s="51"/>
      <c r="H208" s="51"/>
      <c r="I208" s="51"/>
      <c r="J208" s="51"/>
      <c r="K208" s="52"/>
      <c r="L208" s="52"/>
      <c r="M208" s="53"/>
      <c r="N208" s="54"/>
      <c r="P208" s="51"/>
      <c r="Q208" s="51"/>
      <c r="R208" s="51"/>
      <c r="S208" s="51"/>
      <c r="T208" s="51"/>
    </row>
    <row r="209" spans="1:20" x14ac:dyDescent="0.3">
      <c r="A209" s="48">
        <v>0</v>
      </c>
      <c r="B209" s="49" t="s">
        <v>419</v>
      </c>
      <c r="C209" s="50"/>
      <c r="D209" s="50"/>
      <c r="E209" s="51"/>
      <c r="F209" s="51"/>
      <c r="G209" s="51"/>
      <c r="H209" s="51"/>
      <c r="I209" s="51"/>
      <c r="J209" s="51"/>
      <c r="K209" s="52"/>
      <c r="L209" s="52"/>
      <c r="M209" s="53"/>
      <c r="N209" s="54"/>
      <c r="P209" s="51"/>
      <c r="Q209" s="51"/>
      <c r="R209" s="51"/>
      <c r="S209" s="51"/>
      <c r="T209" s="51"/>
    </row>
    <row r="210" spans="1:20" x14ac:dyDescent="0.3">
      <c r="A210" s="48">
        <v>0</v>
      </c>
      <c r="B210" s="49" t="s">
        <v>421</v>
      </c>
      <c r="C210" s="50"/>
      <c r="D210" s="50"/>
      <c r="E210" s="51"/>
      <c r="F210" s="51"/>
      <c r="G210" s="51"/>
      <c r="H210" s="51"/>
      <c r="I210" s="51"/>
      <c r="J210" s="51"/>
      <c r="K210" s="52"/>
      <c r="L210" s="52"/>
      <c r="M210" s="53"/>
      <c r="N210" s="54"/>
      <c r="P210" s="51"/>
      <c r="Q210" s="51"/>
      <c r="R210" s="51"/>
      <c r="S210" s="51"/>
      <c r="T210" s="51"/>
    </row>
    <row r="211" spans="1:20" x14ac:dyDescent="0.3">
      <c r="A211" s="48">
        <v>0</v>
      </c>
      <c r="B211" s="49" t="s">
        <v>458</v>
      </c>
      <c r="C211" s="50"/>
      <c r="D211" s="50"/>
      <c r="E211" s="51"/>
      <c r="F211" s="51"/>
      <c r="G211" s="51"/>
      <c r="H211" s="51"/>
      <c r="I211" s="51"/>
      <c r="J211" s="51"/>
      <c r="K211" s="52"/>
      <c r="L211" s="52"/>
      <c r="M211" s="53"/>
      <c r="N211" s="54"/>
      <c r="P211" s="51"/>
      <c r="Q211" s="51"/>
      <c r="R211" s="51"/>
      <c r="S211" s="51"/>
      <c r="T211" s="51"/>
    </row>
    <row r="212" spans="1:20" x14ac:dyDescent="0.3">
      <c r="A212" s="48">
        <v>0</v>
      </c>
      <c r="B212" s="49" t="s">
        <v>459</v>
      </c>
      <c r="C212" s="50"/>
      <c r="D212" s="50"/>
      <c r="E212" s="51"/>
      <c r="F212" s="51"/>
      <c r="G212" s="51"/>
      <c r="H212" s="51"/>
      <c r="I212" s="51"/>
      <c r="J212" s="51"/>
      <c r="K212" s="52"/>
      <c r="L212" s="52"/>
      <c r="M212" s="53"/>
      <c r="N212" s="54"/>
      <c r="P212" s="51"/>
      <c r="Q212" s="51"/>
      <c r="R212" s="51"/>
      <c r="S212" s="51"/>
      <c r="T212" s="51"/>
    </row>
    <row r="213" spans="1:20" x14ac:dyDescent="0.3">
      <c r="A213" s="48">
        <v>0</v>
      </c>
      <c r="B213" s="49" t="s">
        <v>460</v>
      </c>
      <c r="C213" s="50"/>
      <c r="D213" s="50"/>
      <c r="E213" s="51"/>
      <c r="F213" s="51"/>
      <c r="G213" s="51"/>
      <c r="H213" s="51"/>
      <c r="I213" s="51"/>
      <c r="J213" s="51"/>
      <c r="K213" s="52"/>
      <c r="L213" s="52"/>
      <c r="M213" s="53"/>
      <c r="N213" s="54"/>
      <c r="P213" s="51"/>
      <c r="Q213" s="51"/>
      <c r="R213" s="51"/>
      <c r="S213" s="51"/>
      <c r="T213" s="51"/>
    </row>
    <row r="214" spans="1:20" x14ac:dyDescent="0.3">
      <c r="A214" s="48">
        <v>0</v>
      </c>
      <c r="B214" s="49" t="s">
        <v>461</v>
      </c>
      <c r="C214" s="50"/>
      <c r="D214" s="50"/>
      <c r="E214" s="51"/>
      <c r="F214" s="51"/>
      <c r="G214" s="51"/>
      <c r="H214" s="51"/>
      <c r="I214" s="51"/>
      <c r="J214" s="51"/>
      <c r="K214" s="52"/>
      <c r="L214" s="52"/>
      <c r="M214" s="53"/>
      <c r="N214" s="54"/>
      <c r="P214" s="51"/>
      <c r="Q214" s="51"/>
      <c r="R214" s="51"/>
      <c r="S214" s="51"/>
      <c r="T214" s="51"/>
    </row>
    <row r="215" spans="1:20" x14ac:dyDescent="0.3">
      <c r="A215" s="48">
        <v>0</v>
      </c>
      <c r="B215" s="49" t="s">
        <v>462</v>
      </c>
      <c r="C215" s="50"/>
      <c r="D215" s="50"/>
      <c r="E215" s="51"/>
      <c r="F215" s="51"/>
      <c r="G215" s="51"/>
      <c r="H215" s="51"/>
      <c r="I215" s="51"/>
      <c r="J215" s="51"/>
      <c r="K215" s="52"/>
      <c r="L215" s="52"/>
      <c r="M215" s="53"/>
      <c r="N215" s="54"/>
      <c r="P215" s="51"/>
      <c r="Q215" s="51"/>
      <c r="R215" s="51"/>
      <c r="S215" s="51"/>
      <c r="T215" s="51"/>
    </row>
    <row r="216" spans="1:20" x14ac:dyDescent="0.3">
      <c r="A216" s="48">
        <v>0</v>
      </c>
      <c r="B216" s="49" t="s">
        <v>463</v>
      </c>
      <c r="C216" s="50"/>
      <c r="D216" s="50"/>
      <c r="E216" s="51"/>
      <c r="F216" s="51"/>
      <c r="G216" s="51"/>
      <c r="H216" s="51"/>
      <c r="I216" s="51"/>
      <c r="J216" s="51"/>
      <c r="K216" s="52"/>
      <c r="L216" s="52"/>
      <c r="M216" s="53"/>
      <c r="N216" s="54"/>
      <c r="P216" s="51"/>
      <c r="Q216" s="51"/>
      <c r="R216" s="51"/>
      <c r="S216" s="51"/>
      <c r="T216" s="51"/>
    </row>
    <row r="217" spans="1:20" x14ac:dyDescent="0.3">
      <c r="A217" s="48">
        <v>0</v>
      </c>
      <c r="B217" s="49" t="s">
        <v>464</v>
      </c>
      <c r="C217" s="50"/>
      <c r="D217" s="50"/>
      <c r="E217" s="51"/>
      <c r="F217" s="51"/>
      <c r="G217" s="51"/>
      <c r="H217" s="51"/>
      <c r="I217" s="51"/>
      <c r="J217" s="51"/>
      <c r="K217" s="52"/>
      <c r="L217" s="52"/>
      <c r="M217" s="53"/>
      <c r="N217" s="54"/>
      <c r="P217" s="51"/>
      <c r="Q217" s="51"/>
      <c r="R217" s="51"/>
      <c r="S217" s="51"/>
      <c r="T217" s="51"/>
    </row>
    <row r="218" spans="1:20" x14ac:dyDescent="0.3">
      <c r="A218" s="48">
        <v>0</v>
      </c>
      <c r="B218" s="49" t="s">
        <v>465</v>
      </c>
      <c r="C218" s="50"/>
      <c r="D218" s="50"/>
      <c r="E218" s="51"/>
      <c r="F218" s="51"/>
      <c r="G218" s="51"/>
      <c r="H218" s="51"/>
      <c r="I218" s="51"/>
      <c r="J218" s="51"/>
      <c r="K218" s="52"/>
      <c r="L218" s="52"/>
      <c r="M218" s="53"/>
      <c r="N218" s="54"/>
      <c r="P218" s="51"/>
      <c r="Q218" s="51"/>
      <c r="R218" s="51"/>
      <c r="S218" s="51"/>
      <c r="T218" s="51"/>
    </row>
    <row r="219" spans="1:20" x14ac:dyDescent="0.3">
      <c r="A219" s="48">
        <v>0</v>
      </c>
      <c r="B219" s="49" t="s">
        <v>466</v>
      </c>
      <c r="C219" s="50"/>
      <c r="D219" s="50"/>
      <c r="E219" s="51"/>
      <c r="F219" s="51"/>
      <c r="G219" s="51"/>
      <c r="H219" s="51"/>
      <c r="I219" s="51"/>
      <c r="J219" s="51"/>
      <c r="K219" s="52"/>
      <c r="L219" s="52"/>
      <c r="M219" s="53"/>
      <c r="N219" s="54"/>
      <c r="P219" s="51"/>
      <c r="Q219" s="51"/>
      <c r="R219" s="51"/>
      <c r="S219" s="51"/>
      <c r="T219" s="51"/>
    </row>
    <row r="220" spans="1:20" x14ac:dyDescent="0.3">
      <c r="A220" s="48">
        <v>0</v>
      </c>
      <c r="B220" s="49" t="s">
        <v>467</v>
      </c>
      <c r="C220" s="50"/>
      <c r="D220" s="50"/>
      <c r="E220" s="51"/>
      <c r="F220" s="51"/>
      <c r="G220" s="51"/>
      <c r="H220" s="51"/>
      <c r="I220" s="51"/>
      <c r="J220" s="51"/>
      <c r="K220" s="52"/>
      <c r="L220" s="52"/>
      <c r="M220" s="53"/>
      <c r="N220" s="54"/>
      <c r="P220" s="51"/>
      <c r="Q220" s="51"/>
      <c r="R220" s="51"/>
      <c r="S220" s="51"/>
      <c r="T220" s="51"/>
    </row>
    <row r="221" spans="1:20" x14ac:dyDescent="0.3">
      <c r="A221" s="48">
        <v>0</v>
      </c>
      <c r="B221" s="49" t="s">
        <v>468</v>
      </c>
      <c r="C221" s="50"/>
      <c r="D221" s="50"/>
      <c r="E221" s="51"/>
      <c r="F221" s="51"/>
      <c r="G221" s="51"/>
      <c r="H221" s="51"/>
      <c r="I221" s="51"/>
      <c r="J221" s="51"/>
      <c r="K221" s="52"/>
      <c r="L221" s="52"/>
      <c r="M221" s="53"/>
      <c r="N221" s="54"/>
      <c r="P221" s="51"/>
      <c r="Q221" s="51"/>
      <c r="R221" s="51"/>
      <c r="S221" s="51"/>
      <c r="T221" s="51"/>
    </row>
    <row r="222" spans="1:20" x14ac:dyDescent="0.3">
      <c r="A222" s="48">
        <v>0</v>
      </c>
      <c r="B222" s="49" t="s">
        <v>469</v>
      </c>
      <c r="C222" s="50"/>
      <c r="D222" s="50"/>
      <c r="E222" s="51"/>
      <c r="F222" s="51"/>
      <c r="G222" s="51"/>
      <c r="H222" s="51"/>
      <c r="I222" s="51"/>
      <c r="J222" s="51"/>
      <c r="K222" s="52"/>
      <c r="L222" s="52"/>
      <c r="M222" s="53"/>
      <c r="N222" s="54"/>
      <c r="P222" s="51"/>
      <c r="Q222" s="51"/>
      <c r="R222" s="51"/>
      <c r="S222" s="51"/>
      <c r="T222" s="51"/>
    </row>
    <row r="223" spans="1:20" x14ac:dyDescent="0.3">
      <c r="A223" s="48">
        <v>0</v>
      </c>
      <c r="B223" s="49" t="s">
        <v>470</v>
      </c>
      <c r="C223" s="50"/>
      <c r="D223" s="50"/>
      <c r="E223" s="51"/>
      <c r="F223" s="51"/>
      <c r="G223" s="51"/>
      <c r="H223" s="51"/>
      <c r="I223" s="51"/>
      <c r="J223" s="51"/>
      <c r="K223" s="52"/>
      <c r="L223" s="52"/>
      <c r="M223" s="53"/>
      <c r="N223" s="54"/>
      <c r="P223" s="51"/>
      <c r="Q223" s="51"/>
      <c r="R223" s="51"/>
      <c r="S223" s="51"/>
      <c r="T223" s="51"/>
    </row>
    <row r="224" spans="1:20" x14ac:dyDescent="0.3">
      <c r="A224" s="48">
        <v>0</v>
      </c>
      <c r="B224" s="49" t="s">
        <v>471</v>
      </c>
      <c r="C224" s="50"/>
      <c r="D224" s="50"/>
      <c r="E224" s="51"/>
      <c r="F224" s="51"/>
      <c r="G224" s="51"/>
      <c r="H224" s="51"/>
      <c r="I224" s="51"/>
      <c r="J224" s="51"/>
      <c r="K224" s="52"/>
      <c r="L224" s="52"/>
      <c r="M224" s="53"/>
      <c r="N224" s="54"/>
      <c r="P224" s="51"/>
      <c r="Q224" s="51"/>
      <c r="R224" s="51"/>
      <c r="S224" s="51"/>
      <c r="T224" s="51"/>
    </row>
    <row r="225" spans="1:20" x14ac:dyDescent="0.3">
      <c r="A225" s="48">
        <v>0</v>
      </c>
      <c r="B225" s="49" t="s">
        <v>472</v>
      </c>
      <c r="C225" s="50"/>
      <c r="D225" s="50"/>
      <c r="E225" s="51"/>
      <c r="F225" s="51"/>
      <c r="G225" s="51"/>
      <c r="H225" s="51"/>
      <c r="I225" s="51"/>
      <c r="J225" s="51"/>
      <c r="K225" s="52"/>
      <c r="L225" s="52"/>
      <c r="M225" s="53"/>
      <c r="N225" s="54"/>
      <c r="P225" s="51"/>
      <c r="Q225" s="51"/>
      <c r="R225" s="51"/>
      <c r="S225" s="51"/>
      <c r="T225" s="51"/>
    </row>
    <row r="226" spans="1:20" x14ac:dyDescent="0.3">
      <c r="A226" s="48">
        <v>0</v>
      </c>
      <c r="B226" s="49" t="s">
        <v>473</v>
      </c>
      <c r="C226" s="50"/>
      <c r="D226" s="50"/>
      <c r="E226" s="51"/>
      <c r="F226" s="51"/>
      <c r="G226" s="51"/>
      <c r="H226" s="51"/>
      <c r="I226" s="51"/>
      <c r="J226" s="51"/>
      <c r="K226" s="52"/>
      <c r="L226" s="52"/>
      <c r="M226" s="53"/>
      <c r="N226" s="54"/>
      <c r="P226" s="51"/>
      <c r="Q226" s="51"/>
      <c r="R226" s="51"/>
      <c r="S226" s="51"/>
      <c r="T226" s="51"/>
    </row>
    <row r="227" spans="1:20" x14ac:dyDescent="0.3">
      <c r="A227" s="48">
        <v>0</v>
      </c>
      <c r="B227" s="49" t="s">
        <v>474</v>
      </c>
      <c r="C227" s="50"/>
      <c r="D227" s="50"/>
      <c r="E227" s="51"/>
      <c r="F227" s="51"/>
      <c r="G227" s="51"/>
      <c r="H227" s="51"/>
      <c r="I227" s="51"/>
      <c r="J227" s="51"/>
      <c r="K227" s="52"/>
      <c r="L227" s="52"/>
      <c r="M227" s="53"/>
      <c r="N227" s="54"/>
      <c r="P227" s="51"/>
      <c r="Q227" s="51"/>
      <c r="R227" s="51"/>
      <c r="S227" s="51"/>
      <c r="T227" s="51"/>
    </row>
    <row r="228" spans="1:20" x14ac:dyDescent="0.3">
      <c r="A228" s="48">
        <v>0</v>
      </c>
      <c r="B228" s="49" t="s">
        <v>475</v>
      </c>
      <c r="C228" s="50"/>
      <c r="D228" s="50"/>
      <c r="E228" s="51"/>
      <c r="F228" s="51"/>
      <c r="G228" s="51"/>
      <c r="H228" s="51"/>
      <c r="I228" s="51"/>
      <c r="J228" s="51"/>
      <c r="K228" s="52"/>
      <c r="L228" s="52"/>
      <c r="M228" s="53"/>
      <c r="N228" s="54"/>
      <c r="P228" s="51"/>
      <c r="Q228" s="51"/>
      <c r="R228" s="51"/>
      <c r="S228" s="51"/>
      <c r="T228" s="51"/>
    </row>
    <row r="229" spans="1:20" x14ac:dyDescent="0.3">
      <c r="A229" s="48">
        <v>0</v>
      </c>
      <c r="B229" s="49" t="s">
        <v>476</v>
      </c>
      <c r="C229" s="50"/>
      <c r="D229" s="50"/>
      <c r="E229" s="51"/>
      <c r="F229" s="51"/>
      <c r="G229" s="51"/>
      <c r="H229" s="51"/>
      <c r="I229" s="51"/>
      <c r="J229" s="51"/>
      <c r="K229" s="52"/>
      <c r="L229" s="52"/>
      <c r="M229" s="53"/>
      <c r="N229" s="54"/>
      <c r="P229" s="51"/>
      <c r="Q229" s="51"/>
      <c r="R229" s="51"/>
      <c r="S229" s="51"/>
      <c r="T229" s="51"/>
    </row>
    <row r="230" spans="1:20" x14ac:dyDescent="0.3">
      <c r="A230" s="48">
        <v>0</v>
      </c>
      <c r="B230" s="49" t="s">
        <v>477</v>
      </c>
      <c r="C230" s="50"/>
      <c r="D230" s="50"/>
      <c r="E230" s="51"/>
      <c r="F230" s="51"/>
      <c r="G230" s="51"/>
      <c r="H230" s="51"/>
      <c r="I230" s="51"/>
      <c r="J230" s="51"/>
      <c r="K230" s="52"/>
      <c r="L230" s="52"/>
      <c r="M230" s="53"/>
      <c r="N230" s="54"/>
      <c r="P230" s="51"/>
      <c r="Q230" s="51"/>
      <c r="R230" s="51"/>
      <c r="S230" s="51"/>
      <c r="T230" s="51"/>
    </row>
    <row r="231" spans="1:20" x14ac:dyDescent="0.3">
      <c r="A231" s="48">
        <v>0</v>
      </c>
      <c r="B231" s="49" t="s">
        <v>422</v>
      </c>
      <c r="C231" s="50"/>
      <c r="D231" s="50"/>
      <c r="E231" s="51"/>
      <c r="F231" s="51"/>
      <c r="G231" s="51"/>
      <c r="H231" s="51"/>
      <c r="I231" s="51"/>
      <c r="J231" s="51"/>
      <c r="K231" s="52"/>
      <c r="L231" s="52"/>
      <c r="M231" s="53"/>
      <c r="N231" s="54"/>
      <c r="P231" s="51"/>
      <c r="Q231" s="51"/>
      <c r="R231" s="51"/>
      <c r="S231" s="51"/>
      <c r="T231" s="51"/>
    </row>
    <row r="232" spans="1:20" x14ac:dyDescent="0.3">
      <c r="A232" s="48">
        <v>0</v>
      </c>
      <c r="B232" s="49" t="s">
        <v>245</v>
      </c>
      <c r="C232" s="50"/>
      <c r="D232" s="50"/>
      <c r="E232" s="51"/>
      <c r="F232" s="51"/>
      <c r="G232" s="51"/>
      <c r="H232" s="51"/>
      <c r="I232" s="51"/>
      <c r="J232" s="51"/>
      <c r="K232" s="52"/>
      <c r="L232" s="52"/>
      <c r="M232" s="53"/>
      <c r="N232" s="54"/>
      <c r="P232" s="51"/>
      <c r="Q232" s="51"/>
      <c r="R232" s="51"/>
      <c r="S232" s="51"/>
      <c r="T232" s="51"/>
    </row>
    <row r="233" spans="1:20" x14ac:dyDescent="0.3">
      <c r="A233" s="48">
        <v>0</v>
      </c>
      <c r="B233" s="49" t="s">
        <v>490</v>
      </c>
      <c r="C233" s="50"/>
      <c r="D233" s="50"/>
      <c r="E233" s="51"/>
      <c r="F233" s="51"/>
      <c r="G233" s="51"/>
      <c r="H233" s="51"/>
      <c r="I233" s="51"/>
      <c r="J233" s="51"/>
      <c r="K233" s="52"/>
      <c r="L233" s="52"/>
      <c r="M233" s="53"/>
      <c r="N233" s="54"/>
      <c r="P233" s="51"/>
      <c r="Q233" s="51"/>
      <c r="R233" s="51"/>
      <c r="S233" s="51"/>
      <c r="T233" s="51"/>
    </row>
    <row r="234" spans="1:20" x14ac:dyDescent="0.3">
      <c r="A234" s="48">
        <v>0</v>
      </c>
      <c r="B234" s="49" t="s">
        <v>491</v>
      </c>
      <c r="C234" s="50"/>
      <c r="D234" s="50"/>
      <c r="E234" s="51"/>
      <c r="F234" s="51"/>
      <c r="G234" s="51"/>
      <c r="H234" s="51"/>
      <c r="I234" s="51"/>
      <c r="J234" s="51"/>
      <c r="K234" s="52"/>
      <c r="L234" s="52"/>
      <c r="M234" s="53"/>
      <c r="N234" s="54"/>
      <c r="P234" s="51"/>
      <c r="Q234" s="51"/>
      <c r="R234" s="51"/>
      <c r="S234" s="51"/>
      <c r="T234" s="51"/>
    </row>
    <row r="235" spans="1:20" x14ac:dyDescent="0.3">
      <c r="A235" s="48">
        <v>0</v>
      </c>
      <c r="B235" s="49" t="s">
        <v>492</v>
      </c>
      <c r="C235" s="50"/>
      <c r="D235" s="50"/>
      <c r="E235" s="51"/>
      <c r="F235" s="51"/>
      <c r="G235" s="51"/>
      <c r="H235" s="51"/>
      <c r="I235" s="51"/>
      <c r="J235" s="51"/>
      <c r="K235" s="52"/>
      <c r="L235" s="52"/>
      <c r="M235" s="53"/>
      <c r="N235" s="54"/>
      <c r="P235" s="51"/>
      <c r="Q235" s="51"/>
      <c r="R235" s="51"/>
      <c r="S235" s="51"/>
      <c r="T235" s="51"/>
    </row>
    <row r="236" spans="1:20" x14ac:dyDescent="0.3">
      <c r="A236" s="48">
        <v>0</v>
      </c>
      <c r="B236" s="49" t="s">
        <v>493</v>
      </c>
      <c r="C236" s="50"/>
      <c r="D236" s="50"/>
      <c r="E236" s="51"/>
      <c r="F236" s="51"/>
      <c r="G236" s="51"/>
      <c r="H236" s="51"/>
      <c r="I236" s="51"/>
      <c r="J236" s="51"/>
      <c r="K236" s="52"/>
      <c r="L236" s="52"/>
      <c r="M236" s="53"/>
      <c r="N236" s="54"/>
      <c r="P236" s="51"/>
      <c r="Q236" s="51"/>
      <c r="R236" s="51"/>
      <c r="S236" s="51"/>
      <c r="T236" s="51"/>
    </row>
    <row r="237" spans="1:20" x14ac:dyDescent="0.3">
      <c r="A237" s="48">
        <v>0</v>
      </c>
      <c r="B237" s="49" t="s">
        <v>494</v>
      </c>
      <c r="C237" s="50"/>
      <c r="D237" s="50"/>
      <c r="E237" s="51"/>
      <c r="F237" s="51"/>
      <c r="G237" s="51"/>
      <c r="H237" s="51"/>
      <c r="I237" s="51"/>
      <c r="J237" s="51"/>
      <c r="K237" s="52"/>
      <c r="L237" s="52"/>
      <c r="M237" s="53"/>
      <c r="N237" s="54"/>
      <c r="P237" s="51"/>
      <c r="Q237" s="51"/>
      <c r="R237" s="51"/>
      <c r="S237" s="51"/>
      <c r="T237" s="51"/>
    </row>
    <row r="238" spans="1:20" x14ac:dyDescent="0.3">
      <c r="A238" s="48">
        <v>0</v>
      </c>
      <c r="B238" s="49" t="s">
        <v>495</v>
      </c>
      <c r="C238" s="50"/>
      <c r="D238" s="50"/>
      <c r="E238" s="51"/>
      <c r="F238" s="51"/>
      <c r="G238" s="51"/>
      <c r="H238" s="51"/>
      <c r="I238" s="51"/>
      <c r="J238" s="51"/>
      <c r="K238" s="52"/>
      <c r="L238" s="52"/>
      <c r="M238" s="53"/>
      <c r="N238" s="54"/>
      <c r="P238" s="51"/>
      <c r="Q238" s="51"/>
      <c r="R238" s="51"/>
      <c r="S238" s="51"/>
      <c r="T238" s="51"/>
    </row>
    <row r="239" spans="1:20" x14ac:dyDescent="0.3">
      <c r="A239" s="48">
        <v>0</v>
      </c>
      <c r="B239" s="49" t="s">
        <v>496</v>
      </c>
      <c r="C239" s="50"/>
      <c r="D239" s="50"/>
      <c r="E239" s="51"/>
      <c r="F239" s="51"/>
      <c r="G239" s="51"/>
      <c r="H239" s="51"/>
      <c r="I239" s="51"/>
      <c r="J239" s="51"/>
      <c r="K239" s="52"/>
      <c r="L239" s="52"/>
      <c r="M239" s="53"/>
      <c r="N239" s="54"/>
      <c r="P239" s="51"/>
      <c r="Q239" s="51"/>
      <c r="R239" s="51"/>
      <c r="S239" s="51"/>
      <c r="T239" s="51"/>
    </row>
    <row r="240" spans="1:20" x14ac:dyDescent="0.3">
      <c r="A240" s="48">
        <v>0</v>
      </c>
      <c r="B240" s="49" t="s">
        <v>497</v>
      </c>
      <c r="C240" s="50"/>
      <c r="D240" s="50"/>
      <c r="E240" s="51"/>
      <c r="F240" s="51"/>
      <c r="G240" s="51"/>
      <c r="H240" s="51"/>
      <c r="I240" s="51"/>
      <c r="J240" s="51"/>
      <c r="K240" s="52"/>
      <c r="L240" s="52"/>
      <c r="M240" s="53"/>
      <c r="N240" s="54"/>
      <c r="P240" s="51"/>
      <c r="Q240" s="51"/>
      <c r="R240" s="51"/>
      <c r="S240" s="51"/>
      <c r="T240" s="51"/>
    </row>
    <row r="241" spans="1:20" x14ac:dyDescent="0.3">
      <c r="A241" s="48">
        <v>0</v>
      </c>
      <c r="B241" s="49" t="s">
        <v>512</v>
      </c>
      <c r="C241" s="50"/>
      <c r="D241" s="50"/>
      <c r="E241" s="51"/>
      <c r="F241" s="51"/>
      <c r="G241" s="51"/>
      <c r="H241" s="51"/>
      <c r="I241" s="51"/>
      <c r="J241" s="51"/>
      <c r="K241" s="52"/>
      <c r="L241" s="52"/>
      <c r="M241" s="53"/>
      <c r="N241" s="54"/>
      <c r="P241" s="51"/>
      <c r="Q241" s="51"/>
      <c r="R241" s="51"/>
      <c r="S241" s="51"/>
      <c r="T241" s="51"/>
    </row>
    <row r="242" spans="1:20" x14ac:dyDescent="0.3">
      <c r="A242" s="48">
        <v>0</v>
      </c>
      <c r="B242" s="49" t="s">
        <v>513</v>
      </c>
      <c r="C242" s="50"/>
      <c r="D242" s="50"/>
      <c r="E242" s="51"/>
      <c r="F242" s="51"/>
      <c r="G242" s="51"/>
      <c r="H242" s="51"/>
      <c r="I242" s="51"/>
      <c r="J242" s="51"/>
      <c r="K242" s="52"/>
      <c r="L242" s="52"/>
      <c r="M242" s="53"/>
      <c r="N242" s="54"/>
      <c r="P242" s="51"/>
      <c r="Q242" s="51"/>
      <c r="R242" s="51"/>
      <c r="S242" s="51"/>
      <c r="T242" s="51"/>
    </row>
    <row r="243" spans="1:20" x14ac:dyDescent="0.3">
      <c r="A243" s="48">
        <v>0</v>
      </c>
      <c r="B243" s="49" t="s">
        <v>514</v>
      </c>
      <c r="C243" s="50"/>
      <c r="D243" s="50"/>
      <c r="E243" s="51"/>
      <c r="F243" s="51"/>
      <c r="G243" s="51"/>
      <c r="H243" s="51"/>
      <c r="I243" s="51"/>
      <c r="J243" s="51"/>
      <c r="K243" s="52"/>
      <c r="L243" s="52"/>
      <c r="M243" s="53"/>
      <c r="N243" s="54"/>
      <c r="P243" s="51"/>
      <c r="Q243" s="51"/>
      <c r="R243" s="51"/>
      <c r="S243" s="51"/>
      <c r="T243" s="51"/>
    </row>
    <row r="244" spans="1:20" x14ac:dyDescent="0.3">
      <c r="A244" s="48">
        <v>0</v>
      </c>
      <c r="B244" s="49" t="s">
        <v>515</v>
      </c>
      <c r="C244" s="50"/>
      <c r="D244" s="50"/>
      <c r="E244" s="51"/>
      <c r="F244" s="51"/>
      <c r="G244" s="51"/>
      <c r="H244" s="51"/>
      <c r="I244" s="51"/>
      <c r="J244" s="51"/>
      <c r="K244" s="52"/>
      <c r="L244" s="52"/>
      <c r="M244" s="53"/>
      <c r="N244" s="54"/>
      <c r="P244" s="51"/>
      <c r="Q244" s="51"/>
      <c r="R244" s="51"/>
      <c r="S244" s="51"/>
      <c r="T244" s="51"/>
    </row>
    <row r="245" spans="1:20" x14ac:dyDescent="0.3">
      <c r="A245" s="48">
        <v>0</v>
      </c>
      <c r="B245" s="49" t="s">
        <v>516</v>
      </c>
      <c r="C245" s="50"/>
      <c r="D245" s="50"/>
      <c r="E245" s="51"/>
      <c r="F245" s="51"/>
      <c r="G245" s="51"/>
      <c r="H245" s="51"/>
      <c r="I245" s="51"/>
      <c r="J245" s="51"/>
      <c r="K245" s="52"/>
      <c r="L245" s="52"/>
      <c r="M245" s="53"/>
      <c r="N245" s="54"/>
      <c r="P245" s="51"/>
      <c r="Q245" s="51"/>
      <c r="R245" s="51"/>
      <c r="S245" s="51"/>
      <c r="T245" s="51"/>
    </row>
    <row r="246" spans="1:20" x14ac:dyDescent="0.3">
      <c r="A246" s="48">
        <v>0</v>
      </c>
      <c r="B246" s="49" t="s">
        <v>517</v>
      </c>
      <c r="C246" s="50"/>
      <c r="D246" s="50"/>
      <c r="E246" s="51"/>
      <c r="F246" s="51"/>
      <c r="G246" s="51"/>
      <c r="H246" s="51"/>
      <c r="I246" s="51"/>
      <c r="J246" s="51"/>
      <c r="K246" s="52"/>
      <c r="L246" s="52"/>
      <c r="M246" s="53"/>
      <c r="N246" s="54"/>
      <c r="P246" s="51"/>
      <c r="Q246" s="51"/>
      <c r="R246" s="51"/>
      <c r="S246" s="51"/>
      <c r="T246" s="51"/>
    </row>
    <row r="247" spans="1:20" x14ac:dyDescent="0.3">
      <c r="A247" s="48">
        <v>0</v>
      </c>
      <c r="B247" s="49" t="s">
        <v>518</v>
      </c>
      <c r="C247" s="50"/>
      <c r="D247" s="50"/>
      <c r="E247" s="51"/>
      <c r="F247" s="51"/>
      <c r="G247" s="51"/>
      <c r="H247" s="51"/>
      <c r="I247" s="51"/>
      <c r="J247" s="51"/>
      <c r="K247" s="52"/>
      <c r="L247" s="52"/>
      <c r="M247" s="53"/>
      <c r="N247" s="54"/>
      <c r="P247" s="51"/>
      <c r="Q247" s="51"/>
      <c r="R247" s="51"/>
      <c r="S247" s="51"/>
      <c r="T247" s="51"/>
    </row>
    <row r="248" spans="1:20" x14ac:dyDescent="0.3">
      <c r="A248" s="48">
        <v>0</v>
      </c>
      <c r="B248" s="49" t="s">
        <v>519</v>
      </c>
      <c r="C248" s="50"/>
      <c r="D248" s="50"/>
      <c r="E248" s="51"/>
      <c r="F248" s="51"/>
      <c r="G248" s="51"/>
      <c r="H248" s="51"/>
      <c r="I248" s="51"/>
      <c r="J248" s="51"/>
      <c r="K248" s="52"/>
      <c r="L248" s="52"/>
      <c r="M248" s="53"/>
      <c r="N248" s="54"/>
      <c r="P248" s="51"/>
      <c r="Q248" s="51"/>
      <c r="R248" s="51"/>
      <c r="S248" s="51"/>
      <c r="T248" s="51"/>
    </row>
    <row r="249" spans="1:20" x14ac:dyDescent="0.3">
      <c r="A249" s="48">
        <v>0</v>
      </c>
      <c r="B249" s="49" t="s">
        <v>520</v>
      </c>
      <c r="C249" s="50"/>
      <c r="D249" s="50"/>
      <c r="E249" s="51"/>
      <c r="F249" s="51"/>
      <c r="G249" s="51"/>
      <c r="H249" s="51"/>
      <c r="I249" s="51"/>
      <c r="J249" s="51"/>
      <c r="K249" s="52"/>
      <c r="L249" s="52"/>
      <c r="M249" s="53"/>
      <c r="N249" s="54"/>
      <c r="P249" s="51"/>
      <c r="Q249" s="51"/>
      <c r="R249" s="51"/>
      <c r="S249" s="51"/>
      <c r="T249" s="51"/>
    </row>
    <row r="250" spans="1:20" x14ac:dyDescent="0.3">
      <c r="A250" s="48">
        <v>0</v>
      </c>
      <c r="B250" s="49" t="s">
        <v>521</v>
      </c>
      <c r="C250" s="50"/>
      <c r="D250" s="50"/>
      <c r="E250" s="51"/>
      <c r="F250" s="51"/>
      <c r="G250" s="51"/>
      <c r="H250" s="51"/>
      <c r="I250" s="51"/>
      <c r="J250" s="51"/>
      <c r="K250" s="52"/>
      <c r="L250" s="52"/>
      <c r="M250" s="53"/>
      <c r="N250" s="54"/>
      <c r="P250" s="51"/>
      <c r="Q250" s="51"/>
      <c r="R250" s="51"/>
      <c r="S250" s="51"/>
      <c r="T250" s="51"/>
    </row>
    <row r="251" spans="1:20" x14ac:dyDescent="0.3">
      <c r="A251" s="48">
        <v>0</v>
      </c>
      <c r="B251" s="49" t="s">
        <v>522</v>
      </c>
      <c r="C251" s="50"/>
      <c r="D251" s="50"/>
      <c r="E251" s="51"/>
      <c r="F251" s="51"/>
      <c r="G251" s="51"/>
      <c r="H251" s="51"/>
      <c r="I251" s="51"/>
      <c r="J251" s="51"/>
      <c r="K251" s="52"/>
      <c r="L251" s="52"/>
      <c r="M251" s="53"/>
      <c r="N251" s="54"/>
      <c r="P251" s="51"/>
      <c r="Q251" s="51"/>
      <c r="R251" s="51"/>
      <c r="S251" s="51"/>
      <c r="T251" s="51"/>
    </row>
    <row r="252" spans="1:20" x14ac:dyDescent="0.3">
      <c r="A252" s="48">
        <v>0</v>
      </c>
      <c r="B252" s="49" t="s">
        <v>523</v>
      </c>
      <c r="C252" s="50"/>
      <c r="D252" s="50"/>
      <c r="E252" s="51"/>
      <c r="F252" s="51"/>
      <c r="G252" s="51"/>
      <c r="H252" s="51"/>
      <c r="I252" s="51"/>
      <c r="J252" s="51"/>
      <c r="K252" s="52"/>
      <c r="L252" s="52"/>
      <c r="M252" s="53"/>
      <c r="N252" s="54"/>
      <c r="P252" s="51"/>
      <c r="Q252" s="51"/>
      <c r="R252" s="51"/>
      <c r="S252" s="51"/>
      <c r="T252" s="51"/>
    </row>
    <row r="253" spans="1:20" x14ac:dyDescent="0.3">
      <c r="A253" s="48">
        <v>0</v>
      </c>
      <c r="B253" s="49" t="s">
        <v>524</v>
      </c>
      <c r="C253" s="50"/>
      <c r="D253" s="50"/>
      <c r="E253" s="51"/>
      <c r="F253" s="51"/>
      <c r="G253" s="51"/>
      <c r="H253" s="51"/>
      <c r="I253" s="51"/>
      <c r="J253" s="51"/>
      <c r="K253" s="52"/>
      <c r="L253" s="52"/>
      <c r="M253" s="53"/>
      <c r="N253" s="54"/>
      <c r="P253" s="51"/>
      <c r="Q253" s="51"/>
      <c r="R253" s="51"/>
      <c r="S253" s="51"/>
      <c r="T253" s="51"/>
    </row>
    <row r="254" spans="1:20" x14ac:dyDescent="0.3">
      <c r="A254" s="48">
        <v>0</v>
      </c>
      <c r="B254" s="49" t="s">
        <v>525</v>
      </c>
      <c r="C254" s="50"/>
      <c r="D254" s="50"/>
      <c r="E254" s="51"/>
      <c r="F254" s="51"/>
      <c r="G254" s="51"/>
      <c r="H254" s="51"/>
      <c r="I254" s="51"/>
      <c r="J254" s="51"/>
      <c r="K254" s="52"/>
      <c r="L254" s="52"/>
      <c r="M254" s="53"/>
      <c r="N254" s="54"/>
      <c r="P254" s="51"/>
      <c r="Q254" s="51"/>
      <c r="R254" s="51"/>
      <c r="S254" s="51"/>
      <c r="T254" s="51"/>
    </row>
    <row r="255" spans="1:20" x14ac:dyDescent="0.3">
      <c r="A255" s="48">
        <v>0</v>
      </c>
      <c r="B255" s="49" t="s">
        <v>526</v>
      </c>
      <c r="C255" s="50"/>
      <c r="D255" s="50"/>
      <c r="E255" s="51"/>
      <c r="F255" s="51"/>
      <c r="G255" s="51"/>
      <c r="H255" s="51"/>
      <c r="I255" s="51"/>
      <c r="J255" s="51"/>
      <c r="K255" s="52"/>
      <c r="L255" s="52"/>
      <c r="M255" s="53"/>
      <c r="N255" s="54"/>
      <c r="P255" s="51"/>
      <c r="Q255" s="51"/>
      <c r="R255" s="51"/>
      <c r="S255" s="51"/>
      <c r="T255" s="51"/>
    </row>
    <row r="256" spans="1:20" x14ac:dyDescent="0.3">
      <c r="A256" s="48">
        <v>0</v>
      </c>
      <c r="B256" s="49" t="s">
        <v>527</v>
      </c>
      <c r="C256" s="50"/>
      <c r="D256" s="50"/>
      <c r="E256" s="51"/>
      <c r="F256" s="51"/>
      <c r="G256" s="51"/>
      <c r="H256" s="51"/>
      <c r="I256" s="51"/>
      <c r="J256" s="51"/>
      <c r="K256" s="52"/>
      <c r="L256" s="52"/>
      <c r="M256" s="53"/>
      <c r="N256" s="54"/>
      <c r="P256" s="51"/>
      <c r="Q256" s="51"/>
      <c r="R256" s="51"/>
      <c r="S256" s="51"/>
      <c r="T256" s="51"/>
    </row>
    <row r="257" spans="1:20" x14ac:dyDescent="0.3">
      <c r="A257" s="48">
        <v>0</v>
      </c>
      <c r="B257" s="49" t="s">
        <v>528</v>
      </c>
      <c r="C257" s="50"/>
      <c r="D257" s="50"/>
      <c r="E257" s="51"/>
      <c r="F257" s="51"/>
      <c r="G257" s="51"/>
      <c r="H257" s="51"/>
      <c r="I257" s="51"/>
      <c r="J257" s="51"/>
      <c r="K257" s="52"/>
      <c r="L257" s="52"/>
      <c r="M257" s="53"/>
      <c r="N257" s="54"/>
      <c r="P257" s="51"/>
      <c r="Q257" s="51"/>
      <c r="R257" s="51"/>
      <c r="S257" s="51"/>
      <c r="T257" s="51"/>
    </row>
    <row r="258" spans="1:20" x14ac:dyDescent="0.3">
      <c r="A258" s="48"/>
      <c r="B258" s="49" t="s">
        <v>531</v>
      </c>
      <c r="C258" s="50"/>
      <c r="D258" s="50"/>
      <c r="E258" s="51"/>
      <c r="F258" s="51"/>
      <c r="G258" s="51"/>
      <c r="H258" s="51"/>
      <c r="I258" s="51"/>
      <c r="J258" s="51"/>
      <c r="K258" s="52"/>
      <c r="L258" s="52"/>
      <c r="M258" s="53"/>
      <c r="N258" s="54"/>
      <c r="P258" s="51"/>
      <c r="Q258" s="51"/>
      <c r="R258" s="51"/>
      <c r="S258" s="51"/>
      <c r="T258" s="51"/>
    </row>
    <row r="259" spans="1:20" x14ac:dyDescent="0.3">
      <c r="A259" s="48"/>
      <c r="B259" s="49" t="s">
        <v>532</v>
      </c>
      <c r="C259" s="50"/>
      <c r="D259" s="50"/>
      <c r="E259" s="51"/>
      <c r="F259" s="51"/>
      <c r="G259" s="51"/>
      <c r="H259" s="51"/>
      <c r="I259" s="51"/>
      <c r="J259" s="51"/>
      <c r="K259" s="52"/>
      <c r="L259" s="52"/>
      <c r="M259" s="53"/>
      <c r="N259" s="54"/>
      <c r="P259" s="51"/>
      <c r="Q259" s="51"/>
      <c r="R259" s="51"/>
      <c r="S259" s="51"/>
      <c r="T259" s="51"/>
    </row>
    <row r="260" spans="1:20" x14ac:dyDescent="0.3">
      <c r="A260" s="48"/>
      <c r="B260" s="49" t="s">
        <v>533</v>
      </c>
      <c r="C260" s="50"/>
      <c r="D260" s="50"/>
      <c r="E260" s="51"/>
      <c r="F260" s="51"/>
      <c r="G260" s="51"/>
      <c r="H260" s="51"/>
      <c r="I260" s="51"/>
      <c r="J260" s="51"/>
      <c r="K260" s="52"/>
      <c r="L260" s="52"/>
      <c r="M260" s="53"/>
      <c r="N260" s="54"/>
      <c r="P260" s="51"/>
      <c r="Q260" s="51"/>
      <c r="R260" s="51"/>
      <c r="S260" s="51"/>
      <c r="T260" s="51"/>
    </row>
    <row r="261" spans="1:20" x14ac:dyDescent="0.3">
      <c r="A261" s="48"/>
      <c r="B261" s="49" t="s">
        <v>534</v>
      </c>
      <c r="C261" s="50"/>
      <c r="D261" s="50"/>
      <c r="E261" s="51"/>
      <c r="F261" s="51"/>
      <c r="G261" s="51"/>
      <c r="H261" s="51"/>
      <c r="I261" s="51"/>
      <c r="J261" s="51"/>
      <c r="K261" s="52"/>
      <c r="L261" s="52"/>
      <c r="M261" s="53"/>
      <c r="N261" s="54"/>
      <c r="P261" s="51"/>
      <c r="Q261" s="51"/>
      <c r="R261" s="51"/>
      <c r="S261" s="51"/>
      <c r="T261" s="51"/>
    </row>
    <row r="262" spans="1:20" x14ac:dyDescent="0.3">
      <c r="A262" s="48"/>
      <c r="B262" s="49" t="s">
        <v>535</v>
      </c>
      <c r="C262" s="50"/>
      <c r="D262" s="50"/>
      <c r="E262" s="51"/>
      <c r="F262" s="51"/>
      <c r="G262" s="51"/>
      <c r="H262" s="51"/>
      <c r="I262" s="51"/>
      <c r="J262" s="51"/>
      <c r="K262" s="52"/>
      <c r="L262" s="52"/>
      <c r="M262" s="53"/>
      <c r="N262" s="54"/>
      <c r="P262" s="51"/>
      <c r="Q262" s="51"/>
      <c r="R262" s="51"/>
      <c r="S262" s="51"/>
      <c r="T262" s="51"/>
    </row>
    <row r="263" spans="1:20" x14ac:dyDescent="0.3">
      <c r="A263" s="48"/>
      <c r="B263" s="49" t="s">
        <v>536</v>
      </c>
      <c r="C263" s="50"/>
      <c r="D263" s="50"/>
      <c r="E263" s="51"/>
      <c r="F263" s="51"/>
      <c r="G263" s="51"/>
      <c r="H263" s="51"/>
      <c r="I263" s="51"/>
      <c r="J263" s="51"/>
      <c r="K263" s="52"/>
      <c r="L263" s="52"/>
      <c r="M263" s="53"/>
      <c r="N263" s="54"/>
      <c r="P263" s="51"/>
      <c r="Q263" s="51"/>
      <c r="R263" s="51"/>
      <c r="S263" s="51"/>
      <c r="T263" s="51"/>
    </row>
    <row r="264" spans="1:20" x14ac:dyDescent="0.3">
      <c r="A264" s="48"/>
      <c r="B264" s="49" t="s">
        <v>537</v>
      </c>
      <c r="C264" s="50"/>
      <c r="D264" s="50"/>
      <c r="E264" s="51"/>
      <c r="F264" s="51"/>
      <c r="G264" s="51"/>
      <c r="H264" s="51"/>
      <c r="I264" s="51"/>
      <c r="J264" s="51"/>
      <c r="K264" s="52"/>
      <c r="L264" s="52"/>
      <c r="M264" s="53"/>
      <c r="N264" s="54"/>
      <c r="P264" s="51"/>
      <c r="Q264" s="51"/>
      <c r="R264" s="51"/>
      <c r="S264" s="51"/>
      <c r="T264" s="51"/>
    </row>
    <row r="265" spans="1:20" x14ac:dyDescent="0.3">
      <c r="A265" s="48"/>
      <c r="B265" s="49" t="s">
        <v>538</v>
      </c>
      <c r="C265" s="50"/>
      <c r="D265" s="50"/>
      <c r="E265" s="51"/>
      <c r="F265" s="51"/>
      <c r="G265" s="51"/>
      <c r="H265" s="51"/>
      <c r="I265" s="51"/>
      <c r="J265" s="51"/>
      <c r="K265" s="52"/>
      <c r="L265" s="52"/>
      <c r="M265" s="53"/>
      <c r="N265" s="54"/>
      <c r="P265" s="51"/>
      <c r="Q265" s="51"/>
      <c r="R265" s="51"/>
      <c r="S265" s="51"/>
      <c r="T265" s="51"/>
    </row>
    <row r="266" spans="1:20" x14ac:dyDescent="0.3">
      <c r="A266" s="48"/>
      <c r="B266" s="49" t="s">
        <v>539</v>
      </c>
      <c r="C266" s="50"/>
      <c r="D266" s="50"/>
      <c r="E266" s="51"/>
      <c r="F266" s="51"/>
      <c r="G266" s="51"/>
      <c r="H266" s="51"/>
      <c r="I266" s="51"/>
      <c r="J266" s="51"/>
      <c r="K266" s="52"/>
      <c r="L266" s="52"/>
      <c r="M266" s="53"/>
      <c r="N266" s="54"/>
      <c r="P266" s="51"/>
      <c r="Q266" s="51"/>
      <c r="R266" s="51"/>
      <c r="S266" s="51"/>
      <c r="T266" s="51"/>
    </row>
    <row r="267" spans="1:20" x14ac:dyDescent="0.3">
      <c r="A267" s="48"/>
      <c r="B267" s="49" t="s">
        <v>540</v>
      </c>
      <c r="C267" s="50"/>
      <c r="D267" s="50"/>
      <c r="E267" s="51"/>
      <c r="F267" s="51"/>
      <c r="G267" s="51"/>
      <c r="H267" s="51"/>
      <c r="I267" s="51"/>
      <c r="J267" s="51"/>
      <c r="K267" s="52"/>
      <c r="L267" s="52"/>
      <c r="M267" s="53"/>
      <c r="N267" s="54"/>
      <c r="P267" s="51"/>
      <c r="Q267" s="51"/>
      <c r="R267" s="51"/>
      <c r="S267" s="51"/>
      <c r="T267" s="51"/>
    </row>
    <row r="268" spans="1:20" x14ac:dyDescent="0.3">
      <c r="A268" s="48"/>
      <c r="B268" s="49" t="s">
        <v>541</v>
      </c>
      <c r="C268" s="50"/>
      <c r="D268" s="50"/>
      <c r="E268" s="51"/>
      <c r="F268" s="51"/>
      <c r="G268" s="51"/>
      <c r="H268" s="51"/>
      <c r="I268" s="51"/>
      <c r="J268" s="51"/>
      <c r="K268" s="52"/>
      <c r="L268" s="52"/>
      <c r="M268" s="53"/>
      <c r="N268" s="54"/>
      <c r="P268" s="51"/>
      <c r="Q268" s="51"/>
      <c r="R268" s="51"/>
      <c r="S268" s="51"/>
      <c r="T268" s="51"/>
    </row>
    <row r="269" spans="1:20" x14ac:dyDescent="0.3">
      <c r="A269" s="48"/>
      <c r="B269" s="49" t="s">
        <v>542</v>
      </c>
      <c r="C269" s="50"/>
      <c r="D269" s="50"/>
      <c r="E269" s="51"/>
      <c r="F269" s="51"/>
      <c r="G269" s="51"/>
      <c r="H269" s="51"/>
      <c r="I269" s="51"/>
      <c r="J269" s="51"/>
      <c r="K269" s="52"/>
      <c r="L269" s="52"/>
      <c r="M269" s="53"/>
      <c r="N269" s="54"/>
      <c r="P269" s="51"/>
      <c r="Q269" s="51"/>
      <c r="R269" s="51"/>
      <c r="S269" s="51"/>
      <c r="T269" s="51"/>
    </row>
    <row r="270" spans="1:20" x14ac:dyDescent="0.3">
      <c r="A270" s="48"/>
      <c r="B270" s="49" t="s">
        <v>543</v>
      </c>
      <c r="C270" s="50"/>
      <c r="D270" s="50"/>
      <c r="E270" s="51"/>
      <c r="F270" s="51"/>
      <c r="G270" s="51"/>
      <c r="H270" s="51"/>
      <c r="I270" s="51"/>
      <c r="J270" s="51"/>
      <c r="K270" s="52"/>
      <c r="L270" s="52"/>
      <c r="M270" s="53"/>
      <c r="N270" s="54"/>
      <c r="P270" s="51"/>
      <c r="Q270" s="51"/>
      <c r="R270" s="51"/>
      <c r="S270" s="51"/>
      <c r="T270" s="51"/>
    </row>
    <row r="271" spans="1:20" x14ac:dyDescent="0.3">
      <c r="A271" s="48"/>
      <c r="B271" s="49" t="s">
        <v>544</v>
      </c>
      <c r="C271" s="50"/>
      <c r="D271" s="50"/>
      <c r="E271" s="51"/>
      <c r="F271" s="51"/>
      <c r="G271" s="51"/>
      <c r="H271" s="51"/>
      <c r="I271" s="51"/>
      <c r="J271" s="51"/>
      <c r="K271" s="52"/>
      <c r="L271" s="52"/>
      <c r="M271" s="53"/>
      <c r="N271" s="54"/>
      <c r="P271" s="51"/>
      <c r="Q271" s="51"/>
      <c r="R271" s="51"/>
      <c r="S271" s="51"/>
      <c r="T271" s="51"/>
    </row>
    <row r="272" spans="1:20" x14ac:dyDescent="0.3">
      <c r="A272" s="48"/>
      <c r="B272" s="49" t="s">
        <v>545</v>
      </c>
      <c r="C272" s="50"/>
      <c r="D272" s="50"/>
      <c r="E272" s="51"/>
      <c r="F272" s="51"/>
      <c r="G272" s="51"/>
      <c r="H272" s="51"/>
      <c r="I272" s="51"/>
      <c r="J272" s="51"/>
      <c r="K272" s="52"/>
      <c r="L272" s="52"/>
      <c r="M272" s="53"/>
      <c r="N272" s="54"/>
      <c r="P272" s="51"/>
      <c r="Q272" s="51"/>
      <c r="R272" s="51"/>
      <c r="S272" s="51"/>
      <c r="T272" s="51"/>
    </row>
    <row r="273" spans="1:20" x14ac:dyDescent="0.3">
      <c r="A273" s="48"/>
      <c r="B273" s="49" t="s">
        <v>546</v>
      </c>
      <c r="C273" s="50"/>
      <c r="D273" s="50"/>
      <c r="E273" s="51"/>
      <c r="F273" s="51"/>
      <c r="G273" s="51"/>
      <c r="H273" s="51"/>
      <c r="I273" s="51"/>
      <c r="J273" s="51"/>
      <c r="K273" s="52"/>
      <c r="L273" s="52"/>
      <c r="M273" s="53"/>
      <c r="N273" s="54"/>
      <c r="P273" s="51"/>
      <c r="Q273" s="51"/>
      <c r="R273" s="51"/>
      <c r="S273" s="51"/>
      <c r="T273" s="51"/>
    </row>
    <row r="274" spans="1:20" x14ac:dyDescent="0.3">
      <c r="A274" s="48"/>
      <c r="B274" s="49" t="s">
        <v>547</v>
      </c>
      <c r="C274" s="50"/>
      <c r="D274" s="50"/>
      <c r="E274" s="51"/>
      <c r="F274" s="51"/>
      <c r="G274" s="51"/>
      <c r="H274" s="51"/>
      <c r="I274" s="51"/>
      <c r="J274" s="51"/>
      <c r="K274" s="52"/>
      <c r="L274" s="52"/>
      <c r="M274" s="53"/>
      <c r="N274" s="54"/>
      <c r="P274" s="51"/>
      <c r="Q274" s="51"/>
      <c r="R274" s="51"/>
      <c r="S274" s="51"/>
      <c r="T274" s="51"/>
    </row>
    <row r="275" spans="1:20" x14ac:dyDescent="0.3">
      <c r="A275" s="48"/>
      <c r="B275" s="49" t="s">
        <v>548</v>
      </c>
      <c r="C275" s="50"/>
      <c r="D275" s="50"/>
      <c r="E275" s="51"/>
      <c r="F275" s="51"/>
      <c r="G275" s="51"/>
      <c r="H275" s="51"/>
      <c r="I275" s="51"/>
      <c r="J275" s="51"/>
      <c r="K275" s="52"/>
      <c r="L275" s="52"/>
      <c r="M275" s="53"/>
      <c r="N275" s="54"/>
      <c r="P275" s="51"/>
      <c r="Q275" s="51"/>
      <c r="R275" s="51"/>
      <c r="S275" s="51"/>
      <c r="T275" s="51"/>
    </row>
    <row r="276" spans="1:20" x14ac:dyDescent="0.3">
      <c r="A276" s="48"/>
      <c r="B276" s="49" t="s">
        <v>549</v>
      </c>
      <c r="C276" s="50"/>
      <c r="D276" s="50"/>
      <c r="E276" s="51"/>
      <c r="F276" s="51"/>
      <c r="G276" s="51"/>
      <c r="H276" s="51"/>
      <c r="I276" s="51"/>
      <c r="J276" s="51"/>
      <c r="K276" s="52"/>
      <c r="L276" s="52"/>
      <c r="M276" s="53"/>
      <c r="N276" s="54"/>
      <c r="P276" s="51"/>
      <c r="Q276" s="51"/>
      <c r="R276" s="51"/>
      <c r="S276" s="51"/>
      <c r="T276" s="51"/>
    </row>
    <row r="277" spans="1:20" x14ac:dyDescent="0.3">
      <c r="A277" s="48"/>
      <c r="B277" s="49" t="s">
        <v>550</v>
      </c>
      <c r="C277" s="50"/>
      <c r="D277" s="50"/>
      <c r="E277" s="51"/>
      <c r="F277" s="51"/>
      <c r="G277" s="51"/>
      <c r="H277" s="51"/>
      <c r="I277" s="51"/>
      <c r="J277" s="51"/>
      <c r="K277" s="52"/>
      <c r="L277" s="52"/>
      <c r="M277" s="53"/>
      <c r="N277" s="54"/>
      <c r="P277" s="51"/>
      <c r="Q277" s="51"/>
      <c r="R277" s="51"/>
      <c r="S277" s="51"/>
      <c r="T277" s="51"/>
    </row>
    <row r="278" spans="1:20" x14ac:dyDescent="0.3">
      <c r="A278" s="48"/>
      <c r="B278" s="49" t="s">
        <v>551</v>
      </c>
      <c r="C278" s="50"/>
      <c r="D278" s="50"/>
      <c r="E278" s="51"/>
      <c r="F278" s="51"/>
      <c r="G278" s="51"/>
      <c r="H278" s="51"/>
      <c r="I278" s="51"/>
      <c r="J278" s="51"/>
      <c r="K278" s="52"/>
      <c r="L278" s="52"/>
      <c r="M278" s="53"/>
      <c r="N278" s="54"/>
      <c r="P278" s="51"/>
      <c r="Q278" s="51"/>
      <c r="R278" s="51"/>
      <c r="S278" s="51"/>
      <c r="T278" s="51"/>
    </row>
    <row r="279" spans="1:20" x14ac:dyDescent="0.3">
      <c r="A279" s="48"/>
      <c r="B279" s="49" t="s">
        <v>552</v>
      </c>
      <c r="C279" s="50"/>
      <c r="D279" s="50"/>
      <c r="E279" s="51"/>
      <c r="F279" s="51"/>
      <c r="G279" s="51"/>
      <c r="H279" s="51"/>
      <c r="I279" s="51"/>
      <c r="J279" s="51"/>
      <c r="K279" s="52"/>
      <c r="L279" s="52"/>
      <c r="M279" s="53"/>
      <c r="N279" s="54"/>
      <c r="P279" s="51"/>
      <c r="Q279" s="51"/>
      <c r="R279" s="51"/>
      <c r="S279" s="51"/>
      <c r="T279" s="51"/>
    </row>
    <row r="280" spans="1:20" x14ac:dyDescent="0.3">
      <c r="A280" s="48"/>
      <c r="B280" s="49" t="s">
        <v>553</v>
      </c>
      <c r="C280" s="50"/>
      <c r="D280" s="50"/>
      <c r="E280" s="51"/>
      <c r="F280" s="51"/>
      <c r="G280" s="51"/>
      <c r="H280" s="51"/>
      <c r="I280" s="51"/>
      <c r="J280" s="51"/>
      <c r="K280" s="52"/>
      <c r="L280" s="52"/>
      <c r="M280" s="53"/>
      <c r="N280" s="54"/>
      <c r="P280" s="51"/>
      <c r="Q280" s="51"/>
      <c r="R280" s="51"/>
      <c r="S280" s="51"/>
      <c r="T280" s="51"/>
    </row>
    <row r="281" spans="1:20" x14ac:dyDescent="0.3">
      <c r="A281" s="48"/>
      <c r="B281" s="49" t="s">
        <v>554</v>
      </c>
      <c r="C281" s="50"/>
      <c r="D281" s="50"/>
      <c r="E281" s="51"/>
      <c r="F281" s="51"/>
      <c r="G281" s="51"/>
      <c r="H281" s="51"/>
      <c r="I281" s="51"/>
      <c r="J281" s="51"/>
      <c r="K281" s="52"/>
      <c r="L281" s="52"/>
      <c r="M281" s="53"/>
      <c r="N281" s="54"/>
      <c r="P281" s="51"/>
      <c r="Q281" s="51"/>
      <c r="R281" s="51"/>
      <c r="S281" s="51"/>
      <c r="T281" s="51"/>
    </row>
    <row r="282" spans="1:20" x14ac:dyDescent="0.3">
      <c r="A282" s="48"/>
      <c r="B282" s="49" t="s">
        <v>555</v>
      </c>
      <c r="C282" s="50"/>
      <c r="D282" s="50"/>
      <c r="E282" s="51"/>
      <c r="F282" s="51"/>
      <c r="G282" s="51"/>
      <c r="H282" s="51"/>
      <c r="I282" s="51"/>
      <c r="J282" s="51"/>
      <c r="K282" s="52"/>
      <c r="L282" s="52"/>
      <c r="M282" s="53"/>
      <c r="N282" s="54"/>
      <c r="P282" s="51"/>
      <c r="Q282" s="51"/>
      <c r="R282" s="51"/>
      <c r="S282" s="51"/>
      <c r="T282" s="51"/>
    </row>
    <row r="283" spans="1:20" x14ac:dyDescent="0.3">
      <c r="A283" s="48"/>
      <c r="B283" s="49" t="s">
        <v>556</v>
      </c>
      <c r="C283" s="50"/>
      <c r="D283" s="50"/>
      <c r="E283" s="51"/>
      <c r="F283" s="51"/>
      <c r="G283" s="51"/>
      <c r="H283" s="51"/>
      <c r="I283" s="51"/>
      <c r="J283" s="51"/>
      <c r="K283" s="52"/>
      <c r="L283" s="52"/>
      <c r="M283" s="53"/>
      <c r="N283" s="54"/>
      <c r="P283" s="51"/>
      <c r="Q283" s="51"/>
      <c r="R283" s="51"/>
      <c r="S283" s="51"/>
      <c r="T283" s="51"/>
    </row>
    <row r="284" spans="1:20" x14ac:dyDescent="0.3">
      <c r="A284" s="48"/>
      <c r="B284" s="49" t="s">
        <v>557</v>
      </c>
      <c r="C284" s="50"/>
      <c r="D284" s="50"/>
      <c r="E284" s="51"/>
      <c r="F284" s="51"/>
      <c r="G284" s="51"/>
      <c r="H284" s="51"/>
      <c r="I284" s="51"/>
      <c r="J284" s="51"/>
      <c r="K284" s="52"/>
      <c r="L284" s="52"/>
      <c r="M284" s="53"/>
      <c r="N284" s="54"/>
      <c r="P284" s="51"/>
      <c r="Q284" s="51"/>
      <c r="R284" s="51"/>
      <c r="S284" s="51"/>
      <c r="T284" s="51"/>
    </row>
    <row r="285" spans="1:20" x14ac:dyDescent="0.3">
      <c r="A285" s="48"/>
      <c r="B285" s="49" t="s">
        <v>558</v>
      </c>
      <c r="C285" s="50"/>
      <c r="D285" s="50"/>
      <c r="E285" s="51"/>
      <c r="F285" s="51"/>
      <c r="G285" s="51"/>
      <c r="H285" s="51"/>
      <c r="I285" s="51"/>
      <c r="J285" s="51"/>
      <c r="K285" s="52"/>
      <c r="L285" s="52"/>
      <c r="M285" s="53"/>
      <c r="N285" s="54"/>
      <c r="P285" s="51"/>
      <c r="Q285" s="51"/>
      <c r="R285" s="51"/>
      <c r="S285" s="51"/>
      <c r="T285" s="51"/>
    </row>
    <row r="286" spans="1:20" x14ac:dyDescent="0.3">
      <c r="A286" s="48"/>
      <c r="B286" s="49" t="s">
        <v>559</v>
      </c>
      <c r="C286" s="50"/>
      <c r="D286" s="50"/>
      <c r="E286" s="51"/>
      <c r="F286" s="51"/>
      <c r="G286" s="51"/>
      <c r="H286" s="51"/>
      <c r="I286" s="51"/>
      <c r="J286" s="51"/>
      <c r="K286" s="52"/>
      <c r="L286" s="52"/>
      <c r="M286" s="53"/>
      <c r="N286" s="54"/>
      <c r="P286" s="51"/>
      <c r="Q286" s="51"/>
      <c r="R286" s="51"/>
      <c r="S286" s="51"/>
      <c r="T286" s="51"/>
    </row>
    <row r="287" spans="1:20" ht="15" thickBot="1" x14ac:dyDescent="0.35">
      <c r="A287" s="48"/>
      <c r="B287" s="49" t="s">
        <v>560</v>
      </c>
      <c r="C287" s="50"/>
      <c r="D287" s="50"/>
      <c r="E287" s="51"/>
      <c r="F287" s="51"/>
      <c r="G287" s="51"/>
      <c r="H287" s="51"/>
      <c r="I287" s="51"/>
      <c r="J287" s="51"/>
      <c r="K287" s="52"/>
      <c r="L287" s="52"/>
      <c r="M287" s="53"/>
      <c r="N287" s="54"/>
      <c r="P287" s="51"/>
      <c r="Q287" s="51"/>
      <c r="R287" s="51"/>
      <c r="S287" s="51"/>
      <c r="T287" s="51"/>
    </row>
    <row r="288" spans="1:20" ht="15" thickBot="1" x14ac:dyDescent="0.35">
      <c r="A288" s="14"/>
      <c r="B288" s="15" t="s">
        <v>63</v>
      </c>
      <c r="C288" s="15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31"/>
      <c r="P288" s="16"/>
      <c r="Q288" s="16"/>
      <c r="R288" s="16"/>
      <c r="S288" s="16"/>
      <c r="T288" s="16">
        <f>SUM(T5:T88)</f>
        <v>0</v>
      </c>
    </row>
  </sheetData>
  <sheetProtection autoFilter="0"/>
  <sortState xmlns:xlrd2="http://schemas.microsoft.com/office/spreadsheetml/2017/richdata2" ref="A3:M257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0266-7F3B-4F40-BDF2-A79EEB666EDF}">
  <sheetPr codeName="Tabelle17">
    <pageSetUpPr fitToPage="1"/>
  </sheetPr>
  <dimension ref="A1:U289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109375" bestFit="1" customWidth="1"/>
    <col min="7" max="7" width="13.6640625" customWidth="1"/>
    <col min="8" max="8" width="10.88671875" bestFit="1" customWidth="1"/>
    <col min="9" max="9" width="18.109375" bestFit="1" customWidth="1"/>
    <col min="10" max="10" width="13.44140625" bestFit="1" customWidth="1"/>
    <col min="21" max="21" width="11.44140625" style="29"/>
  </cols>
  <sheetData>
    <row r="1" spans="1:21" ht="15" thickBot="1" x14ac:dyDescent="0.35">
      <c r="A1" s="6" t="s">
        <v>758</v>
      </c>
    </row>
    <row r="2" spans="1:21" ht="43.8" thickBot="1" x14ac:dyDescent="0.35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">
      <c r="A3" s="55">
        <v>15</v>
      </c>
      <c r="B3" s="46" t="s">
        <v>203</v>
      </c>
      <c r="C3" s="55"/>
      <c r="D3" s="55"/>
      <c r="E3" s="56"/>
      <c r="F3" s="56"/>
      <c r="G3" s="57"/>
      <c r="H3" s="55"/>
      <c r="I3" s="55"/>
      <c r="J3" s="55"/>
      <c r="K3" s="55"/>
      <c r="L3" s="55"/>
      <c r="M3" s="282"/>
      <c r="N3" s="37"/>
      <c r="O3" s="36"/>
      <c r="P3" s="36"/>
      <c r="Q3" s="36"/>
      <c r="R3" s="36"/>
      <c r="S3" s="36"/>
      <c r="T3" s="36"/>
      <c r="U3" s="38"/>
    </row>
    <row r="4" spans="1:21" x14ac:dyDescent="0.3">
      <c r="A4" s="12">
        <v>13</v>
      </c>
      <c r="B4" s="46" t="s">
        <v>489</v>
      </c>
      <c r="C4" s="12"/>
      <c r="D4" s="12"/>
      <c r="E4" s="12"/>
      <c r="F4" s="12"/>
      <c r="G4" s="12"/>
      <c r="H4" s="12"/>
      <c r="I4" s="12"/>
      <c r="J4" s="12"/>
      <c r="K4" s="23"/>
      <c r="L4" s="23"/>
      <c r="M4" s="24"/>
      <c r="N4" s="25"/>
      <c r="O4" s="35"/>
      <c r="P4" s="35"/>
      <c r="Q4" s="35"/>
      <c r="R4" s="12"/>
      <c r="S4" s="26">
        <f t="shared" ref="S4:S13" si="0">R4+M4</f>
        <v>0</v>
      </c>
      <c r="T4" s="27">
        <f t="shared" ref="T4:T13" si="1">S4*A4</f>
        <v>0</v>
      </c>
      <c r="U4" s="43"/>
    </row>
    <row r="5" spans="1:21" x14ac:dyDescent="0.3">
      <c r="A5" s="12">
        <v>7</v>
      </c>
      <c r="B5" s="46" t="s">
        <v>340</v>
      </c>
      <c r="C5" s="12"/>
      <c r="D5" s="12"/>
      <c r="E5" s="12"/>
      <c r="F5" s="12"/>
      <c r="G5" s="12"/>
      <c r="H5" s="12"/>
      <c r="I5" s="12"/>
      <c r="J5" s="12"/>
      <c r="K5" s="23"/>
      <c r="L5" s="23"/>
      <c r="M5" s="24"/>
      <c r="N5" s="12"/>
      <c r="O5" s="12"/>
      <c r="P5" s="12"/>
      <c r="Q5" s="12"/>
      <c r="R5" s="12"/>
      <c r="S5" s="26">
        <f t="shared" si="0"/>
        <v>0</v>
      </c>
      <c r="T5" s="27">
        <f t="shared" si="1"/>
        <v>0</v>
      </c>
      <c r="U5" s="34"/>
    </row>
    <row r="6" spans="1:21" x14ac:dyDescent="0.3">
      <c r="A6" s="12">
        <v>6</v>
      </c>
      <c r="B6" s="46" t="s">
        <v>208</v>
      </c>
      <c r="C6" s="12"/>
      <c r="D6" s="12"/>
      <c r="E6" s="12"/>
      <c r="F6" s="12"/>
      <c r="G6" s="12"/>
      <c r="H6" s="12"/>
      <c r="I6" s="12"/>
      <c r="J6" s="12"/>
      <c r="K6" s="23"/>
      <c r="L6" s="23"/>
      <c r="M6" s="24"/>
      <c r="N6" s="12"/>
      <c r="O6" s="12"/>
      <c r="P6" s="12"/>
      <c r="Q6" s="12"/>
      <c r="R6" s="12"/>
      <c r="S6" s="26">
        <f t="shared" si="0"/>
        <v>0</v>
      </c>
      <c r="T6" s="27">
        <f t="shared" si="1"/>
        <v>0</v>
      </c>
      <c r="U6" s="34"/>
    </row>
    <row r="7" spans="1:21" x14ac:dyDescent="0.3">
      <c r="A7" s="12">
        <v>5</v>
      </c>
      <c r="B7" s="46" t="s">
        <v>205</v>
      </c>
      <c r="C7" s="12"/>
      <c r="D7" s="12"/>
      <c r="E7" s="23"/>
      <c r="F7" s="23"/>
      <c r="G7" s="24"/>
      <c r="H7" s="12"/>
      <c r="I7" s="12"/>
      <c r="J7" s="12"/>
      <c r="K7" s="12"/>
      <c r="L7" s="12"/>
      <c r="M7" s="26"/>
      <c r="N7" s="12"/>
      <c r="O7" s="12"/>
      <c r="P7" s="12"/>
      <c r="Q7" s="12"/>
      <c r="R7" s="12"/>
      <c r="S7" s="26">
        <f t="shared" si="0"/>
        <v>0</v>
      </c>
      <c r="T7" s="27">
        <f t="shared" si="1"/>
        <v>0</v>
      </c>
      <c r="U7" s="34"/>
    </row>
    <row r="8" spans="1:21" x14ac:dyDescent="0.3">
      <c r="A8" s="12">
        <v>3</v>
      </c>
      <c r="B8" s="46" t="s">
        <v>207</v>
      </c>
      <c r="C8" s="12"/>
      <c r="D8" s="12"/>
      <c r="E8" s="12"/>
      <c r="F8" s="12"/>
      <c r="G8" s="12"/>
      <c r="H8" s="12"/>
      <c r="I8" s="12"/>
      <c r="J8" s="12"/>
      <c r="K8" s="23"/>
      <c r="L8" s="23"/>
      <c r="M8" s="24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">
      <c r="A9" s="12">
        <v>2</v>
      </c>
      <c r="B9" s="46" t="s">
        <v>206</v>
      </c>
      <c r="C9" s="12"/>
      <c r="D9" s="12"/>
      <c r="E9" s="12"/>
      <c r="F9" s="12"/>
      <c r="G9" s="12"/>
      <c r="H9" s="12"/>
      <c r="I9" s="12"/>
      <c r="J9" s="12"/>
      <c r="K9" s="23"/>
      <c r="L9" s="23"/>
      <c r="M9" s="24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">
      <c r="A10" s="12">
        <v>1</v>
      </c>
      <c r="B10" s="46" t="s">
        <v>209</v>
      </c>
      <c r="C10" s="12"/>
      <c r="D10" s="12"/>
      <c r="E10" s="23"/>
      <c r="F10" s="23"/>
      <c r="G10" s="24"/>
      <c r="H10" s="12"/>
      <c r="I10" s="12"/>
      <c r="J10" s="12"/>
      <c r="K10" s="12"/>
      <c r="L10" s="12"/>
      <c r="M10" s="26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">
      <c r="A11" s="12">
        <v>0</v>
      </c>
      <c r="B11" s="46" t="s">
        <v>285</v>
      </c>
      <c r="C11" s="12"/>
      <c r="D11" s="12"/>
      <c r="E11" s="12"/>
      <c r="F11" s="12"/>
      <c r="G11" s="12"/>
      <c r="H11" s="12"/>
      <c r="I11" s="12"/>
      <c r="J11" s="12"/>
      <c r="K11" s="23"/>
      <c r="L11" s="23"/>
      <c r="M11" s="24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">
      <c r="A12" s="12">
        <v>0</v>
      </c>
      <c r="B12" s="46" t="s">
        <v>218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">
      <c r="A13" s="12">
        <v>0</v>
      </c>
      <c r="B13" s="46" t="s">
        <v>735</v>
      </c>
      <c r="C13" s="12"/>
      <c r="D13" s="12"/>
      <c r="E13" s="12"/>
      <c r="F13" s="12"/>
      <c r="G13" s="12"/>
      <c r="H13" s="12"/>
      <c r="I13" s="12"/>
      <c r="J13" s="12"/>
      <c r="K13" s="23"/>
      <c r="L13" s="23"/>
      <c r="M13" s="24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">
      <c r="A14" s="12">
        <v>0</v>
      </c>
      <c r="B14" s="46" t="s">
        <v>280</v>
      </c>
      <c r="C14" s="12"/>
      <c r="D14" s="12"/>
      <c r="E14" s="12"/>
      <c r="F14" s="12"/>
      <c r="G14" s="12"/>
      <c r="H14" s="12"/>
      <c r="I14" s="12"/>
      <c r="J14" s="12"/>
      <c r="K14" s="23"/>
      <c r="L14" s="23"/>
      <c r="M14" s="24"/>
      <c r="N14" s="12"/>
      <c r="O14" s="12"/>
      <c r="P14" s="12"/>
      <c r="Q14" s="12"/>
      <c r="R14" s="12"/>
      <c r="S14" s="26"/>
      <c r="T14" s="27"/>
      <c r="U14" s="43"/>
    </row>
    <row r="15" spans="1:21" x14ac:dyDescent="0.3">
      <c r="A15" s="12">
        <v>0</v>
      </c>
      <c r="B15" s="46" t="s">
        <v>268</v>
      </c>
      <c r="C15" s="12"/>
      <c r="D15" s="12"/>
      <c r="E15" s="12"/>
      <c r="F15" s="12"/>
      <c r="G15" s="12"/>
      <c r="H15" s="12"/>
      <c r="I15" s="12"/>
      <c r="J15" s="12"/>
      <c r="K15" s="23"/>
      <c r="L15" s="23"/>
      <c r="M15" s="24"/>
      <c r="N15" s="12"/>
      <c r="O15" s="12"/>
      <c r="P15" s="12"/>
      <c r="Q15" s="12"/>
      <c r="R15" s="12"/>
      <c r="S15" s="26">
        <f>R15+M15</f>
        <v>0</v>
      </c>
      <c r="T15" s="27">
        <f>S15*A15</f>
        <v>0</v>
      </c>
      <c r="U15" s="30">
        <v>43227</v>
      </c>
    </row>
    <row r="16" spans="1:21" x14ac:dyDescent="0.3">
      <c r="A16" s="12">
        <v>0</v>
      </c>
      <c r="B16" s="46" t="s">
        <v>341</v>
      </c>
      <c r="C16" s="12"/>
      <c r="D16" s="12"/>
      <c r="E16" s="12"/>
      <c r="F16" s="12"/>
      <c r="G16" s="12"/>
      <c r="H16" s="12"/>
      <c r="I16" s="12"/>
      <c r="J16" s="12"/>
      <c r="K16" s="23"/>
      <c r="L16" s="23"/>
      <c r="M16" s="24"/>
      <c r="N16" s="12"/>
      <c r="O16" s="12"/>
      <c r="P16" s="12"/>
      <c r="Q16" s="12"/>
      <c r="R16" s="12"/>
      <c r="S16" s="26">
        <f t="shared" ref="S16:S79" si="2">R16+M16</f>
        <v>0</v>
      </c>
      <c r="T16" s="27">
        <f t="shared" ref="T16:T79" si="3">S16*A16</f>
        <v>0</v>
      </c>
      <c r="U16" s="30"/>
    </row>
    <row r="17" spans="1:21" x14ac:dyDescent="0.3">
      <c r="A17" s="12">
        <v>0</v>
      </c>
      <c r="B17" s="46" t="s">
        <v>297</v>
      </c>
      <c r="C17" s="12"/>
      <c r="D17" s="12"/>
      <c r="E17" s="12"/>
      <c r="F17" s="12"/>
      <c r="G17" s="12"/>
      <c r="H17" s="12"/>
      <c r="I17" s="12"/>
      <c r="J17" s="12"/>
      <c r="K17" s="23"/>
      <c r="L17" s="23"/>
      <c r="M17" s="24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">
      <c r="A18" s="12">
        <v>0</v>
      </c>
      <c r="B18" s="46" t="s">
        <v>215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">
      <c r="A19" s="12">
        <v>0</v>
      </c>
      <c r="B19" s="46" t="s">
        <v>225</v>
      </c>
      <c r="C19" s="12"/>
      <c r="D19" s="12"/>
      <c r="E19" s="23"/>
      <c r="F19" s="23"/>
      <c r="G19" s="24"/>
      <c r="H19" s="12"/>
      <c r="I19" s="12"/>
      <c r="J19" s="12"/>
      <c r="K19" s="12"/>
      <c r="L19" s="12"/>
      <c r="M19" s="26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">
      <c r="A20" s="12">
        <v>0</v>
      </c>
      <c r="B20" s="46" t="s">
        <v>286</v>
      </c>
      <c r="C20" s="12"/>
      <c r="D20" s="12"/>
      <c r="E20" s="12"/>
      <c r="F20" s="12"/>
      <c r="G20" s="12"/>
      <c r="H20" s="12"/>
      <c r="I20" s="12"/>
      <c r="J20" s="12"/>
      <c r="K20" s="23"/>
      <c r="L20" s="23"/>
      <c r="M20" s="24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">
      <c r="A21" s="12">
        <v>0</v>
      </c>
      <c r="B21" s="46" t="s">
        <v>420</v>
      </c>
      <c r="C21" s="12"/>
      <c r="D21" s="12"/>
      <c r="E21" s="12"/>
      <c r="F21" s="12"/>
      <c r="G21" s="12"/>
      <c r="H21" s="12"/>
      <c r="I21" s="12"/>
      <c r="J21" s="12"/>
      <c r="K21" s="23"/>
      <c r="L21" s="23"/>
      <c r="M21" s="24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">
      <c r="A22" s="12">
        <v>0</v>
      </c>
      <c r="B22" s="46" t="s">
        <v>479</v>
      </c>
      <c r="C22" s="12"/>
      <c r="D22" s="12"/>
      <c r="E22" s="12"/>
      <c r="F22" s="12"/>
      <c r="G22" s="12"/>
      <c r="H22" s="12"/>
      <c r="I22" s="12"/>
      <c r="J22" s="12"/>
      <c r="K22" s="23"/>
      <c r="L22" s="23"/>
      <c r="M22" s="24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">
      <c r="A23" s="12">
        <v>0</v>
      </c>
      <c r="B23" s="46" t="s">
        <v>405</v>
      </c>
      <c r="C23" s="12"/>
      <c r="D23" s="12"/>
      <c r="E23" s="12"/>
      <c r="F23" s="12"/>
      <c r="G23" s="12"/>
      <c r="H23" s="12"/>
      <c r="I23" s="12"/>
      <c r="J23" s="12"/>
      <c r="K23" s="23"/>
      <c r="L23" s="23"/>
      <c r="M23" s="24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">
      <c r="A24" s="12">
        <v>0</v>
      </c>
      <c r="B24" s="46" t="s">
        <v>210</v>
      </c>
      <c r="C24" s="12"/>
      <c r="D24" s="12"/>
      <c r="E24" s="23"/>
      <c r="F24" s="23"/>
      <c r="G24" s="24"/>
      <c r="H24" s="12"/>
      <c r="I24" s="12"/>
      <c r="J24" s="12"/>
      <c r="K24" s="12"/>
      <c r="L24" s="12"/>
      <c r="M24" s="26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">
      <c r="A25" s="12">
        <v>0</v>
      </c>
      <c r="B25" s="46" t="s">
        <v>257</v>
      </c>
      <c r="C25" s="12"/>
      <c r="D25" s="12"/>
      <c r="E25" s="12"/>
      <c r="F25" s="12"/>
      <c r="G25" s="12"/>
      <c r="H25" s="12"/>
      <c r="I25" s="12"/>
      <c r="J25" s="12"/>
      <c r="K25" s="23"/>
      <c r="L25" s="23"/>
      <c r="M25" s="24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">
      <c r="A26" s="12">
        <v>0</v>
      </c>
      <c r="B26" s="46" t="s">
        <v>318</v>
      </c>
      <c r="C26" s="12"/>
      <c r="D26" s="12"/>
      <c r="E26" s="12"/>
      <c r="F26" s="12"/>
      <c r="G26" s="12"/>
      <c r="H26" s="12"/>
      <c r="I26" s="12"/>
      <c r="J26" s="12"/>
      <c r="K26" s="23"/>
      <c r="L26" s="23"/>
      <c r="M26" s="24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">
      <c r="A27" s="12">
        <v>0</v>
      </c>
      <c r="B27" s="46" t="s">
        <v>423</v>
      </c>
      <c r="C27" s="12"/>
      <c r="D27" s="12"/>
      <c r="E27" s="12"/>
      <c r="F27" s="12"/>
      <c r="G27" s="12"/>
      <c r="H27" s="12"/>
      <c r="I27" s="12"/>
      <c r="J27" s="12"/>
      <c r="K27" s="23"/>
      <c r="L27" s="23"/>
      <c r="M27" s="24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">
      <c r="A28" s="12">
        <v>0</v>
      </c>
      <c r="B28" s="46" t="s">
        <v>481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">
      <c r="A29" s="12">
        <v>0</v>
      </c>
      <c r="B29" s="46" t="s">
        <v>313</v>
      </c>
      <c r="C29" s="12"/>
      <c r="D29" s="12"/>
      <c r="E29" s="12"/>
      <c r="F29" s="12"/>
      <c r="G29" s="12"/>
      <c r="H29" s="12"/>
      <c r="I29" s="12"/>
      <c r="J29" s="12"/>
      <c r="K29" s="23"/>
      <c r="L29" s="23"/>
      <c r="M29" s="24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">
      <c r="A30" s="12">
        <v>0</v>
      </c>
      <c r="B30" s="46" t="s">
        <v>480</v>
      </c>
      <c r="C30" s="12"/>
      <c r="D30" s="12"/>
      <c r="E30" s="12"/>
      <c r="F30" s="12"/>
      <c r="G30" s="12"/>
      <c r="H30" s="12"/>
      <c r="I30" s="12"/>
      <c r="J30" s="12"/>
      <c r="K30" s="23"/>
      <c r="L30" s="23"/>
      <c r="M30" s="24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">
      <c r="A31" s="12">
        <v>0</v>
      </c>
      <c r="B31" s="46" t="s">
        <v>329</v>
      </c>
      <c r="C31" s="12"/>
      <c r="D31" s="12"/>
      <c r="E31" s="12"/>
      <c r="F31" s="12"/>
      <c r="G31" s="12"/>
      <c r="H31" s="12"/>
      <c r="I31" s="12"/>
      <c r="J31" s="12"/>
      <c r="K31" s="23"/>
      <c r="L31" s="23"/>
      <c r="M31" s="24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">
      <c r="A32" s="12">
        <v>0</v>
      </c>
      <c r="B32" s="46" t="s">
        <v>302</v>
      </c>
      <c r="C32" s="12"/>
      <c r="D32" s="12"/>
      <c r="E32" s="12"/>
      <c r="F32" s="12"/>
      <c r="G32" s="12"/>
      <c r="H32" s="12"/>
      <c r="I32" s="12"/>
      <c r="J32" s="12"/>
      <c r="K32" s="23"/>
      <c r="L32" s="23"/>
      <c r="M32" s="24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">
      <c r="A33" s="12">
        <v>0</v>
      </c>
      <c r="B33" s="46" t="s">
        <v>242</v>
      </c>
      <c r="C33" s="12"/>
      <c r="D33" s="12"/>
      <c r="E33" s="12"/>
      <c r="F33" s="12"/>
      <c r="G33" s="12"/>
      <c r="H33" s="12"/>
      <c r="I33" s="12"/>
      <c r="J33" s="12"/>
      <c r="K33" s="23"/>
      <c r="L33" s="23"/>
      <c r="M33" s="24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">
      <c r="A34" s="12">
        <v>0</v>
      </c>
      <c r="B34" s="46" t="s">
        <v>400</v>
      </c>
      <c r="C34" s="12"/>
      <c r="D34" s="12"/>
      <c r="E34" s="12"/>
      <c r="F34" s="12"/>
      <c r="G34" s="12"/>
      <c r="H34" s="12"/>
      <c r="I34" s="12"/>
      <c r="J34" s="12"/>
      <c r="K34" s="23"/>
      <c r="L34" s="23"/>
      <c r="M34" s="24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">
      <c r="A35" s="35">
        <v>0</v>
      </c>
      <c r="B35" s="46" t="s">
        <v>221</v>
      </c>
      <c r="C35" s="35"/>
      <c r="D35" s="35"/>
      <c r="E35" s="25"/>
      <c r="F35" s="25"/>
      <c r="G35" s="25"/>
      <c r="H35" s="25"/>
      <c r="I35" s="25"/>
      <c r="J35" s="25"/>
      <c r="K35" s="23"/>
      <c r="L35" s="23"/>
      <c r="M35" s="24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">
      <c r="A36" s="12">
        <v>0</v>
      </c>
      <c r="B36" s="46" t="s">
        <v>488</v>
      </c>
      <c r="C36" s="12"/>
      <c r="D36" s="12"/>
      <c r="E36" s="12"/>
      <c r="F36" s="12"/>
      <c r="G36" s="12"/>
      <c r="H36" s="12"/>
      <c r="I36" s="12"/>
      <c r="J36" s="12"/>
      <c r="K36" s="23"/>
      <c r="L36" s="23"/>
      <c r="M36" s="24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">
      <c r="A37" s="12">
        <v>0</v>
      </c>
      <c r="B37" s="46" t="s">
        <v>245</v>
      </c>
      <c r="C37" s="12"/>
      <c r="D37" s="12"/>
      <c r="E37" s="12"/>
      <c r="F37" s="12"/>
      <c r="G37" s="12"/>
      <c r="H37" s="12"/>
      <c r="I37" s="12"/>
      <c r="J37" s="12"/>
      <c r="K37" s="23"/>
      <c r="L37" s="23"/>
      <c r="M37" s="24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">
      <c r="A38" s="35">
        <v>0</v>
      </c>
      <c r="B38" s="46" t="s">
        <v>202</v>
      </c>
      <c r="C38" s="35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">
      <c r="A39" s="12">
        <v>0</v>
      </c>
      <c r="B39" s="12" t="s">
        <v>201</v>
      </c>
      <c r="C39" s="12"/>
      <c r="D39" s="12"/>
      <c r="E39" s="23"/>
      <c r="F39" s="23"/>
      <c r="G39" s="24"/>
      <c r="H39" s="12"/>
      <c r="I39" s="12"/>
      <c r="J39" s="12"/>
      <c r="K39" s="12"/>
      <c r="L39" s="12"/>
      <c r="M39" s="26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">
      <c r="A40" s="12">
        <v>0</v>
      </c>
      <c r="B40" s="46" t="s">
        <v>282</v>
      </c>
      <c r="C40" s="12"/>
      <c r="D40" s="12"/>
      <c r="E40" s="12"/>
      <c r="F40" s="12"/>
      <c r="G40" s="12"/>
      <c r="H40" s="12"/>
      <c r="I40" s="12"/>
      <c r="J40" s="12"/>
      <c r="K40" s="23"/>
      <c r="L40" s="23"/>
      <c r="M40" s="24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">
      <c r="A41" s="12">
        <v>0</v>
      </c>
      <c r="B41" s="46" t="s">
        <v>294</v>
      </c>
      <c r="C41" s="12"/>
      <c r="D41" s="12"/>
      <c r="E41" s="12"/>
      <c r="F41" s="12"/>
      <c r="G41" s="12"/>
      <c r="H41" s="12"/>
      <c r="I41" s="12"/>
      <c r="J41" s="12"/>
      <c r="K41" s="23"/>
      <c r="L41" s="23"/>
      <c r="M41" s="24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">
      <c r="A42" s="12">
        <v>0</v>
      </c>
      <c r="B42" s="46" t="s">
        <v>299</v>
      </c>
      <c r="C42" s="12"/>
      <c r="D42" s="12"/>
      <c r="E42" s="23"/>
      <c r="F42" s="23"/>
      <c r="G42" s="24"/>
      <c r="H42" s="12"/>
      <c r="I42" s="12"/>
      <c r="J42" s="12"/>
      <c r="K42" s="12"/>
      <c r="L42" s="12"/>
      <c r="M42" s="26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">
      <c r="A43" s="12">
        <v>0</v>
      </c>
      <c r="B43" s="12" t="s">
        <v>200</v>
      </c>
      <c r="C43" s="12"/>
      <c r="D43" s="12"/>
      <c r="E43" s="23"/>
      <c r="F43" s="23"/>
      <c r="G43" s="24"/>
      <c r="H43" s="12"/>
      <c r="I43" s="12"/>
      <c r="J43" s="12"/>
      <c r="K43" s="12"/>
      <c r="L43" s="12"/>
      <c r="M43" s="26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">
      <c r="A44" s="12">
        <v>0</v>
      </c>
      <c r="B44" s="46" t="s">
        <v>204</v>
      </c>
      <c r="C44" s="12"/>
      <c r="D44" s="12"/>
      <c r="E44" s="23"/>
      <c r="F44" s="23"/>
      <c r="G44" s="24"/>
      <c r="H44" s="12"/>
      <c r="I44" s="12"/>
      <c r="J44" s="12"/>
      <c r="K44" s="12"/>
      <c r="L44" s="12"/>
      <c r="M44" s="26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">
      <c r="A45" s="12">
        <v>0</v>
      </c>
      <c r="B45" s="46" t="s">
        <v>211</v>
      </c>
      <c r="C45" s="12"/>
      <c r="D45" s="12"/>
      <c r="E45" s="23"/>
      <c r="F45" s="23"/>
      <c r="G45" s="24"/>
      <c r="H45" s="12"/>
      <c r="I45" s="12"/>
      <c r="J45" s="12"/>
      <c r="K45" s="12"/>
      <c r="L45" s="12"/>
      <c r="M45" s="26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">
      <c r="A46" s="12">
        <v>0</v>
      </c>
      <c r="B46" s="46" t="s">
        <v>212</v>
      </c>
      <c r="C46" s="12"/>
      <c r="D46" s="12"/>
      <c r="E46" s="23"/>
      <c r="F46" s="23"/>
      <c r="G46" s="24"/>
      <c r="H46" s="12"/>
      <c r="I46" s="12"/>
      <c r="J46" s="12"/>
      <c r="K46" s="12"/>
      <c r="L46" s="12"/>
      <c r="M46" s="26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">
      <c r="A47" s="12">
        <v>0</v>
      </c>
      <c r="B47" s="46" t="s">
        <v>213</v>
      </c>
      <c r="C47" s="12"/>
      <c r="D47" s="12"/>
      <c r="E47" s="12"/>
      <c r="F47" s="12"/>
      <c r="G47" s="12"/>
      <c r="H47" s="12"/>
      <c r="I47" s="12"/>
      <c r="J47" s="12"/>
      <c r="K47" s="23"/>
      <c r="L47" s="23"/>
      <c r="M47" s="24"/>
      <c r="N47" s="12"/>
      <c r="O47" s="12"/>
      <c r="P47" s="12"/>
      <c r="Q47" s="12"/>
      <c r="R47" s="12"/>
      <c r="S47" s="26">
        <f t="shared" si="2"/>
        <v>0</v>
      </c>
      <c r="T47" s="27">
        <f t="shared" si="3"/>
        <v>0</v>
      </c>
      <c r="U47" s="30"/>
    </row>
    <row r="48" spans="1:21" x14ac:dyDescent="0.3">
      <c r="A48" s="35">
        <v>0</v>
      </c>
      <c r="B48" s="46" t="s">
        <v>214</v>
      </c>
      <c r="C48" s="35"/>
      <c r="D48" s="35"/>
      <c r="E48" s="25"/>
      <c r="F48" s="25"/>
      <c r="G48" s="25"/>
      <c r="H48" s="25"/>
      <c r="I48" s="25"/>
      <c r="J48" s="25"/>
      <c r="K48" s="23"/>
      <c r="L48" s="23"/>
      <c r="M48" s="24"/>
      <c r="N48" s="12"/>
      <c r="O48" s="12"/>
      <c r="P48" s="12"/>
      <c r="Q48" s="12"/>
      <c r="R48" s="12"/>
      <c r="S48" s="26">
        <f t="shared" si="2"/>
        <v>0</v>
      </c>
      <c r="T48" s="27">
        <f t="shared" si="3"/>
        <v>0</v>
      </c>
      <c r="U48" s="30"/>
    </row>
    <row r="49" spans="1:21" x14ac:dyDescent="0.3">
      <c r="A49" s="12">
        <v>0</v>
      </c>
      <c r="B49" s="46" t="s">
        <v>216</v>
      </c>
      <c r="C49" s="12"/>
      <c r="D49" s="12"/>
      <c r="E49" s="23"/>
      <c r="F49" s="23"/>
      <c r="G49" s="24"/>
      <c r="H49" s="12"/>
      <c r="I49" s="12"/>
      <c r="J49" s="12"/>
      <c r="K49" s="12"/>
      <c r="L49" s="12"/>
      <c r="M49" s="26"/>
      <c r="N49" s="12"/>
      <c r="O49" s="12"/>
      <c r="P49" s="12"/>
      <c r="Q49" s="12"/>
      <c r="R49" s="12"/>
      <c r="S49" s="26">
        <f t="shared" si="2"/>
        <v>0</v>
      </c>
      <c r="T49" s="27">
        <f t="shared" si="3"/>
        <v>0</v>
      </c>
      <c r="U49" s="30"/>
    </row>
    <row r="50" spans="1:21" x14ac:dyDescent="0.3">
      <c r="A50" s="12">
        <v>0</v>
      </c>
      <c r="B50" s="46" t="s">
        <v>217</v>
      </c>
      <c r="C50" s="12"/>
      <c r="D50" s="12"/>
      <c r="E50" s="23"/>
      <c r="F50" s="23"/>
      <c r="G50" s="24"/>
      <c r="H50" s="12"/>
      <c r="I50" s="12"/>
      <c r="J50" s="12"/>
      <c r="K50" s="12"/>
      <c r="L50" s="12"/>
      <c r="M50" s="26"/>
      <c r="N50" s="12"/>
      <c r="O50" s="12"/>
      <c r="P50" s="12"/>
      <c r="Q50" s="12"/>
      <c r="R50" s="12"/>
      <c r="S50" s="26">
        <f t="shared" si="2"/>
        <v>0</v>
      </c>
      <c r="T50" s="27">
        <f t="shared" si="3"/>
        <v>0</v>
      </c>
      <c r="U50" s="30"/>
    </row>
    <row r="51" spans="1:21" x14ac:dyDescent="0.3">
      <c r="A51" s="12">
        <v>0</v>
      </c>
      <c r="B51" s="46" t="s">
        <v>219</v>
      </c>
      <c r="C51" s="12"/>
      <c r="D51" s="12"/>
      <c r="E51" s="12"/>
      <c r="F51" s="12"/>
      <c r="G51" s="12"/>
      <c r="H51" s="12"/>
      <c r="I51" s="12"/>
      <c r="J51" s="12"/>
      <c r="K51" s="23"/>
      <c r="L51" s="23"/>
      <c r="M51" s="24"/>
      <c r="N51" s="12"/>
      <c r="O51" s="12"/>
      <c r="P51" s="12"/>
      <c r="Q51" s="12"/>
      <c r="R51" s="12"/>
      <c r="S51" s="26">
        <f t="shared" si="2"/>
        <v>0</v>
      </c>
      <c r="T51" s="27">
        <f t="shared" si="3"/>
        <v>0</v>
      </c>
      <c r="U51" s="30"/>
    </row>
    <row r="52" spans="1:21" x14ac:dyDescent="0.3">
      <c r="A52" s="35">
        <v>0</v>
      </c>
      <c r="B52" s="46" t="s">
        <v>220</v>
      </c>
      <c r="C52" s="35"/>
      <c r="D52" s="32"/>
      <c r="E52" s="33"/>
      <c r="F52" s="33"/>
      <c r="G52" s="33"/>
      <c r="H52" s="33"/>
      <c r="I52" s="33"/>
      <c r="J52" s="33"/>
      <c r="K52" s="33"/>
      <c r="L52" s="33"/>
      <c r="M52" s="33"/>
      <c r="N52" s="12"/>
      <c r="O52" s="12"/>
      <c r="P52" s="12"/>
      <c r="Q52" s="12"/>
      <c r="R52" s="12"/>
      <c r="S52" s="26">
        <f t="shared" si="2"/>
        <v>0</v>
      </c>
      <c r="T52" s="27">
        <f t="shared" si="3"/>
        <v>0</v>
      </c>
      <c r="U52" s="30"/>
    </row>
    <row r="53" spans="1:21" x14ac:dyDescent="0.3">
      <c r="A53" s="12">
        <v>0</v>
      </c>
      <c r="B53" s="46" t="s">
        <v>222</v>
      </c>
      <c r="C53" s="12"/>
      <c r="D53" s="12"/>
      <c r="E53" s="23"/>
      <c r="F53" s="23"/>
      <c r="G53" s="24"/>
      <c r="H53" s="12"/>
      <c r="I53" s="12"/>
      <c r="J53" s="12"/>
      <c r="K53" s="12"/>
      <c r="L53" s="12"/>
      <c r="M53" s="26"/>
      <c r="N53" s="12"/>
      <c r="O53" s="12"/>
      <c r="P53" s="12"/>
      <c r="Q53" s="12"/>
      <c r="R53" s="12"/>
      <c r="S53" s="26">
        <f t="shared" si="2"/>
        <v>0</v>
      </c>
      <c r="T53" s="27">
        <f t="shared" si="3"/>
        <v>0</v>
      </c>
      <c r="U53" s="30"/>
    </row>
    <row r="54" spans="1:21" x14ac:dyDescent="0.3">
      <c r="A54" s="12">
        <v>0</v>
      </c>
      <c r="B54" s="46" t="s">
        <v>223</v>
      </c>
      <c r="C54" s="12"/>
      <c r="D54" s="12"/>
      <c r="E54" s="12"/>
      <c r="F54" s="12"/>
      <c r="G54" s="12"/>
      <c r="H54" s="12"/>
      <c r="I54" s="12"/>
      <c r="J54" s="12"/>
      <c r="K54" s="23"/>
      <c r="L54" s="23"/>
      <c r="M54" s="24"/>
      <c r="N54" s="12"/>
      <c r="O54" s="12"/>
      <c r="P54" s="12"/>
      <c r="Q54" s="12"/>
      <c r="R54" s="12"/>
      <c r="S54" s="26">
        <f t="shared" si="2"/>
        <v>0</v>
      </c>
      <c r="T54" s="27">
        <f t="shared" si="3"/>
        <v>0</v>
      </c>
      <c r="U54" s="30"/>
    </row>
    <row r="55" spans="1:21" x14ac:dyDescent="0.3">
      <c r="A55" s="35">
        <v>0</v>
      </c>
      <c r="B55" s="46" t="s">
        <v>224</v>
      </c>
      <c r="C55" s="35"/>
      <c r="D55" s="35"/>
      <c r="E55" s="25"/>
      <c r="F55" s="25"/>
      <c r="G55" s="25"/>
      <c r="H55" s="25"/>
      <c r="I55" s="25"/>
      <c r="J55" s="25"/>
      <c r="K55" s="23"/>
      <c r="L55" s="23"/>
      <c r="M55" s="24"/>
      <c r="N55" s="12"/>
      <c r="O55" s="12"/>
      <c r="P55" s="12"/>
      <c r="Q55" s="12"/>
      <c r="R55" s="12"/>
      <c r="S55" s="26">
        <f t="shared" si="2"/>
        <v>0</v>
      </c>
      <c r="T55" s="27">
        <f t="shared" si="3"/>
        <v>0</v>
      </c>
      <c r="U55" s="30"/>
    </row>
    <row r="56" spans="1:21" x14ac:dyDescent="0.3">
      <c r="A56" s="12">
        <v>0</v>
      </c>
      <c r="B56" s="46" t="s">
        <v>226</v>
      </c>
      <c r="C56" s="12"/>
      <c r="D56" s="12"/>
      <c r="E56" s="23"/>
      <c r="F56" s="23"/>
      <c r="G56" s="24"/>
      <c r="H56" s="12"/>
      <c r="I56" s="12"/>
      <c r="J56" s="12"/>
      <c r="K56" s="12"/>
      <c r="L56" s="12"/>
      <c r="M56" s="26"/>
      <c r="N56" s="12"/>
      <c r="O56" s="12"/>
      <c r="P56" s="12"/>
      <c r="Q56" s="12"/>
      <c r="R56" s="12"/>
      <c r="S56" s="26">
        <f t="shared" si="2"/>
        <v>0</v>
      </c>
      <c r="T56" s="27">
        <f t="shared" si="3"/>
        <v>0</v>
      </c>
      <c r="U56" s="30"/>
    </row>
    <row r="57" spans="1:21" x14ac:dyDescent="0.3">
      <c r="A57" s="12">
        <v>0</v>
      </c>
      <c r="B57" s="46" t="s">
        <v>227</v>
      </c>
      <c r="C57" s="12"/>
      <c r="D57" s="12"/>
      <c r="E57" s="12"/>
      <c r="F57" s="12"/>
      <c r="G57" s="12"/>
      <c r="H57" s="12"/>
      <c r="I57" s="12"/>
      <c r="J57" s="12"/>
      <c r="K57" s="23"/>
      <c r="L57" s="23"/>
      <c r="M57" s="24"/>
      <c r="N57" s="12"/>
      <c r="O57" s="12"/>
      <c r="P57" s="12"/>
      <c r="Q57" s="12"/>
      <c r="R57" s="12"/>
      <c r="S57" s="26">
        <f t="shared" si="2"/>
        <v>0</v>
      </c>
      <c r="T57" s="27">
        <f t="shared" si="3"/>
        <v>0</v>
      </c>
      <c r="U57" s="30"/>
    </row>
    <row r="58" spans="1:21" x14ac:dyDescent="0.3">
      <c r="A58" s="12">
        <v>0</v>
      </c>
      <c r="B58" s="46" t="s">
        <v>228</v>
      </c>
      <c r="C58" s="12"/>
      <c r="D58" s="12"/>
      <c r="E58" s="12"/>
      <c r="F58" s="12"/>
      <c r="G58" s="12"/>
      <c r="H58" s="12"/>
      <c r="I58" s="12"/>
      <c r="J58" s="12"/>
      <c r="K58" s="23"/>
      <c r="L58" s="23"/>
      <c r="M58" s="24"/>
      <c r="N58" s="12"/>
      <c r="O58" s="12"/>
      <c r="P58" s="12"/>
      <c r="Q58" s="12"/>
      <c r="R58" s="12"/>
      <c r="S58" s="26">
        <f t="shared" si="2"/>
        <v>0</v>
      </c>
      <c r="T58" s="27">
        <f t="shared" si="3"/>
        <v>0</v>
      </c>
      <c r="U58" s="30"/>
    </row>
    <row r="59" spans="1:21" x14ac:dyDescent="0.3">
      <c r="A59" s="12">
        <v>0</v>
      </c>
      <c r="B59" s="46" t="s">
        <v>229</v>
      </c>
      <c r="C59" s="12"/>
      <c r="D59" s="12"/>
      <c r="E59" s="12"/>
      <c r="F59" s="12"/>
      <c r="G59" s="12"/>
      <c r="H59" s="12"/>
      <c r="I59" s="12"/>
      <c r="J59" s="12"/>
      <c r="K59" s="23"/>
      <c r="L59" s="23"/>
      <c r="M59" s="24"/>
      <c r="N59" s="12"/>
      <c r="O59" s="12"/>
      <c r="P59" s="12"/>
      <c r="Q59" s="12"/>
      <c r="R59" s="12"/>
      <c r="S59" s="26">
        <f t="shared" si="2"/>
        <v>0</v>
      </c>
      <c r="T59" s="27">
        <f t="shared" si="3"/>
        <v>0</v>
      </c>
      <c r="U59" s="30"/>
    </row>
    <row r="60" spans="1:21" x14ac:dyDescent="0.3">
      <c r="A60" s="35">
        <v>0</v>
      </c>
      <c r="B60" s="46" t="s">
        <v>230</v>
      </c>
      <c r="C60" s="35"/>
      <c r="D60" s="35"/>
      <c r="E60" s="25"/>
      <c r="F60" s="25"/>
      <c r="G60" s="25"/>
      <c r="H60" s="25"/>
      <c r="I60" s="25"/>
      <c r="J60" s="25"/>
      <c r="K60" s="23"/>
      <c r="L60" s="23"/>
      <c r="M60" s="24"/>
      <c r="N60" s="12"/>
      <c r="O60" s="12"/>
      <c r="P60" s="12"/>
      <c r="Q60" s="12"/>
      <c r="R60" s="12"/>
      <c r="S60" s="26">
        <f t="shared" si="2"/>
        <v>0</v>
      </c>
      <c r="T60" s="27">
        <f t="shared" si="3"/>
        <v>0</v>
      </c>
      <c r="U60" s="30"/>
    </row>
    <row r="61" spans="1:21" x14ac:dyDescent="0.3">
      <c r="A61" s="35">
        <v>0</v>
      </c>
      <c r="B61" s="46" t="s">
        <v>231</v>
      </c>
      <c r="C61" s="35"/>
      <c r="D61" s="35"/>
      <c r="E61" s="25"/>
      <c r="F61" s="25"/>
      <c r="G61" s="25"/>
      <c r="H61" s="25"/>
      <c r="I61" s="25"/>
      <c r="J61" s="25"/>
      <c r="K61" s="23"/>
      <c r="L61" s="23"/>
      <c r="M61" s="24"/>
      <c r="N61" s="12"/>
      <c r="O61" s="12"/>
      <c r="P61" s="12"/>
      <c r="Q61" s="12"/>
      <c r="R61" s="12"/>
      <c r="S61" s="26">
        <f t="shared" si="2"/>
        <v>0</v>
      </c>
      <c r="T61" s="27">
        <f t="shared" si="3"/>
        <v>0</v>
      </c>
      <c r="U61" s="30"/>
    </row>
    <row r="62" spans="1:21" x14ac:dyDescent="0.3">
      <c r="A62" s="35">
        <v>0</v>
      </c>
      <c r="B62" s="46" t="s">
        <v>232</v>
      </c>
      <c r="C62" s="35"/>
      <c r="D62" s="35"/>
      <c r="E62" s="25"/>
      <c r="F62" s="25"/>
      <c r="G62" s="25"/>
      <c r="H62" s="25"/>
      <c r="I62" s="25"/>
      <c r="J62" s="25"/>
      <c r="K62" s="23"/>
      <c r="L62" s="23"/>
      <c r="M62" s="24"/>
      <c r="N62" s="12"/>
      <c r="O62" s="12"/>
      <c r="P62" s="12"/>
      <c r="Q62" s="12"/>
      <c r="R62" s="12"/>
      <c r="S62" s="26">
        <f t="shared" si="2"/>
        <v>0</v>
      </c>
      <c r="T62" s="27">
        <f t="shared" si="3"/>
        <v>0</v>
      </c>
      <c r="U62" s="30"/>
    </row>
    <row r="63" spans="1:21" x14ac:dyDescent="0.3">
      <c r="A63" s="12">
        <v>0</v>
      </c>
      <c r="B63" s="46" t="s">
        <v>233</v>
      </c>
      <c r="C63" s="12"/>
      <c r="D63" s="12"/>
      <c r="E63" s="12"/>
      <c r="F63" s="12"/>
      <c r="G63" s="12"/>
      <c r="H63" s="12"/>
      <c r="I63" s="12"/>
      <c r="J63" s="12"/>
      <c r="K63" s="23"/>
      <c r="L63" s="23"/>
      <c r="M63" s="24"/>
      <c r="N63" s="12"/>
      <c r="O63" s="12"/>
      <c r="P63" s="12"/>
      <c r="Q63" s="12"/>
      <c r="R63" s="12"/>
      <c r="S63" s="26">
        <f t="shared" si="2"/>
        <v>0</v>
      </c>
      <c r="T63" s="27">
        <f t="shared" si="3"/>
        <v>0</v>
      </c>
      <c r="U63" s="30"/>
    </row>
    <row r="64" spans="1:21" x14ac:dyDescent="0.3">
      <c r="A64" s="12">
        <v>0</v>
      </c>
      <c r="B64" s="46" t="s">
        <v>234</v>
      </c>
      <c r="C64" s="12"/>
      <c r="D64" s="12"/>
      <c r="E64" s="12"/>
      <c r="F64" s="12"/>
      <c r="G64" s="12"/>
      <c r="H64" s="12"/>
      <c r="I64" s="12"/>
      <c r="J64" s="12"/>
      <c r="K64" s="23"/>
      <c r="L64" s="23"/>
      <c r="M64" s="24"/>
      <c r="N64" s="12"/>
      <c r="O64" s="12"/>
      <c r="P64" s="12"/>
      <c r="Q64" s="12"/>
      <c r="R64" s="12"/>
      <c r="S64" s="26">
        <f t="shared" si="2"/>
        <v>0</v>
      </c>
      <c r="T64" s="27">
        <f t="shared" si="3"/>
        <v>0</v>
      </c>
      <c r="U64" s="30"/>
    </row>
    <row r="65" spans="1:21" x14ac:dyDescent="0.3">
      <c r="A65" s="35">
        <v>0</v>
      </c>
      <c r="B65" s="46" t="s">
        <v>235</v>
      </c>
      <c r="C65" s="35"/>
      <c r="D65" s="35"/>
      <c r="E65" s="25"/>
      <c r="F65" s="25"/>
      <c r="G65" s="25"/>
      <c r="H65" s="25"/>
      <c r="I65" s="25"/>
      <c r="J65" s="25"/>
      <c r="K65" s="23"/>
      <c r="L65" s="23"/>
      <c r="M65" s="24"/>
      <c r="N65" s="12"/>
      <c r="O65" s="12"/>
      <c r="P65" s="12"/>
      <c r="Q65" s="12"/>
      <c r="R65" s="12"/>
      <c r="S65" s="26">
        <f t="shared" si="2"/>
        <v>0</v>
      </c>
      <c r="T65" s="27">
        <f t="shared" si="3"/>
        <v>0</v>
      </c>
      <c r="U65" s="30"/>
    </row>
    <row r="66" spans="1:21" x14ac:dyDescent="0.3">
      <c r="A66" s="35">
        <v>0</v>
      </c>
      <c r="B66" s="46" t="s">
        <v>236</v>
      </c>
      <c r="C66" s="35"/>
      <c r="D66" s="35"/>
      <c r="E66" s="25"/>
      <c r="F66" s="25"/>
      <c r="G66" s="25"/>
      <c r="H66" s="25"/>
      <c r="I66" s="25"/>
      <c r="J66" s="25"/>
      <c r="K66" s="23"/>
      <c r="L66" s="23"/>
      <c r="M66" s="24"/>
      <c r="N66" s="12"/>
      <c r="O66" s="12"/>
      <c r="P66" s="12"/>
      <c r="Q66" s="12"/>
      <c r="R66" s="12"/>
      <c r="S66" s="26">
        <f t="shared" si="2"/>
        <v>0</v>
      </c>
      <c r="T66" s="27">
        <f t="shared" si="3"/>
        <v>0</v>
      </c>
      <c r="U66" s="30"/>
    </row>
    <row r="67" spans="1:21" x14ac:dyDescent="0.3">
      <c r="A67" s="35">
        <v>0</v>
      </c>
      <c r="B67" s="46" t="s">
        <v>237</v>
      </c>
      <c r="C67" s="35"/>
      <c r="D67" s="35"/>
      <c r="E67" s="25"/>
      <c r="F67" s="25"/>
      <c r="G67" s="25"/>
      <c r="H67" s="25"/>
      <c r="I67" s="25"/>
      <c r="J67" s="25"/>
      <c r="K67" s="23"/>
      <c r="L67" s="23"/>
      <c r="M67" s="24"/>
      <c r="N67" s="12"/>
      <c r="O67" s="12"/>
      <c r="P67" s="12"/>
      <c r="Q67" s="12"/>
      <c r="R67" s="12"/>
      <c r="S67" s="26">
        <f t="shared" si="2"/>
        <v>0</v>
      </c>
      <c r="T67" s="27">
        <f t="shared" si="3"/>
        <v>0</v>
      </c>
      <c r="U67" s="30"/>
    </row>
    <row r="68" spans="1:21" x14ac:dyDescent="0.3">
      <c r="A68" s="35">
        <v>0</v>
      </c>
      <c r="B68" s="46" t="s">
        <v>238</v>
      </c>
      <c r="C68" s="35"/>
      <c r="D68" s="35"/>
      <c r="E68" s="25"/>
      <c r="F68" s="25"/>
      <c r="G68" s="25"/>
      <c r="H68" s="25"/>
      <c r="I68" s="25"/>
      <c r="J68" s="25"/>
      <c r="K68" s="23"/>
      <c r="L68" s="23"/>
      <c r="M68" s="24"/>
      <c r="N68" s="12"/>
      <c r="O68" s="12"/>
      <c r="P68" s="12"/>
      <c r="Q68" s="12"/>
      <c r="R68" s="12"/>
      <c r="S68" s="26">
        <f t="shared" si="2"/>
        <v>0</v>
      </c>
      <c r="T68" s="27">
        <f t="shared" si="3"/>
        <v>0</v>
      </c>
      <c r="U68" s="30"/>
    </row>
    <row r="69" spans="1:21" x14ac:dyDescent="0.3">
      <c r="A69" s="12">
        <v>0</v>
      </c>
      <c r="B69" s="46" t="s">
        <v>239</v>
      </c>
      <c r="C69" s="12"/>
      <c r="D69" s="12"/>
      <c r="E69" s="12"/>
      <c r="F69" s="12"/>
      <c r="G69" s="12"/>
      <c r="H69" s="12"/>
      <c r="I69" s="12"/>
      <c r="J69" s="12"/>
      <c r="K69" s="23"/>
      <c r="L69" s="23"/>
      <c r="M69" s="24"/>
      <c r="N69" s="12"/>
      <c r="O69" s="12"/>
      <c r="P69" s="12"/>
      <c r="Q69" s="12"/>
      <c r="R69" s="12"/>
      <c r="S69" s="26">
        <f t="shared" si="2"/>
        <v>0</v>
      </c>
      <c r="T69" s="27">
        <f t="shared" si="3"/>
        <v>0</v>
      </c>
      <c r="U69" s="30"/>
    </row>
    <row r="70" spans="1:21" x14ac:dyDescent="0.3">
      <c r="A70" s="12">
        <v>0</v>
      </c>
      <c r="B70" s="46" t="s">
        <v>240</v>
      </c>
      <c r="C70" s="12"/>
      <c r="D70" s="12"/>
      <c r="E70" s="12"/>
      <c r="F70" s="12"/>
      <c r="G70" s="12"/>
      <c r="H70" s="12"/>
      <c r="I70" s="12"/>
      <c r="J70" s="12"/>
      <c r="K70" s="23"/>
      <c r="L70" s="23"/>
      <c r="M70" s="24"/>
      <c r="N70" s="12"/>
      <c r="O70" s="12"/>
      <c r="P70" s="12"/>
      <c r="Q70" s="12"/>
      <c r="R70" s="12"/>
      <c r="S70" s="26">
        <f t="shared" si="2"/>
        <v>0</v>
      </c>
      <c r="T70" s="27">
        <f t="shared" si="3"/>
        <v>0</v>
      </c>
      <c r="U70" s="30"/>
    </row>
    <row r="71" spans="1:21" x14ac:dyDescent="0.3">
      <c r="A71" s="12">
        <v>0</v>
      </c>
      <c r="B71" s="46" t="s">
        <v>241</v>
      </c>
      <c r="C71" s="12"/>
      <c r="D71" s="12"/>
      <c r="E71" s="12"/>
      <c r="F71" s="12"/>
      <c r="G71" s="28"/>
      <c r="H71" s="12"/>
      <c r="I71" s="12"/>
      <c r="J71" s="12"/>
      <c r="K71" s="23"/>
      <c r="L71" s="23"/>
      <c r="M71" s="24"/>
      <c r="N71" s="12"/>
      <c r="O71" s="12"/>
      <c r="P71" s="12"/>
      <c r="Q71" s="12"/>
      <c r="R71" s="12"/>
      <c r="S71" s="26">
        <f t="shared" si="2"/>
        <v>0</v>
      </c>
      <c r="T71" s="27">
        <f t="shared" si="3"/>
        <v>0</v>
      </c>
      <c r="U71" s="30"/>
    </row>
    <row r="72" spans="1:21" x14ac:dyDescent="0.3">
      <c r="A72" s="12">
        <v>0</v>
      </c>
      <c r="B72" s="46" t="s">
        <v>243</v>
      </c>
      <c r="C72" s="12"/>
      <c r="D72" s="12"/>
      <c r="E72" s="12"/>
      <c r="F72" s="12"/>
      <c r="G72" s="12"/>
      <c r="H72" s="12"/>
      <c r="I72" s="12"/>
      <c r="J72" s="12"/>
      <c r="K72" s="23"/>
      <c r="L72" s="23"/>
      <c r="M72" s="24"/>
      <c r="N72" s="12"/>
      <c r="O72" s="12"/>
      <c r="P72" s="12"/>
      <c r="Q72" s="12"/>
      <c r="R72" s="12"/>
      <c r="S72" s="26">
        <f t="shared" si="2"/>
        <v>0</v>
      </c>
      <c r="T72" s="27">
        <f t="shared" si="3"/>
        <v>0</v>
      </c>
      <c r="U72" s="30"/>
    </row>
    <row r="73" spans="1:21" x14ac:dyDescent="0.3">
      <c r="A73" s="12">
        <v>0</v>
      </c>
      <c r="B73" s="46" t="s">
        <v>244</v>
      </c>
      <c r="C73" s="12"/>
      <c r="D73" s="12"/>
      <c r="E73" s="12"/>
      <c r="F73" s="12"/>
      <c r="G73" s="12"/>
      <c r="H73" s="12"/>
      <c r="I73" s="12"/>
      <c r="J73" s="12"/>
      <c r="K73" s="23"/>
      <c r="L73" s="23"/>
      <c r="M73" s="24"/>
      <c r="N73" s="12"/>
      <c r="O73" s="12"/>
      <c r="P73" s="12"/>
      <c r="Q73" s="12"/>
      <c r="R73" s="12"/>
      <c r="S73" s="26">
        <f t="shared" si="2"/>
        <v>0</v>
      </c>
      <c r="T73" s="27">
        <f t="shared" si="3"/>
        <v>0</v>
      </c>
      <c r="U73" s="30"/>
    </row>
    <row r="74" spans="1:21" x14ac:dyDescent="0.3">
      <c r="A74" s="12">
        <v>0</v>
      </c>
      <c r="B74" s="46" t="s">
        <v>246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2"/>
        <v>0</v>
      </c>
      <c r="T74" s="27">
        <f t="shared" si="3"/>
        <v>0</v>
      </c>
      <c r="U74" s="30"/>
    </row>
    <row r="75" spans="1:21" x14ac:dyDescent="0.3">
      <c r="A75" s="12">
        <v>0</v>
      </c>
      <c r="B75" s="46" t="s">
        <v>247</v>
      </c>
      <c r="C75" s="12"/>
      <c r="D75" s="12"/>
      <c r="E75" s="12"/>
      <c r="F75" s="12"/>
      <c r="G75" s="12"/>
      <c r="H75" s="12"/>
      <c r="I75" s="12"/>
      <c r="J75" s="12"/>
      <c r="K75" s="23"/>
      <c r="L75" s="23"/>
      <c r="M75" s="24"/>
      <c r="N75" s="12"/>
      <c r="O75" s="12"/>
      <c r="P75" s="12"/>
      <c r="Q75" s="12"/>
      <c r="R75" s="12"/>
      <c r="S75" s="26">
        <f t="shared" si="2"/>
        <v>0</v>
      </c>
      <c r="T75" s="27">
        <f t="shared" si="3"/>
        <v>0</v>
      </c>
      <c r="U75" s="30"/>
    </row>
    <row r="76" spans="1:21" x14ac:dyDescent="0.3">
      <c r="A76" s="12">
        <v>0</v>
      </c>
      <c r="B76" s="46" t="s">
        <v>248</v>
      </c>
      <c r="C76" s="12"/>
      <c r="D76" s="12"/>
      <c r="E76" s="12"/>
      <c r="F76" s="12"/>
      <c r="G76" s="12"/>
      <c r="H76" s="12"/>
      <c r="I76" s="12"/>
      <c r="J76" s="12"/>
      <c r="K76" s="23"/>
      <c r="L76" s="23"/>
      <c r="M76" s="24"/>
      <c r="N76" s="12"/>
      <c r="O76" s="12"/>
      <c r="P76" s="12"/>
      <c r="Q76" s="12"/>
      <c r="R76" s="12"/>
      <c r="S76" s="26">
        <f t="shared" si="2"/>
        <v>0</v>
      </c>
      <c r="T76" s="27">
        <f t="shared" si="3"/>
        <v>0</v>
      </c>
      <c r="U76" s="30"/>
    </row>
    <row r="77" spans="1:21" x14ac:dyDescent="0.3">
      <c r="A77" s="12">
        <v>0</v>
      </c>
      <c r="B77" s="46" t="s">
        <v>249</v>
      </c>
      <c r="C77" s="12"/>
      <c r="D77" s="12"/>
      <c r="E77" s="12"/>
      <c r="F77" s="12"/>
      <c r="G77" s="12"/>
      <c r="H77" s="12"/>
      <c r="I77" s="12"/>
      <c r="J77" s="12"/>
      <c r="K77" s="23"/>
      <c r="L77" s="23"/>
      <c r="M77" s="24"/>
      <c r="N77" s="12"/>
      <c r="O77" s="12"/>
      <c r="P77" s="12"/>
      <c r="Q77" s="12"/>
      <c r="R77" s="12"/>
      <c r="S77" s="26">
        <f t="shared" si="2"/>
        <v>0</v>
      </c>
      <c r="T77" s="27">
        <f t="shared" si="3"/>
        <v>0</v>
      </c>
      <c r="U77" s="30"/>
    </row>
    <row r="78" spans="1:21" x14ac:dyDescent="0.3">
      <c r="A78" s="12">
        <v>0</v>
      </c>
      <c r="B78" s="46" t="s">
        <v>250</v>
      </c>
      <c r="C78" s="12"/>
      <c r="D78" s="12"/>
      <c r="E78" s="12"/>
      <c r="F78" s="12"/>
      <c r="G78" s="12"/>
      <c r="H78" s="12"/>
      <c r="I78" s="12"/>
      <c r="J78" s="12"/>
      <c r="K78" s="23"/>
      <c r="L78" s="23"/>
      <c r="M78" s="24"/>
      <c r="N78" s="12"/>
      <c r="O78" s="12"/>
      <c r="P78" s="12"/>
      <c r="Q78" s="12"/>
      <c r="R78" s="12"/>
      <c r="S78" s="26">
        <f t="shared" si="2"/>
        <v>0</v>
      </c>
      <c r="T78" s="27">
        <f t="shared" si="3"/>
        <v>0</v>
      </c>
      <c r="U78" s="30"/>
    </row>
    <row r="79" spans="1:21" x14ac:dyDescent="0.3">
      <c r="A79" s="12">
        <v>0</v>
      </c>
      <c r="B79" s="46" t="s">
        <v>251</v>
      </c>
      <c r="C79" s="12"/>
      <c r="D79" s="12"/>
      <c r="E79" s="12"/>
      <c r="F79" s="12"/>
      <c r="G79" s="12"/>
      <c r="H79" s="12"/>
      <c r="I79" s="12"/>
      <c r="J79" s="12"/>
      <c r="K79" s="23"/>
      <c r="L79" s="23"/>
      <c r="M79" s="24"/>
      <c r="N79" s="12"/>
      <c r="O79" s="12"/>
      <c r="P79" s="12"/>
      <c r="Q79" s="12"/>
      <c r="R79" s="12"/>
      <c r="S79" s="26">
        <f t="shared" si="2"/>
        <v>0</v>
      </c>
      <c r="T79" s="27">
        <f t="shared" si="3"/>
        <v>0</v>
      </c>
      <c r="U79" s="30"/>
    </row>
    <row r="80" spans="1:21" x14ac:dyDescent="0.3">
      <c r="A80" s="12">
        <v>0</v>
      </c>
      <c r="B80" s="46" t="s">
        <v>252</v>
      </c>
      <c r="C80" s="12"/>
      <c r="D80" s="12"/>
      <c r="E80" s="12"/>
      <c r="F80" s="12"/>
      <c r="G80" s="12"/>
      <c r="H80" s="12"/>
      <c r="I80" s="12"/>
      <c r="J80" s="12"/>
      <c r="K80" s="23"/>
      <c r="L80" s="23"/>
      <c r="M80" s="24"/>
      <c r="N80" s="12"/>
      <c r="O80" s="12"/>
      <c r="P80" s="12"/>
      <c r="Q80" s="12"/>
      <c r="R80" s="12"/>
      <c r="S80" s="26">
        <f t="shared" ref="S80:S86" si="4">R80+M80</f>
        <v>0</v>
      </c>
      <c r="T80" s="27">
        <f t="shared" ref="T80:T86" si="5">S80*A80</f>
        <v>0</v>
      </c>
      <c r="U80" s="30"/>
    </row>
    <row r="81" spans="1:21" x14ac:dyDescent="0.3">
      <c r="A81" s="12">
        <v>0</v>
      </c>
      <c r="B81" s="46" t="s">
        <v>253</v>
      </c>
      <c r="C81" s="12"/>
      <c r="D81" s="12"/>
      <c r="E81" s="12"/>
      <c r="F81" s="12"/>
      <c r="G81" s="12"/>
      <c r="H81" s="12"/>
      <c r="I81" s="12"/>
      <c r="J81" s="12"/>
      <c r="K81" s="23"/>
      <c r="L81" s="23"/>
      <c r="M81" s="24"/>
      <c r="N81" s="12"/>
      <c r="O81" s="12"/>
      <c r="P81" s="12"/>
      <c r="Q81" s="12"/>
      <c r="R81" s="12"/>
      <c r="S81" s="26">
        <f t="shared" si="4"/>
        <v>0</v>
      </c>
      <c r="T81" s="27">
        <f t="shared" si="5"/>
        <v>0</v>
      </c>
      <c r="U81" s="30"/>
    </row>
    <row r="82" spans="1:21" x14ac:dyDescent="0.3">
      <c r="A82" s="12">
        <v>0</v>
      </c>
      <c r="B82" s="46" t="s">
        <v>254</v>
      </c>
      <c r="C82" s="12"/>
      <c r="D82" s="12"/>
      <c r="E82" s="12"/>
      <c r="F82" s="12"/>
      <c r="G82" s="28"/>
      <c r="H82" s="12"/>
      <c r="I82" s="12"/>
      <c r="J82" s="12"/>
      <c r="K82" s="23"/>
      <c r="L82" s="23"/>
      <c r="M82" s="24"/>
      <c r="N82" s="12"/>
      <c r="O82" s="12"/>
      <c r="P82" s="12"/>
      <c r="Q82" s="12"/>
      <c r="R82" s="12"/>
      <c r="S82" s="26">
        <f t="shared" si="4"/>
        <v>0</v>
      </c>
      <c r="T82" s="27">
        <f t="shared" si="5"/>
        <v>0</v>
      </c>
      <c r="U82" s="30"/>
    </row>
    <row r="83" spans="1:21" x14ac:dyDescent="0.3">
      <c r="A83" s="12">
        <v>0</v>
      </c>
      <c r="B83" s="46" t="s">
        <v>255</v>
      </c>
      <c r="C83" s="12"/>
      <c r="D83" s="12"/>
      <c r="E83" s="12"/>
      <c r="F83" s="12"/>
      <c r="G83" s="28"/>
      <c r="H83" s="12"/>
      <c r="I83" s="12"/>
      <c r="J83" s="12"/>
      <c r="K83" s="23"/>
      <c r="L83" s="23"/>
      <c r="M83" s="24"/>
      <c r="N83" s="12"/>
      <c r="O83" s="12"/>
      <c r="P83" s="12"/>
      <c r="Q83" s="12"/>
      <c r="R83" s="12"/>
      <c r="S83" s="26">
        <f t="shared" si="4"/>
        <v>0</v>
      </c>
      <c r="T83" s="27">
        <f t="shared" si="5"/>
        <v>0</v>
      </c>
      <c r="U83" s="30"/>
    </row>
    <row r="84" spans="1:21" x14ac:dyDescent="0.3">
      <c r="A84" s="12">
        <v>0</v>
      </c>
      <c r="B84" s="46" t="s">
        <v>256</v>
      </c>
      <c r="C84" s="12"/>
      <c r="D84" s="12"/>
      <c r="E84" s="12"/>
      <c r="F84" s="12"/>
      <c r="G84" s="12"/>
      <c r="H84" s="12"/>
      <c r="I84" s="12"/>
      <c r="J84" s="12"/>
      <c r="K84" s="23"/>
      <c r="L84" s="23"/>
      <c r="M84" s="24"/>
      <c r="N84" s="12"/>
      <c r="O84" s="12"/>
      <c r="P84" s="12"/>
      <c r="Q84" s="12"/>
      <c r="R84" s="12"/>
      <c r="S84" s="26">
        <f t="shared" si="4"/>
        <v>0</v>
      </c>
      <c r="T84" s="27">
        <f t="shared" si="5"/>
        <v>0</v>
      </c>
      <c r="U84" s="30"/>
    </row>
    <row r="85" spans="1:21" x14ac:dyDescent="0.3">
      <c r="A85" s="12">
        <v>0</v>
      </c>
      <c r="B85" s="46" t="s">
        <v>258</v>
      </c>
      <c r="C85" s="12"/>
      <c r="D85" s="12"/>
      <c r="E85" s="12"/>
      <c r="F85" s="12"/>
      <c r="G85" s="12"/>
      <c r="H85" s="12"/>
      <c r="I85" s="12"/>
      <c r="J85" s="12"/>
      <c r="K85" s="23"/>
      <c r="L85" s="23"/>
      <c r="M85" s="24"/>
      <c r="N85" s="12"/>
      <c r="O85" s="12"/>
      <c r="P85" s="12"/>
      <c r="Q85" s="12"/>
      <c r="R85" s="12"/>
      <c r="S85" s="26">
        <f t="shared" si="4"/>
        <v>0</v>
      </c>
      <c r="T85" s="27">
        <f t="shared" si="5"/>
        <v>0</v>
      </c>
      <c r="U85" s="30"/>
    </row>
    <row r="86" spans="1:21" x14ac:dyDescent="0.3">
      <c r="A86" s="12">
        <v>0</v>
      </c>
      <c r="B86" s="46" t="s">
        <v>259</v>
      </c>
      <c r="C86" s="12"/>
      <c r="D86" s="12"/>
      <c r="E86" s="12"/>
      <c r="F86" s="12"/>
      <c r="G86" s="12"/>
      <c r="H86" s="12"/>
      <c r="I86" s="12"/>
      <c r="J86" s="12"/>
      <c r="K86" s="23"/>
      <c r="L86" s="23"/>
      <c r="M86" s="24"/>
      <c r="N86" s="12"/>
      <c r="O86" s="12"/>
      <c r="P86" s="12"/>
      <c r="Q86" s="12"/>
      <c r="R86" s="12"/>
      <c r="S86" s="26">
        <f t="shared" si="4"/>
        <v>0</v>
      </c>
      <c r="T86" s="27">
        <f t="shared" si="5"/>
        <v>0</v>
      </c>
      <c r="U86" s="30"/>
    </row>
    <row r="87" spans="1:21" x14ac:dyDescent="0.3">
      <c r="A87" s="12">
        <v>0</v>
      </c>
      <c r="B87" s="46" t="s">
        <v>260</v>
      </c>
      <c r="C87" s="12"/>
      <c r="D87" s="12"/>
      <c r="E87" s="12"/>
      <c r="F87" s="12"/>
      <c r="G87" s="12"/>
      <c r="H87" s="12"/>
      <c r="I87" s="12"/>
      <c r="J87" s="12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">
      <c r="A88" s="12">
        <v>0</v>
      </c>
      <c r="B88" s="46" t="s">
        <v>261</v>
      </c>
      <c r="C88" s="12"/>
      <c r="D88" s="12"/>
      <c r="E88" s="12"/>
      <c r="F88" s="12"/>
      <c r="G88" s="12"/>
      <c r="H88" s="12"/>
      <c r="I88" s="12"/>
      <c r="J88" s="12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">
      <c r="A89" s="12">
        <v>0</v>
      </c>
      <c r="B89" s="46" t="s">
        <v>262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6" t="s">
        <v>263</v>
      </c>
      <c r="C90" s="12"/>
      <c r="D90" s="12"/>
      <c r="E90" s="25"/>
      <c r="F90" s="25"/>
      <c r="G90" s="25"/>
      <c r="H90" s="25"/>
      <c r="I90" s="25"/>
      <c r="J90" s="25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6" t="s">
        <v>264</v>
      </c>
      <c r="C91" s="12"/>
      <c r="D91" s="12"/>
      <c r="E91" s="12"/>
      <c r="F91" s="12"/>
      <c r="G91" s="12"/>
      <c r="H91" s="12"/>
      <c r="I91" s="12"/>
      <c r="J91" s="12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6" t="s">
        <v>265</v>
      </c>
      <c r="C92" s="12"/>
      <c r="D92" s="12"/>
      <c r="E92" s="12"/>
      <c r="F92" s="12"/>
      <c r="G92" s="12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7" t="s">
        <v>266</v>
      </c>
      <c r="C93" s="12"/>
      <c r="D93" s="12"/>
      <c r="E93" s="25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6" t="s">
        <v>267</v>
      </c>
      <c r="C94" s="12"/>
      <c r="D94" s="12"/>
      <c r="E94" s="12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6" t="s">
        <v>269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6" t="s">
        <v>270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6" t="s">
        <v>271</v>
      </c>
      <c r="C97" s="12"/>
      <c r="D97" s="12"/>
      <c r="E97" s="12"/>
      <c r="F97" s="12"/>
      <c r="G97" s="12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6" t="s">
        <v>272</v>
      </c>
      <c r="C98" s="12"/>
      <c r="D98" s="12"/>
      <c r="E98" s="12"/>
      <c r="F98" s="12"/>
      <c r="G98" s="12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6" t="s">
        <v>273</v>
      </c>
      <c r="C99" s="12"/>
      <c r="D99" s="12"/>
      <c r="E99" s="12"/>
      <c r="F99" s="12"/>
      <c r="G99" s="12"/>
      <c r="H99" s="12"/>
      <c r="I99" s="12"/>
      <c r="J99" s="12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6" t="s">
        <v>274</v>
      </c>
      <c r="C100" s="12"/>
      <c r="D100" s="12"/>
      <c r="E100" s="12"/>
      <c r="F100" s="12"/>
      <c r="G100" s="12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6" t="s">
        <v>275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6" t="s">
        <v>276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6" t="s">
        <v>277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6" t="s">
        <v>278</v>
      </c>
      <c r="C104" s="12"/>
      <c r="D104" s="12"/>
      <c r="E104" s="12"/>
      <c r="F104" s="12"/>
      <c r="G104" s="12"/>
      <c r="H104" s="12"/>
      <c r="I104" s="12"/>
      <c r="J104" s="12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6" t="s">
        <v>279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6" t="s">
        <v>281</v>
      </c>
      <c r="C106" s="12"/>
      <c r="D106" s="12"/>
      <c r="E106" s="12"/>
      <c r="F106" s="12"/>
      <c r="G106" s="12"/>
      <c r="H106" s="12"/>
      <c r="I106" s="12"/>
      <c r="J106" s="12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6" t="s">
        <v>283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6" t="s">
        <v>284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6" t="s">
        <v>287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6" t="s">
        <v>288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6" t="s">
        <v>289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6" t="s">
        <v>290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6" t="s">
        <v>291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6" t="s">
        <v>292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6" t="s">
        <v>293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6" t="s">
        <v>295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6" t="s">
        <v>296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6" t="s">
        <v>298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6" t="s">
        <v>193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6" t="s">
        <v>300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6" t="s">
        <v>301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6" t="s">
        <v>303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6" t="s">
        <v>304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6" t="s">
        <v>305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6" t="s">
        <v>306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6" t="s">
        <v>307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6" t="s">
        <v>308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">
      <c r="A128" s="48">
        <v>0</v>
      </c>
      <c r="B128" s="49" t="s">
        <v>309</v>
      </c>
      <c r="C128" s="50"/>
      <c r="D128" s="50"/>
      <c r="E128" s="51"/>
      <c r="F128" s="51"/>
      <c r="G128" s="51"/>
      <c r="H128" s="51"/>
      <c r="I128" s="51"/>
      <c r="J128" s="51"/>
      <c r="K128" s="52"/>
      <c r="L128" s="52"/>
      <c r="M128" s="53"/>
      <c r="N128" s="54"/>
      <c r="P128" s="51"/>
      <c r="Q128" s="51"/>
      <c r="R128" s="51"/>
      <c r="S128" s="51"/>
      <c r="T128" s="51"/>
    </row>
    <row r="129" spans="1:20" x14ac:dyDescent="0.3">
      <c r="A129" s="48">
        <v>0</v>
      </c>
      <c r="B129" s="49" t="s">
        <v>310</v>
      </c>
      <c r="C129" s="50"/>
      <c r="D129" s="50"/>
      <c r="E129" s="51"/>
      <c r="F129" s="51"/>
      <c r="G129" s="51"/>
      <c r="H129" s="51"/>
      <c r="I129" s="51"/>
      <c r="J129" s="51"/>
      <c r="K129" s="52"/>
      <c r="L129" s="52"/>
      <c r="M129" s="53"/>
      <c r="N129" s="54"/>
      <c r="P129" s="51"/>
      <c r="Q129" s="51"/>
      <c r="R129" s="51"/>
      <c r="S129" s="51"/>
      <c r="T129" s="51"/>
    </row>
    <row r="130" spans="1:20" x14ac:dyDescent="0.3">
      <c r="A130" s="48">
        <v>0</v>
      </c>
      <c r="B130" s="49" t="s">
        <v>311</v>
      </c>
      <c r="C130" s="50"/>
      <c r="D130" s="50"/>
      <c r="E130" s="51"/>
      <c r="F130" s="51"/>
      <c r="G130" s="51"/>
      <c r="H130" s="51"/>
      <c r="I130" s="51"/>
      <c r="J130" s="51"/>
      <c r="K130" s="52"/>
      <c r="L130" s="52"/>
      <c r="M130" s="53"/>
      <c r="N130" s="54"/>
      <c r="P130" s="51"/>
      <c r="Q130" s="51"/>
      <c r="R130" s="51"/>
      <c r="S130" s="51"/>
      <c r="T130" s="51"/>
    </row>
    <row r="131" spans="1:20" x14ac:dyDescent="0.3">
      <c r="A131" s="48">
        <v>0</v>
      </c>
      <c r="B131" s="49" t="s">
        <v>312</v>
      </c>
      <c r="C131" s="50"/>
      <c r="D131" s="50"/>
      <c r="E131" s="51"/>
      <c r="F131" s="51"/>
      <c r="G131" s="51"/>
      <c r="H131" s="51"/>
      <c r="I131" s="51"/>
      <c r="J131" s="51"/>
      <c r="K131" s="52"/>
      <c r="L131" s="52"/>
      <c r="M131" s="53"/>
      <c r="N131" s="54"/>
      <c r="P131" s="51"/>
      <c r="Q131" s="51"/>
      <c r="R131" s="51"/>
      <c r="S131" s="51"/>
      <c r="T131" s="51"/>
    </row>
    <row r="132" spans="1:20" x14ac:dyDescent="0.3">
      <c r="A132" s="48">
        <v>0</v>
      </c>
      <c r="B132" s="49" t="s">
        <v>314</v>
      </c>
      <c r="C132" s="50"/>
      <c r="D132" s="50"/>
      <c r="E132" s="51"/>
      <c r="F132" s="51"/>
      <c r="G132" s="51"/>
      <c r="H132" s="51"/>
      <c r="I132" s="51"/>
      <c r="J132" s="51"/>
      <c r="K132" s="52"/>
      <c r="L132" s="52"/>
      <c r="M132" s="53"/>
      <c r="N132" s="54"/>
      <c r="P132" s="51"/>
      <c r="Q132" s="51"/>
      <c r="R132" s="51"/>
      <c r="S132" s="51"/>
      <c r="T132" s="51"/>
    </row>
    <row r="133" spans="1:20" x14ac:dyDescent="0.3">
      <c r="A133" s="48">
        <v>0</v>
      </c>
      <c r="B133" s="49" t="s">
        <v>315</v>
      </c>
      <c r="C133" s="50"/>
      <c r="D133" s="50"/>
      <c r="E133" s="51"/>
      <c r="F133" s="51"/>
      <c r="G133" s="51"/>
      <c r="H133" s="51"/>
      <c r="I133" s="51"/>
      <c r="J133" s="51"/>
      <c r="K133" s="52"/>
      <c r="L133" s="52"/>
      <c r="M133" s="53"/>
      <c r="N133" s="54"/>
      <c r="P133" s="51"/>
      <c r="Q133" s="51"/>
      <c r="R133" s="51"/>
      <c r="S133" s="51"/>
      <c r="T133" s="51"/>
    </row>
    <row r="134" spans="1:20" x14ac:dyDescent="0.3">
      <c r="A134" s="48">
        <v>0</v>
      </c>
      <c r="B134" s="49" t="s">
        <v>316</v>
      </c>
      <c r="C134" s="50"/>
      <c r="D134" s="50"/>
      <c r="E134" s="51"/>
      <c r="F134" s="51"/>
      <c r="G134" s="51"/>
      <c r="H134" s="51"/>
      <c r="I134" s="51"/>
      <c r="J134" s="51"/>
      <c r="K134" s="52"/>
      <c r="L134" s="52"/>
      <c r="M134" s="53"/>
      <c r="N134" s="54"/>
      <c r="P134" s="51"/>
      <c r="Q134" s="51"/>
      <c r="R134" s="51"/>
      <c r="S134" s="51"/>
      <c r="T134" s="51"/>
    </row>
    <row r="135" spans="1:20" x14ac:dyDescent="0.3">
      <c r="A135" s="48">
        <v>0</v>
      </c>
      <c r="B135" s="49" t="s">
        <v>317</v>
      </c>
      <c r="C135" s="50"/>
      <c r="D135" s="50"/>
      <c r="E135" s="51"/>
      <c r="F135" s="51"/>
      <c r="G135" s="51"/>
      <c r="H135" s="51"/>
      <c r="I135" s="51"/>
      <c r="J135" s="51"/>
      <c r="K135" s="52"/>
      <c r="L135" s="52"/>
      <c r="M135" s="53"/>
      <c r="N135" s="54"/>
      <c r="P135" s="51"/>
      <c r="Q135" s="51"/>
      <c r="R135" s="51"/>
      <c r="S135" s="51"/>
      <c r="T135" s="51"/>
    </row>
    <row r="136" spans="1:20" x14ac:dyDescent="0.3">
      <c r="A136" s="48">
        <v>0</v>
      </c>
      <c r="B136" s="49" t="s">
        <v>319</v>
      </c>
      <c r="C136" s="50"/>
      <c r="D136" s="50"/>
      <c r="E136" s="51"/>
      <c r="F136" s="51"/>
      <c r="G136" s="51"/>
      <c r="H136" s="51"/>
      <c r="I136" s="51"/>
      <c r="J136" s="51"/>
      <c r="K136" s="52"/>
      <c r="L136" s="52"/>
      <c r="M136" s="53"/>
      <c r="N136" s="54"/>
      <c r="P136" s="51"/>
      <c r="Q136" s="51"/>
      <c r="R136" s="51"/>
      <c r="S136" s="51"/>
      <c r="T136" s="51"/>
    </row>
    <row r="137" spans="1:20" x14ac:dyDescent="0.3">
      <c r="A137" s="48">
        <v>0</v>
      </c>
      <c r="B137" s="49" t="s">
        <v>320</v>
      </c>
      <c r="C137" s="50"/>
      <c r="D137" s="50"/>
      <c r="E137" s="51"/>
      <c r="F137" s="51"/>
      <c r="G137" s="51"/>
      <c r="H137" s="51"/>
      <c r="I137" s="51"/>
      <c r="J137" s="51"/>
      <c r="K137" s="52"/>
      <c r="L137" s="52"/>
      <c r="M137" s="53"/>
      <c r="N137" s="54"/>
      <c r="P137" s="51"/>
      <c r="Q137" s="51"/>
      <c r="R137" s="51"/>
      <c r="S137" s="51"/>
      <c r="T137" s="51"/>
    </row>
    <row r="138" spans="1:20" x14ac:dyDescent="0.3">
      <c r="A138" s="48">
        <v>0</v>
      </c>
      <c r="B138" s="49" t="s">
        <v>321</v>
      </c>
      <c r="C138" s="50"/>
      <c r="D138" s="50"/>
      <c r="E138" s="51"/>
      <c r="F138" s="51"/>
      <c r="G138" s="51"/>
      <c r="H138" s="51"/>
      <c r="I138" s="51"/>
      <c r="J138" s="51"/>
      <c r="K138" s="52"/>
      <c r="L138" s="52"/>
      <c r="M138" s="53"/>
      <c r="N138" s="54"/>
      <c r="P138" s="51"/>
      <c r="Q138" s="51"/>
      <c r="R138" s="51"/>
      <c r="S138" s="51"/>
      <c r="T138" s="51"/>
    </row>
    <row r="139" spans="1:20" x14ac:dyDescent="0.3">
      <c r="A139" s="48">
        <v>0</v>
      </c>
      <c r="B139" s="49" t="s">
        <v>322</v>
      </c>
      <c r="C139" s="50"/>
      <c r="D139" s="50"/>
      <c r="E139" s="51"/>
      <c r="F139" s="51"/>
      <c r="G139" s="51"/>
      <c r="H139" s="51"/>
      <c r="I139" s="51"/>
      <c r="J139" s="51"/>
      <c r="K139" s="52"/>
      <c r="L139" s="52"/>
      <c r="M139" s="53"/>
      <c r="N139" s="54"/>
      <c r="P139" s="51"/>
      <c r="Q139" s="51"/>
      <c r="R139" s="51"/>
      <c r="S139" s="51"/>
      <c r="T139" s="51"/>
    </row>
    <row r="140" spans="1:20" x14ac:dyDescent="0.3">
      <c r="A140" s="48">
        <v>0</v>
      </c>
      <c r="B140" s="49" t="s">
        <v>323</v>
      </c>
      <c r="C140" s="50"/>
      <c r="D140" s="50"/>
      <c r="E140" s="51"/>
      <c r="F140" s="51"/>
      <c r="G140" s="51"/>
      <c r="H140" s="51"/>
      <c r="I140" s="51"/>
      <c r="J140" s="51"/>
      <c r="K140" s="52"/>
      <c r="L140" s="52"/>
      <c r="M140" s="53"/>
      <c r="N140" s="54"/>
      <c r="P140" s="51"/>
      <c r="Q140" s="51"/>
      <c r="R140" s="51"/>
      <c r="S140" s="51"/>
      <c r="T140" s="51"/>
    </row>
    <row r="141" spans="1:20" x14ac:dyDescent="0.3">
      <c r="A141" s="48">
        <v>0</v>
      </c>
      <c r="B141" s="49" t="s">
        <v>328</v>
      </c>
      <c r="C141" s="50"/>
      <c r="D141" s="50"/>
      <c r="E141" s="51"/>
      <c r="F141" s="51"/>
      <c r="G141" s="51"/>
      <c r="H141" s="51"/>
      <c r="I141" s="51"/>
      <c r="J141" s="51"/>
      <c r="K141" s="52"/>
      <c r="L141" s="52"/>
      <c r="M141" s="53"/>
      <c r="N141" s="54"/>
      <c r="P141" s="51"/>
      <c r="Q141" s="51"/>
      <c r="R141" s="51"/>
      <c r="S141" s="51"/>
      <c r="T141" s="51"/>
    </row>
    <row r="142" spans="1:20" x14ac:dyDescent="0.3">
      <c r="A142" s="48">
        <v>0</v>
      </c>
      <c r="B142" s="49" t="s">
        <v>330</v>
      </c>
      <c r="C142" s="50"/>
      <c r="D142" s="50"/>
      <c r="E142" s="51"/>
      <c r="F142" s="51"/>
      <c r="G142" s="51"/>
      <c r="H142" s="51"/>
      <c r="I142" s="51"/>
      <c r="J142" s="51"/>
      <c r="K142" s="52"/>
      <c r="L142" s="52"/>
      <c r="M142" s="53"/>
      <c r="N142" s="54"/>
      <c r="P142" s="51"/>
      <c r="Q142" s="51"/>
      <c r="R142" s="51"/>
      <c r="S142" s="51"/>
      <c r="T142" s="51"/>
    </row>
    <row r="143" spans="1:20" x14ac:dyDescent="0.3">
      <c r="A143" s="48">
        <v>0</v>
      </c>
      <c r="B143" s="49" t="s">
        <v>331</v>
      </c>
      <c r="C143" s="50"/>
      <c r="D143" s="50"/>
      <c r="E143" s="51"/>
      <c r="F143" s="51"/>
      <c r="G143" s="51"/>
      <c r="H143" s="51"/>
      <c r="I143" s="51"/>
      <c r="J143" s="51"/>
      <c r="K143" s="52"/>
      <c r="L143" s="52"/>
      <c r="M143" s="53"/>
      <c r="N143" s="54"/>
      <c r="P143" s="51"/>
      <c r="Q143" s="51"/>
      <c r="R143" s="51"/>
      <c r="S143" s="51"/>
      <c r="T143" s="51"/>
    </row>
    <row r="144" spans="1:20" x14ac:dyDescent="0.3">
      <c r="A144" s="48">
        <v>0</v>
      </c>
      <c r="B144" s="49" t="s">
        <v>332</v>
      </c>
      <c r="C144" s="50"/>
      <c r="D144" s="50"/>
      <c r="E144" s="51"/>
      <c r="F144" s="51"/>
      <c r="G144" s="51"/>
      <c r="H144" s="51"/>
      <c r="I144" s="51"/>
      <c r="J144" s="51"/>
      <c r="K144" s="52"/>
      <c r="L144" s="52"/>
      <c r="M144" s="53"/>
      <c r="N144" s="54"/>
      <c r="P144" s="51"/>
      <c r="Q144" s="51"/>
      <c r="R144" s="51"/>
      <c r="S144" s="51"/>
      <c r="T144" s="51"/>
    </row>
    <row r="145" spans="1:20" x14ac:dyDescent="0.3">
      <c r="A145" s="48">
        <v>0</v>
      </c>
      <c r="B145" s="49" t="s">
        <v>333</v>
      </c>
      <c r="C145" s="50"/>
      <c r="D145" s="50"/>
      <c r="E145" s="51"/>
      <c r="F145" s="51"/>
      <c r="G145" s="51"/>
      <c r="H145" s="51"/>
      <c r="I145" s="51"/>
      <c r="J145" s="51"/>
      <c r="K145" s="52"/>
      <c r="L145" s="52"/>
      <c r="M145" s="53"/>
      <c r="N145" s="54"/>
      <c r="P145" s="51"/>
      <c r="Q145" s="51"/>
      <c r="R145" s="51"/>
      <c r="S145" s="51"/>
      <c r="T145" s="51"/>
    </row>
    <row r="146" spans="1:20" x14ac:dyDescent="0.3">
      <c r="A146" s="48">
        <v>0</v>
      </c>
      <c r="B146" s="49" t="s">
        <v>334</v>
      </c>
      <c r="C146" s="50"/>
      <c r="D146" s="50"/>
      <c r="E146" s="51"/>
      <c r="F146" s="51"/>
      <c r="G146" s="51"/>
      <c r="H146" s="51"/>
      <c r="I146" s="51"/>
      <c r="J146" s="51"/>
      <c r="K146" s="52"/>
      <c r="L146" s="52"/>
      <c r="M146" s="53"/>
      <c r="N146" s="54"/>
      <c r="P146" s="51"/>
      <c r="Q146" s="51"/>
      <c r="R146" s="51"/>
      <c r="S146" s="51"/>
      <c r="T146" s="51"/>
    </row>
    <row r="147" spans="1:20" x14ac:dyDescent="0.3">
      <c r="A147" s="48">
        <v>0</v>
      </c>
      <c r="B147" s="49" t="s">
        <v>335</v>
      </c>
      <c r="C147" s="50"/>
      <c r="D147" s="50"/>
      <c r="E147" s="51"/>
      <c r="F147" s="51"/>
      <c r="G147" s="51"/>
      <c r="H147" s="51"/>
      <c r="I147" s="51"/>
      <c r="J147" s="51"/>
      <c r="K147" s="52"/>
      <c r="L147" s="52"/>
      <c r="M147" s="53"/>
      <c r="N147" s="54"/>
      <c r="P147" s="51"/>
      <c r="Q147" s="51"/>
      <c r="R147" s="51"/>
      <c r="S147" s="51"/>
      <c r="T147" s="51"/>
    </row>
    <row r="148" spans="1:20" x14ac:dyDescent="0.3">
      <c r="A148" s="48">
        <v>0</v>
      </c>
      <c r="B148" s="49" t="s">
        <v>336</v>
      </c>
      <c r="C148" s="50"/>
      <c r="D148" s="50"/>
      <c r="E148" s="51"/>
      <c r="F148" s="51"/>
      <c r="G148" s="51"/>
      <c r="H148" s="51"/>
      <c r="I148" s="51"/>
      <c r="J148" s="51"/>
      <c r="K148" s="52"/>
      <c r="L148" s="52"/>
      <c r="M148" s="53"/>
      <c r="N148" s="54"/>
      <c r="P148" s="51"/>
      <c r="Q148" s="51"/>
      <c r="R148" s="51"/>
      <c r="S148" s="51"/>
      <c r="T148" s="51"/>
    </row>
    <row r="149" spans="1:20" x14ac:dyDescent="0.3">
      <c r="A149" s="48">
        <v>0</v>
      </c>
      <c r="B149" s="49" t="s">
        <v>337</v>
      </c>
      <c r="C149" s="50"/>
      <c r="D149" s="50"/>
      <c r="E149" s="51"/>
      <c r="F149" s="51"/>
      <c r="G149" s="51"/>
      <c r="H149" s="51"/>
      <c r="I149" s="51"/>
      <c r="J149" s="51"/>
      <c r="K149" s="52"/>
      <c r="L149" s="52"/>
      <c r="M149" s="53"/>
      <c r="N149" s="54"/>
      <c r="P149" s="51"/>
      <c r="Q149" s="51"/>
      <c r="R149" s="51"/>
      <c r="S149" s="51"/>
      <c r="T149" s="51"/>
    </row>
    <row r="150" spans="1:20" x14ac:dyDescent="0.3">
      <c r="A150" s="48">
        <v>0</v>
      </c>
      <c r="B150" s="49" t="s">
        <v>338</v>
      </c>
      <c r="C150" s="50"/>
      <c r="D150" s="50"/>
      <c r="E150" s="51"/>
      <c r="F150" s="51"/>
      <c r="G150" s="51"/>
      <c r="H150" s="51"/>
      <c r="I150" s="51"/>
      <c r="J150" s="51"/>
      <c r="K150" s="52"/>
      <c r="L150" s="52"/>
      <c r="M150" s="53"/>
      <c r="N150" s="54"/>
      <c r="P150" s="51"/>
      <c r="Q150" s="51"/>
      <c r="R150" s="51"/>
      <c r="S150" s="51"/>
      <c r="T150" s="51"/>
    </row>
    <row r="151" spans="1:20" x14ac:dyDescent="0.3">
      <c r="A151" s="48">
        <v>0</v>
      </c>
      <c r="B151" s="49" t="s">
        <v>339</v>
      </c>
      <c r="C151" s="50"/>
      <c r="D151" s="50"/>
      <c r="E151" s="51"/>
      <c r="F151" s="51"/>
      <c r="G151" s="51"/>
      <c r="H151" s="51"/>
      <c r="I151" s="51"/>
      <c r="J151" s="51"/>
      <c r="K151" s="52"/>
      <c r="L151" s="52"/>
      <c r="M151" s="53"/>
      <c r="N151" s="54"/>
      <c r="P151" s="51"/>
      <c r="Q151" s="51"/>
      <c r="R151" s="51"/>
      <c r="S151" s="51"/>
      <c r="T151" s="51"/>
    </row>
    <row r="152" spans="1:20" x14ac:dyDescent="0.3">
      <c r="A152" s="48">
        <v>0</v>
      </c>
      <c r="B152" s="49" t="s">
        <v>342</v>
      </c>
      <c r="C152" s="50"/>
      <c r="D152" s="50"/>
      <c r="E152" s="51"/>
      <c r="F152" s="51"/>
      <c r="G152" s="51"/>
      <c r="H152" s="51"/>
      <c r="I152" s="51"/>
      <c r="J152" s="51"/>
      <c r="K152" s="52"/>
      <c r="L152" s="52"/>
      <c r="M152" s="53"/>
      <c r="N152" s="54"/>
      <c r="P152" s="51"/>
      <c r="Q152" s="51"/>
      <c r="R152" s="51"/>
      <c r="S152" s="51"/>
      <c r="T152" s="51"/>
    </row>
    <row r="153" spans="1:20" x14ac:dyDescent="0.3">
      <c r="A153" s="48">
        <v>0</v>
      </c>
      <c r="B153" s="49" t="s">
        <v>343</v>
      </c>
      <c r="C153" s="50"/>
      <c r="D153" s="50"/>
      <c r="E153" s="51"/>
      <c r="F153" s="51"/>
      <c r="G153" s="51"/>
      <c r="H153" s="51"/>
      <c r="I153" s="51"/>
      <c r="J153" s="51"/>
      <c r="K153" s="52"/>
      <c r="L153" s="52"/>
      <c r="M153" s="53"/>
      <c r="N153" s="54"/>
      <c r="P153" s="51"/>
      <c r="Q153" s="51"/>
      <c r="R153" s="51"/>
      <c r="S153" s="51"/>
      <c r="T153" s="51"/>
    </row>
    <row r="154" spans="1:20" x14ac:dyDescent="0.3">
      <c r="A154" s="48">
        <v>0</v>
      </c>
      <c r="B154" s="49" t="s">
        <v>344</v>
      </c>
      <c r="C154" s="50"/>
      <c r="D154" s="50"/>
      <c r="E154" s="51"/>
      <c r="F154" s="51"/>
      <c r="G154" s="51"/>
      <c r="H154" s="51"/>
      <c r="I154" s="51"/>
      <c r="J154" s="51"/>
      <c r="K154" s="52"/>
      <c r="L154" s="52"/>
      <c r="M154" s="53"/>
      <c r="N154" s="54"/>
      <c r="P154" s="51"/>
      <c r="Q154" s="51"/>
      <c r="R154" s="51"/>
      <c r="S154" s="51"/>
      <c r="T154" s="51"/>
    </row>
    <row r="155" spans="1:20" x14ac:dyDescent="0.3">
      <c r="A155" s="48">
        <v>0</v>
      </c>
      <c r="B155" s="49" t="s">
        <v>345</v>
      </c>
      <c r="C155" s="50"/>
      <c r="D155" s="50"/>
      <c r="E155" s="51"/>
      <c r="F155" s="51"/>
      <c r="G155" s="51"/>
      <c r="H155" s="51"/>
      <c r="I155" s="51"/>
      <c r="J155" s="51"/>
      <c r="K155" s="52"/>
      <c r="L155" s="52"/>
      <c r="M155" s="53"/>
      <c r="N155" s="54"/>
      <c r="P155" s="51"/>
      <c r="Q155" s="51"/>
      <c r="R155" s="51"/>
      <c r="S155" s="51"/>
      <c r="T155" s="51"/>
    </row>
    <row r="156" spans="1:20" x14ac:dyDescent="0.3">
      <c r="A156" s="48">
        <v>0</v>
      </c>
      <c r="B156" s="49" t="s">
        <v>346</v>
      </c>
      <c r="C156" s="50"/>
      <c r="D156" s="50"/>
      <c r="E156" s="51"/>
      <c r="F156" s="51"/>
      <c r="G156" s="51"/>
      <c r="H156" s="51"/>
      <c r="I156" s="51"/>
      <c r="J156" s="51"/>
      <c r="K156" s="52"/>
      <c r="L156" s="52"/>
      <c r="M156" s="53"/>
      <c r="N156" s="54"/>
      <c r="P156" s="51"/>
      <c r="Q156" s="51"/>
      <c r="R156" s="51"/>
      <c r="S156" s="51"/>
      <c r="T156" s="51"/>
    </row>
    <row r="157" spans="1:20" x14ac:dyDescent="0.3">
      <c r="A157" s="48">
        <v>0</v>
      </c>
      <c r="B157" s="49" t="s">
        <v>347</v>
      </c>
      <c r="C157" s="50"/>
      <c r="D157" s="50"/>
      <c r="E157" s="51"/>
      <c r="F157" s="51"/>
      <c r="G157" s="51"/>
      <c r="H157" s="51"/>
      <c r="I157" s="51"/>
      <c r="J157" s="51"/>
      <c r="K157" s="52"/>
      <c r="L157" s="52"/>
      <c r="M157" s="53"/>
      <c r="N157" s="54"/>
      <c r="P157" s="51"/>
      <c r="Q157" s="51"/>
      <c r="R157" s="51"/>
      <c r="S157" s="51"/>
      <c r="T157" s="51"/>
    </row>
    <row r="158" spans="1:20" x14ac:dyDescent="0.3">
      <c r="A158" s="48">
        <v>0</v>
      </c>
      <c r="B158" s="49" t="s">
        <v>348</v>
      </c>
      <c r="C158" s="50"/>
      <c r="D158" s="50"/>
      <c r="E158" s="51"/>
      <c r="F158" s="51"/>
      <c r="G158" s="51"/>
      <c r="H158" s="51"/>
      <c r="I158" s="51"/>
      <c r="J158" s="51"/>
      <c r="K158" s="52"/>
      <c r="L158" s="52"/>
      <c r="M158" s="53"/>
      <c r="N158" s="54"/>
      <c r="P158" s="51"/>
      <c r="Q158" s="51"/>
      <c r="R158" s="51"/>
      <c r="S158" s="51"/>
      <c r="T158" s="51"/>
    </row>
    <row r="159" spans="1:20" x14ac:dyDescent="0.3">
      <c r="A159" s="48">
        <v>0</v>
      </c>
      <c r="B159" s="49" t="s">
        <v>349</v>
      </c>
      <c r="C159" s="50"/>
      <c r="D159" s="50"/>
      <c r="E159" s="51"/>
      <c r="F159" s="51"/>
      <c r="G159" s="51"/>
      <c r="H159" s="51"/>
      <c r="I159" s="51"/>
      <c r="J159" s="51"/>
      <c r="K159" s="52"/>
      <c r="L159" s="52"/>
      <c r="M159" s="53"/>
      <c r="N159" s="54"/>
      <c r="P159" s="51"/>
      <c r="Q159" s="51"/>
      <c r="R159" s="51"/>
      <c r="S159" s="51"/>
      <c r="T159" s="51"/>
    </row>
    <row r="160" spans="1:20" x14ac:dyDescent="0.3">
      <c r="A160" s="48">
        <v>0</v>
      </c>
      <c r="B160" s="49" t="s">
        <v>350</v>
      </c>
      <c r="C160" s="50"/>
      <c r="D160" s="50"/>
      <c r="E160" s="51"/>
      <c r="F160" s="51"/>
      <c r="G160" s="51"/>
      <c r="H160" s="51"/>
      <c r="I160" s="51"/>
      <c r="J160" s="51"/>
      <c r="K160" s="52"/>
      <c r="L160" s="52"/>
      <c r="M160" s="53"/>
      <c r="N160" s="54"/>
      <c r="P160" s="51"/>
      <c r="Q160" s="51"/>
      <c r="R160" s="51"/>
      <c r="S160" s="51"/>
      <c r="T160" s="51"/>
    </row>
    <row r="161" spans="1:20" x14ac:dyDescent="0.3">
      <c r="A161" s="48">
        <v>0</v>
      </c>
      <c r="B161" s="49" t="s">
        <v>351</v>
      </c>
      <c r="C161" s="50"/>
      <c r="D161" s="50"/>
      <c r="E161" s="51"/>
      <c r="F161" s="51"/>
      <c r="G161" s="51"/>
      <c r="H161" s="51"/>
      <c r="I161" s="51"/>
      <c r="J161" s="51"/>
      <c r="K161" s="52"/>
      <c r="L161" s="52"/>
      <c r="M161" s="53"/>
      <c r="N161" s="54"/>
      <c r="P161" s="51"/>
      <c r="Q161" s="51"/>
      <c r="R161" s="51"/>
      <c r="S161" s="51"/>
      <c r="T161" s="51"/>
    </row>
    <row r="162" spans="1:20" x14ac:dyDescent="0.3">
      <c r="A162" s="48">
        <v>0</v>
      </c>
      <c r="B162" s="49" t="s">
        <v>352</v>
      </c>
      <c r="C162" s="50"/>
      <c r="D162" s="50"/>
      <c r="E162" s="51"/>
      <c r="F162" s="51"/>
      <c r="G162" s="51"/>
      <c r="H162" s="51"/>
      <c r="I162" s="51"/>
      <c r="J162" s="51"/>
      <c r="K162" s="52"/>
      <c r="L162" s="52"/>
      <c r="M162" s="53"/>
      <c r="N162" s="54"/>
      <c r="P162" s="51"/>
      <c r="Q162" s="51"/>
      <c r="R162" s="51"/>
      <c r="S162" s="51"/>
      <c r="T162" s="51"/>
    </row>
    <row r="163" spans="1:20" x14ac:dyDescent="0.3">
      <c r="A163" s="48">
        <v>0</v>
      </c>
      <c r="B163" s="49" t="s">
        <v>353</v>
      </c>
      <c r="C163" s="50"/>
      <c r="D163" s="50"/>
      <c r="E163" s="51"/>
      <c r="F163" s="51"/>
      <c r="G163" s="51"/>
      <c r="H163" s="51"/>
      <c r="I163" s="51"/>
      <c r="J163" s="51"/>
      <c r="K163" s="52"/>
      <c r="L163" s="52"/>
      <c r="M163" s="53"/>
      <c r="N163" s="54"/>
      <c r="P163" s="51"/>
      <c r="Q163" s="51"/>
      <c r="R163" s="51"/>
      <c r="S163" s="51"/>
      <c r="T163" s="51"/>
    </row>
    <row r="164" spans="1:20" x14ac:dyDescent="0.3">
      <c r="A164" s="48">
        <v>0</v>
      </c>
      <c r="B164" s="49" t="s">
        <v>354</v>
      </c>
      <c r="C164" s="50"/>
      <c r="D164" s="50"/>
      <c r="E164" s="51"/>
      <c r="F164" s="51"/>
      <c r="G164" s="51"/>
      <c r="H164" s="51"/>
      <c r="I164" s="51"/>
      <c r="J164" s="51"/>
      <c r="K164" s="52"/>
      <c r="L164" s="52"/>
      <c r="M164" s="53"/>
      <c r="N164" s="54"/>
      <c r="P164" s="51"/>
      <c r="Q164" s="51"/>
      <c r="R164" s="51"/>
      <c r="S164" s="51"/>
      <c r="T164" s="51"/>
    </row>
    <row r="165" spans="1:20" x14ac:dyDescent="0.3">
      <c r="A165" s="48">
        <v>0</v>
      </c>
      <c r="B165" s="49" t="s">
        <v>355</v>
      </c>
      <c r="C165" s="50"/>
      <c r="D165" s="50"/>
      <c r="E165" s="51"/>
      <c r="F165" s="51"/>
      <c r="G165" s="51"/>
      <c r="H165" s="51"/>
      <c r="I165" s="51"/>
      <c r="J165" s="51"/>
      <c r="K165" s="52"/>
      <c r="L165" s="52"/>
      <c r="M165" s="53"/>
      <c r="N165" s="54"/>
      <c r="P165" s="51"/>
      <c r="Q165" s="51"/>
      <c r="R165" s="51"/>
      <c r="S165" s="51"/>
      <c r="T165" s="51"/>
    </row>
    <row r="166" spans="1:20" x14ac:dyDescent="0.3">
      <c r="A166" s="48">
        <v>0</v>
      </c>
      <c r="B166" s="49" t="s">
        <v>356</v>
      </c>
      <c r="C166" s="50"/>
      <c r="D166" s="50"/>
      <c r="E166" s="51"/>
      <c r="F166" s="51"/>
      <c r="G166" s="51"/>
      <c r="H166" s="51"/>
      <c r="I166" s="51"/>
      <c r="J166" s="51"/>
      <c r="K166" s="52"/>
      <c r="L166" s="52"/>
      <c r="M166" s="53"/>
      <c r="N166" s="54"/>
      <c r="P166" s="51"/>
      <c r="Q166" s="51"/>
      <c r="R166" s="51"/>
      <c r="S166" s="51"/>
      <c r="T166" s="51"/>
    </row>
    <row r="167" spans="1:20" x14ac:dyDescent="0.3">
      <c r="A167" s="48">
        <v>0</v>
      </c>
      <c r="B167" s="49" t="s">
        <v>357</v>
      </c>
      <c r="C167" s="50"/>
      <c r="D167" s="50"/>
      <c r="E167" s="51"/>
      <c r="F167" s="51"/>
      <c r="G167" s="51"/>
      <c r="H167" s="51"/>
      <c r="I167" s="51"/>
      <c r="J167" s="51"/>
      <c r="K167" s="52"/>
      <c r="L167" s="52"/>
      <c r="M167" s="53"/>
      <c r="N167" s="54"/>
      <c r="P167" s="51"/>
      <c r="Q167" s="51"/>
      <c r="R167" s="51"/>
      <c r="S167" s="51"/>
      <c r="T167" s="51"/>
    </row>
    <row r="168" spans="1:20" x14ac:dyDescent="0.3">
      <c r="A168" s="48">
        <v>0</v>
      </c>
      <c r="B168" s="49" t="s">
        <v>368</v>
      </c>
      <c r="C168" s="50"/>
      <c r="D168" s="50"/>
      <c r="E168" s="51"/>
      <c r="F168" s="51"/>
      <c r="G168" s="51"/>
      <c r="H168" s="51"/>
      <c r="I168" s="51"/>
      <c r="J168" s="51"/>
      <c r="K168" s="52"/>
      <c r="L168" s="52"/>
      <c r="M168" s="53"/>
      <c r="N168" s="54"/>
      <c r="P168" s="51"/>
      <c r="Q168" s="51"/>
      <c r="R168" s="51"/>
      <c r="S168" s="51"/>
      <c r="T168" s="51"/>
    </row>
    <row r="169" spans="1:20" x14ac:dyDescent="0.3">
      <c r="A169" s="48">
        <v>0</v>
      </c>
      <c r="B169" s="49" t="s">
        <v>369</v>
      </c>
      <c r="C169" s="50"/>
      <c r="D169" s="50"/>
      <c r="E169" s="51"/>
      <c r="F169" s="51"/>
      <c r="G169" s="51"/>
      <c r="H169" s="51"/>
      <c r="I169" s="51"/>
      <c r="J169" s="51"/>
      <c r="K169" s="52"/>
      <c r="L169" s="52"/>
      <c r="M169" s="53"/>
      <c r="N169" s="54"/>
      <c r="P169" s="51"/>
      <c r="Q169" s="51"/>
      <c r="R169" s="51"/>
      <c r="S169" s="51"/>
      <c r="T169" s="51"/>
    </row>
    <row r="170" spans="1:20" x14ac:dyDescent="0.3">
      <c r="A170" s="48">
        <v>0</v>
      </c>
      <c r="B170" s="49" t="s">
        <v>370</v>
      </c>
      <c r="C170" s="50"/>
      <c r="D170" s="50"/>
      <c r="E170" s="51"/>
      <c r="F170" s="51"/>
      <c r="G170" s="51"/>
      <c r="H170" s="51"/>
      <c r="I170" s="51"/>
      <c r="J170" s="51"/>
      <c r="K170" s="52"/>
      <c r="L170" s="52"/>
      <c r="M170" s="53"/>
      <c r="N170" s="54"/>
      <c r="P170" s="51"/>
      <c r="Q170" s="51"/>
      <c r="R170" s="51"/>
      <c r="S170" s="51"/>
      <c r="T170" s="51"/>
    </row>
    <row r="171" spans="1:20" x14ac:dyDescent="0.3">
      <c r="A171" s="48">
        <v>0</v>
      </c>
      <c r="B171" s="49" t="s">
        <v>371</v>
      </c>
      <c r="C171" s="50"/>
      <c r="D171" s="50"/>
      <c r="E171" s="51"/>
      <c r="F171" s="51"/>
      <c r="G171" s="51"/>
      <c r="H171" s="51"/>
      <c r="I171" s="51"/>
      <c r="J171" s="51"/>
      <c r="K171" s="52"/>
      <c r="L171" s="52"/>
      <c r="M171" s="53"/>
      <c r="N171" s="54"/>
      <c r="P171" s="51"/>
      <c r="Q171" s="51"/>
      <c r="R171" s="51"/>
      <c r="S171" s="51"/>
      <c r="T171" s="51"/>
    </row>
    <row r="172" spans="1:20" x14ac:dyDescent="0.3">
      <c r="A172" s="48">
        <v>0</v>
      </c>
      <c r="B172" s="49" t="s">
        <v>372</v>
      </c>
      <c r="C172" s="50"/>
      <c r="D172" s="50"/>
      <c r="E172" s="51"/>
      <c r="F172" s="51"/>
      <c r="G172" s="51"/>
      <c r="H172" s="51"/>
      <c r="I172" s="51"/>
      <c r="J172" s="51"/>
      <c r="K172" s="52"/>
      <c r="L172" s="52"/>
      <c r="M172" s="53"/>
      <c r="N172" s="54"/>
      <c r="P172" s="51"/>
      <c r="Q172" s="51"/>
      <c r="R172" s="51"/>
      <c r="S172" s="51"/>
      <c r="T172" s="51"/>
    </row>
    <row r="173" spans="1:20" x14ac:dyDescent="0.3">
      <c r="A173" s="48">
        <v>0</v>
      </c>
      <c r="B173" s="49" t="s">
        <v>373</v>
      </c>
      <c r="C173" s="50"/>
      <c r="D173" s="50"/>
      <c r="E173" s="51"/>
      <c r="F173" s="51"/>
      <c r="G173" s="51"/>
      <c r="H173" s="51"/>
      <c r="I173" s="51"/>
      <c r="J173" s="51"/>
      <c r="K173" s="52"/>
      <c r="L173" s="52"/>
      <c r="M173" s="53"/>
      <c r="N173" s="54"/>
      <c r="P173" s="51"/>
      <c r="Q173" s="51"/>
      <c r="R173" s="51"/>
      <c r="S173" s="51"/>
      <c r="T173" s="51"/>
    </row>
    <row r="174" spans="1:20" x14ac:dyDescent="0.3">
      <c r="A174" s="48">
        <v>0</v>
      </c>
      <c r="B174" s="49" t="s">
        <v>374</v>
      </c>
      <c r="C174" s="50"/>
      <c r="D174" s="50"/>
      <c r="E174" s="51"/>
      <c r="F174" s="51"/>
      <c r="G174" s="51"/>
      <c r="H174" s="51"/>
      <c r="I174" s="51"/>
      <c r="J174" s="51"/>
      <c r="K174" s="52"/>
      <c r="L174" s="52"/>
      <c r="M174" s="53"/>
      <c r="N174" s="54"/>
      <c r="P174" s="51"/>
      <c r="Q174" s="51"/>
      <c r="R174" s="51"/>
      <c r="S174" s="51"/>
      <c r="T174" s="51"/>
    </row>
    <row r="175" spans="1:20" x14ac:dyDescent="0.3">
      <c r="A175" s="48">
        <v>0</v>
      </c>
      <c r="B175" s="49" t="s">
        <v>375</v>
      </c>
      <c r="C175" s="50"/>
      <c r="D175" s="50"/>
      <c r="E175" s="51"/>
      <c r="F175" s="51"/>
      <c r="G175" s="51"/>
      <c r="H175" s="51"/>
      <c r="I175" s="51"/>
      <c r="J175" s="51"/>
      <c r="K175" s="52"/>
      <c r="L175" s="52"/>
      <c r="M175" s="53"/>
      <c r="N175" s="54"/>
      <c r="P175" s="51"/>
      <c r="Q175" s="51"/>
      <c r="R175" s="51"/>
      <c r="S175" s="51"/>
      <c r="T175" s="51"/>
    </row>
    <row r="176" spans="1:20" x14ac:dyDescent="0.3">
      <c r="A176" s="48">
        <v>0</v>
      </c>
      <c r="B176" s="49" t="s">
        <v>376</v>
      </c>
      <c r="C176" s="50"/>
      <c r="D176" s="50"/>
      <c r="E176" s="51"/>
      <c r="F176" s="51"/>
      <c r="G176" s="51"/>
      <c r="H176" s="51"/>
      <c r="I176" s="51"/>
      <c r="J176" s="51"/>
      <c r="K176" s="52"/>
      <c r="L176" s="52"/>
      <c r="M176" s="53"/>
      <c r="N176" s="54"/>
      <c r="P176" s="51"/>
      <c r="Q176" s="51"/>
      <c r="R176" s="51"/>
      <c r="S176" s="51"/>
      <c r="T176" s="51"/>
    </row>
    <row r="177" spans="1:20" x14ac:dyDescent="0.3">
      <c r="A177" s="48">
        <v>0</v>
      </c>
      <c r="B177" s="49" t="s">
        <v>377</v>
      </c>
      <c r="C177" s="50"/>
      <c r="D177" s="50"/>
      <c r="E177" s="51"/>
      <c r="F177" s="51"/>
      <c r="G177" s="51"/>
      <c r="H177" s="51"/>
      <c r="I177" s="51"/>
      <c r="J177" s="51"/>
      <c r="K177" s="52"/>
      <c r="L177" s="52"/>
      <c r="M177" s="53"/>
      <c r="N177" s="54"/>
      <c r="P177" s="51"/>
      <c r="Q177" s="51"/>
      <c r="R177" s="51"/>
      <c r="S177" s="51"/>
      <c r="T177" s="51"/>
    </row>
    <row r="178" spans="1:20" x14ac:dyDescent="0.3">
      <c r="A178" s="48">
        <v>0</v>
      </c>
      <c r="B178" s="49" t="s">
        <v>378</v>
      </c>
      <c r="C178" s="50"/>
      <c r="D178" s="50"/>
      <c r="E178" s="51"/>
      <c r="F178" s="51"/>
      <c r="G178" s="51"/>
      <c r="H178" s="51"/>
      <c r="I178" s="51"/>
      <c r="J178" s="51"/>
      <c r="K178" s="52"/>
      <c r="L178" s="52"/>
      <c r="M178" s="53"/>
      <c r="N178" s="54"/>
      <c r="P178" s="51"/>
      <c r="Q178" s="51"/>
      <c r="R178" s="51"/>
      <c r="S178" s="51"/>
      <c r="T178" s="51"/>
    </row>
    <row r="179" spans="1:20" x14ac:dyDescent="0.3">
      <c r="A179" s="48">
        <v>0</v>
      </c>
      <c r="B179" s="49" t="s">
        <v>379</v>
      </c>
      <c r="C179" s="50"/>
      <c r="D179" s="50"/>
      <c r="E179" s="51"/>
      <c r="F179" s="51"/>
      <c r="G179" s="51"/>
      <c r="H179" s="51"/>
      <c r="I179" s="51"/>
      <c r="J179" s="51"/>
      <c r="K179" s="52"/>
      <c r="L179" s="52"/>
      <c r="M179" s="53"/>
      <c r="N179" s="54"/>
      <c r="P179" s="51"/>
      <c r="Q179" s="51"/>
      <c r="R179" s="51"/>
      <c r="S179" s="51"/>
      <c r="T179" s="51"/>
    </row>
    <row r="180" spans="1:20" x14ac:dyDescent="0.3">
      <c r="A180" s="48">
        <v>0</v>
      </c>
      <c r="B180" s="49" t="s">
        <v>380</v>
      </c>
      <c r="C180" s="50"/>
      <c r="D180" s="50"/>
      <c r="E180" s="51"/>
      <c r="F180" s="51"/>
      <c r="G180" s="51"/>
      <c r="H180" s="51"/>
      <c r="I180" s="51"/>
      <c r="J180" s="51"/>
      <c r="K180" s="52"/>
      <c r="L180" s="52"/>
      <c r="M180" s="53"/>
      <c r="N180" s="54"/>
      <c r="P180" s="51"/>
      <c r="Q180" s="51"/>
      <c r="R180" s="51"/>
      <c r="S180" s="51"/>
      <c r="T180" s="51"/>
    </row>
    <row r="181" spans="1:20" x14ac:dyDescent="0.3">
      <c r="A181" s="48">
        <v>0</v>
      </c>
      <c r="B181" s="49" t="s">
        <v>381</v>
      </c>
      <c r="C181" s="50"/>
      <c r="D181" s="50"/>
      <c r="E181" s="51"/>
      <c r="F181" s="51"/>
      <c r="G181" s="51"/>
      <c r="H181" s="51"/>
      <c r="I181" s="51"/>
      <c r="J181" s="51"/>
      <c r="K181" s="52"/>
      <c r="L181" s="52"/>
      <c r="M181" s="53"/>
      <c r="N181" s="54"/>
      <c r="P181" s="51"/>
      <c r="Q181" s="51"/>
      <c r="R181" s="51"/>
      <c r="S181" s="51"/>
      <c r="T181" s="51"/>
    </row>
    <row r="182" spans="1:20" x14ac:dyDescent="0.3">
      <c r="A182" s="48">
        <v>0</v>
      </c>
      <c r="B182" s="49" t="s">
        <v>382</v>
      </c>
      <c r="C182" s="50"/>
      <c r="D182" s="50"/>
      <c r="E182" s="51"/>
      <c r="F182" s="51"/>
      <c r="G182" s="51"/>
      <c r="H182" s="51"/>
      <c r="I182" s="51"/>
      <c r="J182" s="51"/>
      <c r="K182" s="52"/>
      <c r="L182" s="52"/>
      <c r="M182" s="53"/>
      <c r="N182" s="54"/>
      <c r="P182" s="51"/>
      <c r="Q182" s="51"/>
      <c r="R182" s="51"/>
      <c r="S182" s="51"/>
      <c r="T182" s="51"/>
    </row>
    <row r="183" spans="1:20" x14ac:dyDescent="0.3">
      <c r="A183" s="48">
        <v>0</v>
      </c>
      <c r="B183" s="49" t="s">
        <v>383</v>
      </c>
      <c r="C183" s="50"/>
      <c r="D183" s="50"/>
      <c r="E183" s="51"/>
      <c r="F183" s="51"/>
      <c r="G183" s="51"/>
      <c r="H183" s="51"/>
      <c r="I183" s="51"/>
      <c r="J183" s="51"/>
      <c r="K183" s="52"/>
      <c r="L183" s="52"/>
      <c r="M183" s="53"/>
      <c r="N183" s="54"/>
      <c r="P183" s="51"/>
      <c r="Q183" s="51"/>
      <c r="R183" s="51"/>
      <c r="S183" s="51"/>
      <c r="T183" s="51"/>
    </row>
    <row r="184" spans="1:20" x14ac:dyDescent="0.3">
      <c r="A184" s="48">
        <v>0</v>
      </c>
      <c r="B184" s="49" t="s">
        <v>384</v>
      </c>
      <c r="C184" s="50"/>
      <c r="D184" s="50"/>
      <c r="E184" s="51"/>
      <c r="F184" s="51"/>
      <c r="G184" s="51"/>
      <c r="H184" s="51"/>
      <c r="I184" s="51"/>
      <c r="J184" s="51"/>
      <c r="K184" s="52"/>
      <c r="L184" s="52"/>
      <c r="M184" s="53"/>
      <c r="N184" s="54"/>
      <c r="P184" s="51"/>
      <c r="Q184" s="51"/>
      <c r="R184" s="51"/>
      <c r="S184" s="51"/>
      <c r="T184" s="51"/>
    </row>
    <row r="185" spans="1:20" x14ac:dyDescent="0.3">
      <c r="A185" s="48">
        <v>0</v>
      </c>
      <c r="B185" s="49" t="s">
        <v>385</v>
      </c>
      <c r="C185" s="50"/>
      <c r="D185" s="50"/>
      <c r="E185" s="51"/>
      <c r="F185" s="51"/>
      <c r="G185" s="51"/>
      <c r="H185" s="51"/>
      <c r="I185" s="51"/>
      <c r="J185" s="51"/>
      <c r="K185" s="52"/>
      <c r="L185" s="52"/>
      <c r="M185" s="53"/>
      <c r="N185" s="54"/>
      <c r="P185" s="51"/>
      <c r="Q185" s="51"/>
      <c r="R185" s="51"/>
      <c r="S185" s="51"/>
      <c r="T185" s="51"/>
    </row>
    <row r="186" spans="1:20" x14ac:dyDescent="0.3">
      <c r="A186" s="48">
        <v>0</v>
      </c>
      <c r="B186" s="49" t="s">
        <v>386</v>
      </c>
      <c r="C186" s="50"/>
      <c r="D186" s="50"/>
      <c r="E186" s="51"/>
      <c r="F186" s="51"/>
      <c r="G186" s="51"/>
      <c r="H186" s="51"/>
      <c r="I186" s="51"/>
      <c r="J186" s="51"/>
      <c r="K186" s="52"/>
      <c r="L186" s="52"/>
      <c r="M186" s="53"/>
      <c r="N186" s="54"/>
      <c r="P186" s="51"/>
      <c r="Q186" s="51"/>
      <c r="R186" s="51"/>
      <c r="S186" s="51"/>
      <c r="T186" s="51"/>
    </row>
    <row r="187" spans="1:20" x14ac:dyDescent="0.3">
      <c r="A187" s="48">
        <v>0</v>
      </c>
      <c r="B187" s="49" t="s">
        <v>387</v>
      </c>
      <c r="C187" s="50"/>
      <c r="D187" s="50"/>
      <c r="E187" s="51"/>
      <c r="F187" s="51"/>
      <c r="G187" s="51"/>
      <c r="H187" s="51"/>
      <c r="I187" s="51"/>
      <c r="J187" s="51"/>
      <c r="K187" s="52"/>
      <c r="L187" s="52"/>
      <c r="M187" s="53"/>
      <c r="N187" s="54"/>
      <c r="P187" s="51"/>
      <c r="Q187" s="51"/>
      <c r="R187" s="51"/>
      <c r="S187" s="51"/>
      <c r="T187" s="51"/>
    </row>
    <row r="188" spans="1:20" x14ac:dyDescent="0.3">
      <c r="A188" s="48">
        <v>0</v>
      </c>
      <c r="B188" s="49" t="s">
        <v>388</v>
      </c>
      <c r="C188" s="50"/>
      <c r="D188" s="50"/>
      <c r="E188" s="51"/>
      <c r="F188" s="51"/>
      <c r="G188" s="51"/>
      <c r="H188" s="51"/>
      <c r="I188" s="51"/>
      <c r="J188" s="51"/>
      <c r="K188" s="52"/>
      <c r="L188" s="52"/>
      <c r="M188" s="53"/>
      <c r="N188" s="54"/>
      <c r="P188" s="51"/>
      <c r="Q188" s="51"/>
      <c r="R188" s="51"/>
      <c r="S188" s="51"/>
      <c r="T188" s="51"/>
    </row>
    <row r="189" spans="1:20" x14ac:dyDescent="0.3">
      <c r="A189" s="48">
        <v>0</v>
      </c>
      <c r="B189" s="49" t="s">
        <v>389</v>
      </c>
      <c r="C189" s="50"/>
      <c r="D189" s="50"/>
      <c r="E189" s="51"/>
      <c r="F189" s="51"/>
      <c r="G189" s="51"/>
      <c r="H189" s="51"/>
      <c r="I189" s="51"/>
      <c r="J189" s="51"/>
      <c r="K189" s="52"/>
      <c r="L189" s="52"/>
      <c r="M189" s="53"/>
      <c r="N189" s="54"/>
      <c r="P189" s="51"/>
      <c r="Q189" s="51"/>
      <c r="R189" s="51"/>
      <c r="S189" s="51"/>
      <c r="T189" s="51"/>
    </row>
    <row r="190" spans="1:20" x14ac:dyDescent="0.3">
      <c r="A190" s="48">
        <v>0</v>
      </c>
      <c r="B190" s="49" t="s">
        <v>390</v>
      </c>
      <c r="C190" s="50"/>
      <c r="D190" s="50"/>
      <c r="E190" s="51"/>
      <c r="F190" s="51"/>
      <c r="G190" s="51"/>
      <c r="H190" s="51"/>
      <c r="I190" s="51"/>
      <c r="J190" s="51"/>
      <c r="K190" s="52"/>
      <c r="L190" s="52"/>
      <c r="M190" s="53"/>
      <c r="N190" s="54"/>
      <c r="P190" s="51"/>
      <c r="Q190" s="51"/>
      <c r="R190" s="51"/>
      <c r="S190" s="51"/>
      <c r="T190" s="51"/>
    </row>
    <row r="191" spans="1:20" x14ac:dyDescent="0.3">
      <c r="A191" s="48">
        <v>0</v>
      </c>
      <c r="B191" s="49" t="s">
        <v>398</v>
      </c>
      <c r="C191" s="50"/>
      <c r="D191" s="50"/>
      <c r="E191" s="51"/>
      <c r="F191" s="51"/>
      <c r="G191" s="51"/>
      <c r="H191" s="51"/>
      <c r="I191" s="51"/>
      <c r="J191" s="51"/>
      <c r="K191" s="52"/>
      <c r="L191" s="52"/>
      <c r="M191" s="53"/>
      <c r="N191" s="54"/>
      <c r="P191" s="51"/>
      <c r="Q191" s="51"/>
      <c r="R191" s="51"/>
      <c r="S191" s="51"/>
      <c r="T191" s="51"/>
    </row>
    <row r="192" spans="1:20" x14ac:dyDescent="0.3">
      <c r="A192" s="48">
        <v>0</v>
      </c>
      <c r="B192" s="49" t="s">
        <v>399</v>
      </c>
      <c r="C192" s="50"/>
      <c r="D192" s="50"/>
      <c r="E192" s="51"/>
      <c r="F192" s="51"/>
      <c r="G192" s="51"/>
      <c r="H192" s="51"/>
      <c r="I192" s="51"/>
      <c r="J192" s="51"/>
      <c r="K192" s="52"/>
      <c r="L192" s="52"/>
      <c r="M192" s="53"/>
      <c r="N192" s="54"/>
      <c r="P192" s="51"/>
      <c r="Q192" s="51"/>
      <c r="R192" s="51"/>
      <c r="S192" s="51"/>
      <c r="T192" s="51"/>
    </row>
    <row r="193" spans="1:20" x14ac:dyDescent="0.3">
      <c r="A193" s="48">
        <v>0</v>
      </c>
      <c r="B193" s="49" t="s">
        <v>401</v>
      </c>
      <c r="C193" s="50"/>
      <c r="D193" s="50"/>
      <c r="E193" s="51"/>
      <c r="F193" s="51"/>
      <c r="G193" s="51"/>
      <c r="H193" s="51"/>
      <c r="I193" s="51"/>
      <c r="J193" s="51"/>
      <c r="K193" s="52"/>
      <c r="L193" s="52"/>
      <c r="M193" s="53"/>
      <c r="N193" s="54"/>
      <c r="P193" s="51"/>
      <c r="Q193" s="51"/>
      <c r="R193" s="51"/>
      <c r="S193" s="51"/>
      <c r="T193" s="51"/>
    </row>
    <row r="194" spans="1:20" x14ac:dyDescent="0.3">
      <c r="A194" s="48">
        <v>0</v>
      </c>
      <c r="B194" s="49" t="s">
        <v>402</v>
      </c>
      <c r="C194" s="50"/>
      <c r="D194" s="50"/>
      <c r="E194" s="51"/>
      <c r="F194" s="51"/>
      <c r="G194" s="51"/>
      <c r="H194" s="51"/>
      <c r="I194" s="51"/>
      <c r="J194" s="51"/>
      <c r="K194" s="52"/>
      <c r="L194" s="52"/>
      <c r="M194" s="53"/>
      <c r="N194" s="54"/>
      <c r="P194" s="51"/>
      <c r="Q194" s="51"/>
      <c r="R194" s="51"/>
      <c r="S194" s="51"/>
      <c r="T194" s="51"/>
    </row>
    <row r="195" spans="1:20" x14ac:dyDescent="0.3">
      <c r="A195" s="48">
        <v>0</v>
      </c>
      <c r="B195" s="49" t="s">
        <v>403</v>
      </c>
      <c r="C195" s="50"/>
      <c r="D195" s="50"/>
      <c r="E195" s="51"/>
      <c r="F195" s="51"/>
      <c r="G195" s="51"/>
      <c r="H195" s="51"/>
      <c r="I195" s="51"/>
      <c r="J195" s="51"/>
      <c r="K195" s="52"/>
      <c r="L195" s="52"/>
      <c r="M195" s="53"/>
      <c r="N195" s="54"/>
      <c r="P195" s="51"/>
      <c r="Q195" s="51"/>
      <c r="R195" s="51"/>
      <c r="S195" s="51"/>
      <c r="T195" s="51"/>
    </row>
    <row r="196" spans="1:20" x14ac:dyDescent="0.3">
      <c r="A196" s="48">
        <v>0</v>
      </c>
      <c r="B196" s="49" t="s">
        <v>404</v>
      </c>
      <c r="C196" s="50"/>
      <c r="D196" s="50"/>
      <c r="E196" s="51"/>
      <c r="F196" s="51"/>
      <c r="G196" s="51"/>
      <c r="H196" s="51"/>
      <c r="I196" s="51"/>
      <c r="J196" s="51"/>
      <c r="K196" s="52"/>
      <c r="L196" s="52"/>
      <c r="M196" s="53"/>
      <c r="N196" s="54"/>
      <c r="P196" s="51"/>
      <c r="Q196" s="51"/>
      <c r="R196" s="51"/>
      <c r="S196" s="51"/>
      <c r="T196" s="51"/>
    </row>
    <row r="197" spans="1:20" x14ac:dyDescent="0.3">
      <c r="A197" s="48">
        <v>0</v>
      </c>
      <c r="B197" s="49" t="s">
        <v>406</v>
      </c>
      <c r="C197" s="50"/>
      <c r="D197" s="50"/>
      <c r="E197" s="51"/>
      <c r="F197" s="51"/>
      <c r="G197" s="51"/>
      <c r="H197" s="51"/>
      <c r="I197" s="51"/>
      <c r="J197" s="51"/>
      <c r="K197" s="52"/>
      <c r="L197" s="52"/>
      <c r="M197" s="53"/>
      <c r="N197" s="54"/>
      <c r="P197" s="51"/>
      <c r="Q197" s="51"/>
      <c r="R197" s="51"/>
      <c r="S197" s="51"/>
      <c r="T197" s="51"/>
    </row>
    <row r="198" spans="1:20" x14ac:dyDescent="0.3">
      <c r="A198" s="48">
        <v>0</v>
      </c>
      <c r="B198" s="49" t="s">
        <v>407</v>
      </c>
      <c r="C198" s="50"/>
      <c r="D198" s="50"/>
      <c r="E198" s="51"/>
      <c r="F198" s="51"/>
      <c r="G198" s="51"/>
      <c r="H198" s="51"/>
      <c r="I198" s="51"/>
      <c r="J198" s="51"/>
      <c r="K198" s="52"/>
      <c r="L198" s="52"/>
      <c r="M198" s="53"/>
      <c r="N198" s="54"/>
      <c r="P198" s="51"/>
      <c r="Q198" s="51"/>
      <c r="R198" s="51"/>
      <c r="S198" s="51"/>
      <c r="T198" s="51"/>
    </row>
    <row r="199" spans="1:20" x14ac:dyDescent="0.3">
      <c r="A199" s="48">
        <v>0</v>
      </c>
      <c r="B199" s="49" t="s">
        <v>408</v>
      </c>
      <c r="C199" s="50"/>
      <c r="D199" s="50"/>
      <c r="E199" s="51"/>
      <c r="F199" s="51"/>
      <c r="G199" s="51"/>
      <c r="H199" s="51"/>
      <c r="I199" s="51"/>
      <c r="J199" s="51"/>
      <c r="K199" s="52"/>
      <c r="L199" s="52"/>
      <c r="M199" s="53"/>
      <c r="N199" s="54"/>
      <c r="P199" s="51"/>
      <c r="Q199" s="51"/>
      <c r="R199" s="51"/>
      <c r="S199" s="51"/>
      <c r="T199" s="51"/>
    </row>
    <row r="200" spans="1:20" x14ac:dyDescent="0.3">
      <c r="A200" s="48">
        <v>0</v>
      </c>
      <c r="B200" s="49" t="s">
        <v>409</v>
      </c>
      <c r="C200" s="50"/>
      <c r="D200" s="50"/>
      <c r="E200" s="51"/>
      <c r="F200" s="51"/>
      <c r="G200" s="51"/>
      <c r="H200" s="51"/>
      <c r="I200" s="51"/>
      <c r="J200" s="51"/>
      <c r="K200" s="52"/>
      <c r="L200" s="52"/>
      <c r="M200" s="53"/>
      <c r="N200" s="54"/>
      <c r="P200" s="51"/>
      <c r="Q200" s="51"/>
      <c r="R200" s="51"/>
      <c r="S200" s="51"/>
      <c r="T200" s="51"/>
    </row>
    <row r="201" spans="1:20" x14ac:dyDescent="0.3">
      <c r="A201" s="48">
        <v>0</v>
      </c>
      <c r="B201" s="49" t="s">
        <v>410</v>
      </c>
      <c r="C201" s="50"/>
      <c r="D201" s="50"/>
      <c r="E201" s="51"/>
      <c r="F201" s="51"/>
      <c r="G201" s="51"/>
      <c r="H201" s="51"/>
      <c r="I201" s="51"/>
      <c r="J201" s="51"/>
      <c r="K201" s="52"/>
      <c r="L201" s="52"/>
      <c r="M201" s="53"/>
      <c r="N201" s="54"/>
      <c r="P201" s="51"/>
      <c r="Q201" s="51"/>
      <c r="R201" s="51"/>
      <c r="S201" s="51"/>
      <c r="T201" s="51"/>
    </row>
    <row r="202" spans="1:20" x14ac:dyDescent="0.3">
      <c r="A202" s="48">
        <v>0</v>
      </c>
      <c r="B202" s="49" t="s">
        <v>411</v>
      </c>
      <c r="C202" s="50"/>
      <c r="D202" s="50"/>
      <c r="E202" s="51"/>
      <c r="F202" s="51"/>
      <c r="G202" s="51"/>
      <c r="H202" s="51"/>
      <c r="I202" s="51"/>
      <c r="J202" s="51"/>
      <c r="K202" s="52"/>
      <c r="L202" s="52"/>
      <c r="M202" s="53"/>
      <c r="N202" s="54"/>
      <c r="P202" s="51"/>
      <c r="Q202" s="51"/>
      <c r="R202" s="51"/>
      <c r="S202" s="51"/>
      <c r="T202" s="51"/>
    </row>
    <row r="203" spans="1:20" x14ac:dyDescent="0.3">
      <c r="A203" s="48">
        <v>0</v>
      </c>
      <c r="B203" s="49" t="s">
        <v>412</v>
      </c>
      <c r="C203" s="50"/>
      <c r="D203" s="50"/>
      <c r="E203" s="51"/>
      <c r="F203" s="51"/>
      <c r="G203" s="51"/>
      <c r="H203" s="51"/>
      <c r="I203" s="51"/>
      <c r="J203" s="51"/>
      <c r="K203" s="52"/>
      <c r="L203" s="52"/>
      <c r="M203" s="53"/>
      <c r="N203" s="54"/>
      <c r="P203" s="51"/>
      <c r="Q203" s="51"/>
      <c r="R203" s="51"/>
      <c r="S203" s="51"/>
      <c r="T203" s="51"/>
    </row>
    <row r="204" spans="1:20" x14ac:dyDescent="0.3">
      <c r="A204" s="48">
        <v>0</v>
      </c>
      <c r="B204" s="49" t="s">
        <v>413</v>
      </c>
      <c r="C204" s="50"/>
      <c r="D204" s="50"/>
      <c r="E204" s="51"/>
      <c r="F204" s="51"/>
      <c r="G204" s="51"/>
      <c r="H204" s="51"/>
      <c r="I204" s="51"/>
      <c r="J204" s="51"/>
      <c r="K204" s="52"/>
      <c r="L204" s="52"/>
      <c r="M204" s="53"/>
      <c r="N204" s="54"/>
      <c r="P204" s="51"/>
      <c r="Q204" s="51"/>
      <c r="R204" s="51"/>
      <c r="S204" s="51"/>
      <c r="T204" s="51"/>
    </row>
    <row r="205" spans="1:20" x14ac:dyDescent="0.3">
      <c r="A205" s="48">
        <v>0</v>
      </c>
      <c r="B205" s="49" t="s">
        <v>414</v>
      </c>
      <c r="C205" s="50"/>
      <c r="D205" s="50"/>
      <c r="E205" s="51"/>
      <c r="F205" s="51"/>
      <c r="G205" s="51"/>
      <c r="H205" s="51"/>
      <c r="I205" s="51"/>
      <c r="J205" s="51"/>
      <c r="K205" s="52"/>
      <c r="L205" s="52"/>
      <c r="M205" s="53"/>
      <c r="N205" s="54"/>
      <c r="P205" s="51"/>
      <c r="Q205" s="51"/>
      <c r="R205" s="51"/>
      <c r="S205" s="51"/>
      <c r="T205" s="51"/>
    </row>
    <row r="206" spans="1:20" x14ac:dyDescent="0.3">
      <c r="A206" s="48">
        <v>0</v>
      </c>
      <c r="B206" s="49" t="s">
        <v>415</v>
      </c>
      <c r="C206" s="50"/>
      <c r="D206" s="50"/>
      <c r="E206" s="51"/>
      <c r="F206" s="51"/>
      <c r="G206" s="51"/>
      <c r="H206" s="51"/>
      <c r="I206" s="51"/>
      <c r="J206" s="51"/>
      <c r="K206" s="52"/>
      <c r="L206" s="52"/>
      <c r="M206" s="53"/>
      <c r="N206" s="54"/>
      <c r="P206" s="51"/>
      <c r="Q206" s="51"/>
      <c r="R206" s="51"/>
      <c r="S206" s="51"/>
      <c r="T206" s="51"/>
    </row>
    <row r="207" spans="1:20" x14ac:dyDescent="0.3">
      <c r="A207" s="48">
        <v>0</v>
      </c>
      <c r="B207" s="49" t="s">
        <v>416</v>
      </c>
      <c r="C207" s="50"/>
      <c r="D207" s="50"/>
      <c r="E207" s="51"/>
      <c r="F207" s="51"/>
      <c r="G207" s="51"/>
      <c r="H207" s="51"/>
      <c r="I207" s="51"/>
      <c r="J207" s="51"/>
      <c r="K207" s="52"/>
      <c r="L207" s="52"/>
      <c r="M207" s="53"/>
      <c r="N207" s="54"/>
      <c r="P207" s="51"/>
      <c r="Q207" s="51"/>
      <c r="R207" s="51"/>
      <c r="S207" s="51"/>
      <c r="T207" s="51"/>
    </row>
    <row r="208" spans="1:20" x14ac:dyDescent="0.3">
      <c r="A208" s="48">
        <v>0</v>
      </c>
      <c r="B208" s="49" t="s">
        <v>417</v>
      </c>
      <c r="C208" s="50"/>
      <c r="D208" s="50"/>
      <c r="E208" s="51"/>
      <c r="F208" s="51"/>
      <c r="G208" s="51"/>
      <c r="H208" s="51"/>
      <c r="I208" s="51"/>
      <c r="J208" s="51"/>
      <c r="K208" s="52"/>
      <c r="L208" s="52"/>
      <c r="M208" s="53"/>
      <c r="N208" s="54"/>
      <c r="P208" s="51"/>
      <c r="Q208" s="51"/>
      <c r="R208" s="51"/>
      <c r="S208" s="51"/>
      <c r="T208" s="51"/>
    </row>
    <row r="209" spans="1:20" x14ac:dyDescent="0.3">
      <c r="A209" s="48">
        <v>0</v>
      </c>
      <c r="B209" s="49" t="s">
        <v>418</v>
      </c>
      <c r="C209" s="50"/>
      <c r="D209" s="50"/>
      <c r="E209" s="51"/>
      <c r="F209" s="51"/>
      <c r="G209" s="51"/>
      <c r="H209" s="51"/>
      <c r="I209" s="51"/>
      <c r="J209" s="51"/>
      <c r="K209" s="52"/>
      <c r="L209" s="52"/>
      <c r="M209" s="53"/>
      <c r="N209" s="54"/>
      <c r="P209" s="51"/>
      <c r="Q209" s="51"/>
      <c r="R209" s="51"/>
      <c r="S209" s="51"/>
      <c r="T209" s="51"/>
    </row>
    <row r="210" spans="1:20" x14ac:dyDescent="0.3">
      <c r="A210" s="48">
        <v>0</v>
      </c>
      <c r="B210" s="49" t="s">
        <v>419</v>
      </c>
      <c r="C210" s="50"/>
      <c r="D210" s="50"/>
      <c r="E210" s="51"/>
      <c r="F210" s="51"/>
      <c r="G210" s="51"/>
      <c r="H210" s="51"/>
      <c r="I210" s="51"/>
      <c r="J210" s="51"/>
      <c r="K210" s="52"/>
      <c r="L210" s="52"/>
      <c r="M210" s="53"/>
      <c r="N210" s="54"/>
      <c r="P210" s="51"/>
      <c r="Q210" s="51"/>
      <c r="R210" s="51"/>
      <c r="S210" s="51"/>
      <c r="T210" s="51"/>
    </row>
    <row r="211" spans="1:20" x14ac:dyDescent="0.3">
      <c r="A211" s="48">
        <v>0</v>
      </c>
      <c r="B211" s="49" t="s">
        <v>421</v>
      </c>
      <c r="C211" s="50"/>
      <c r="D211" s="50"/>
      <c r="E211" s="51"/>
      <c r="F211" s="51"/>
      <c r="G211" s="51"/>
      <c r="H211" s="51"/>
      <c r="I211" s="51"/>
      <c r="J211" s="51"/>
      <c r="K211" s="52"/>
      <c r="L211" s="52"/>
      <c r="M211" s="53"/>
      <c r="N211" s="54"/>
      <c r="P211" s="51"/>
      <c r="Q211" s="51"/>
      <c r="R211" s="51"/>
      <c r="S211" s="51"/>
      <c r="T211" s="51"/>
    </row>
    <row r="212" spans="1:20" x14ac:dyDescent="0.3">
      <c r="A212" s="48">
        <v>0</v>
      </c>
      <c r="B212" s="49" t="s">
        <v>458</v>
      </c>
      <c r="C212" s="50"/>
      <c r="D212" s="50"/>
      <c r="E212" s="51"/>
      <c r="F212" s="51"/>
      <c r="G212" s="51"/>
      <c r="H212" s="51"/>
      <c r="I212" s="51"/>
      <c r="J212" s="51"/>
      <c r="K212" s="52"/>
      <c r="L212" s="52"/>
      <c r="M212" s="53"/>
      <c r="N212" s="54"/>
      <c r="P212" s="51"/>
      <c r="Q212" s="51"/>
      <c r="R212" s="51"/>
      <c r="S212" s="51"/>
      <c r="T212" s="51"/>
    </row>
    <row r="213" spans="1:20" x14ac:dyDescent="0.3">
      <c r="A213" s="48">
        <v>0</v>
      </c>
      <c r="B213" s="49" t="s">
        <v>459</v>
      </c>
      <c r="C213" s="50"/>
      <c r="D213" s="50"/>
      <c r="E213" s="51"/>
      <c r="F213" s="51"/>
      <c r="G213" s="51"/>
      <c r="H213" s="51"/>
      <c r="I213" s="51"/>
      <c r="J213" s="51"/>
      <c r="K213" s="52"/>
      <c r="L213" s="52"/>
      <c r="M213" s="53"/>
      <c r="N213" s="54"/>
      <c r="P213" s="51"/>
      <c r="Q213" s="51"/>
      <c r="R213" s="51"/>
      <c r="S213" s="51"/>
      <c r="T213" s="51"/>
    </row>
    <row r="214" spans="1:20" x14ac:dyDescent="0.3">
      <c r="A214" s="48">
        <v>0</v>
      </c>
      <c r="B214" s="49" t="s">
        <v>460</v>
      </c>
      <c r="C214" s="50"/>
      <c r="D214" s="50"/>
      <c r="E214" s="51"/>
      <c r="F214" s="51"/>
      <c r="G214" s="51"/>
      <c r="H214" s="51"/>
      <c r="I214" s="51"/>
      <c r="J214" s="51"/>
      <c r="K214" s="52"/>
      <c r="L214" s="52"/>
      <c r="M214" s="53"/>
      <c r="N214" s="54"/>
      <c r="P214" s="51"/>
      <c r="Q214" s="51"/>
      <c r="R214" s="51"/>
      <c r="S214" s="51"/>
      <c r="T214" s="51"/>
    </row>
    <row r="215" spans="1:20" x14ac:dyDescent="0.3">
      <c r="A215" s="48">
        <v>0</v>
      </c>
      <c r="B215" s="49" t="s">
        <v>461</v>
      </c>
      <c r="C215" s="50"/>
      <c r="D215" s="50"/>
      <c r="E215" s="51"/>
      <c r="F215" s="51"/>
      <c r="G215" s="51"/>
      <c r="H215" s="51"/>
      <c r="I215" s="51"/>
      <c r="J215" s="51"/>
      <c r="K215" s="52"/>
      <c r="L215" s="52"/>
      <c r="M215" s="53"/>
      <c r="N215" s="54"/>
      <c r="P215" s="51"/>
      <c r="Q215" s="51"/>
      <c r="R215" s="51"/>
      <c r="S215" s="51"/>
      <c r="T215" s="51"/>
    </row>
    <row r="216" spans="1:20" x14ac:dyDescent="0.3">
      <c r="A216" s="48">
        <v>0</v>
      </c>
      <c r="B216" s="49" t="s">
        <v>462</v>
      </c>
      <c r="C216" s="50"/>
      <c r="D216" s="50"/>
      <c r="E216" s="51"/>
      <c r="F216" s="51"/>
      <c r="G216" s="51"/>
      <c r="H216" s="51"/>
      <c r="I216" s="51"/>
      <c r="J216" s="51"/>
      <c r="K216" s="52"/>
      <c r="L216" s="52"/>
      <c r="M216" s="53"/>
      <c r="N216" s="54"/>
      <c r="P216" s="51"/>
      <c r="Q216" s="51"/>
      <c r="R216" s="51"/>
      <c r="S216" s="51"/>
      <c r="T216" s="51"/>
    </row>
    <row r="217" spans="1:20" x14ac:dyDescent="0.3">
      <c r="A217" s="48">
        <v>0</v>
      </c>
      <c r="B217" s="49" t="s">
        <v>463</v>
      </c>
      <c r="C217" s="50"/>
      <c r="D217" s="50"/>
      <c r="E217" s="51"/>
      <c r="F217" s="51"/>
      <c r="G217" s="51"/>
      <c r="H217" s="51"/>
      <c r="I217" s="51"/>
      <c r="J217" s="51"/>
      <c r="K217" s="52"/>
      <c r="L217" s="52"/>
      <c r="M217" s="53"/>
      <c r="N217" s="54"/>
      <c r="P217" s="51"/>
      <c r="Q217" s="51"/>
      <c r="R217" s="51"/>
      <c r="S217" s="51"/>
      <c r="T217" s="51"/>
    </row>
    <row r="218" spans="1:20" x14ac:dyDescent="0.3">
      <c r="A218" s="48">
        <v>0</v>
      </c>
      <c r="B218" s="49" t="s">
        <v>464</v>
      </c>
      <c r="C218" s="50"/>
      <c r="D218" s="50"/>
      <c r="E218" s="51"/>
      <c r="F218" s="51"/>
      <c r="G218" s="51"/>
      <c r="H218" s="51"/>
      <c r="I218" s="51"/>
      <c r="J218" s="51"/>
      <c r="K218" s="52"/>
      <c r="L218" s="52"/>
      <c r="M218" s="53"/>
      <c r="N218" s="54"/>
      <c r="P218" s="51"/>
      <c r="Q218" s="51"/>
      <c r="R218" s="51"/>
      <c r="S218" s="51"/>
      <c r="T218" s="51"/>
    </row>
    <row r="219" spans="1:20" x14ac:dyDescent="0.3">
      <c r="A219" s="48">
        <v>0</v>
      </c>
      <c r="B219" s="49" t="s">
        <v>465</v>
      </c>
      <c r="C219" s="50"/>
      <c r="D219" s="50"/>
      <c r="E219" s="51"/>
      <c r="F219" s="51"/>
      <c r="G219" s="51"/>
      <c r="H219" s="51"/>
      <c r="I219" s="51"/>
      <c r="J219" s="51"/>
      <c r="K219" s="52"/>
      <c r="L219" s="52"/>
      <c r="M219" s="53"/>
      <c r="N219" s="54"/>
      <c r="P219" s="51"/>
      <c r="Q219" s="51"/>
      <c r="R219" s="51"/>
      <c r="S219" s="51"/>
      <c r="T219" s="51"/>
    </row>
    <row r="220" spans="1:20" x14ac:dyDescent="0.3">
      <c r="A220" s="48">
        <v>0</v>
      </c>
      <c r="B220" s="49" t="s">
        <v>466</v>
      </c>
      <c r="C220" s="50"/>
      <c r="D220" s="50"/>
      <c r="E220" s="51"/>
      <c r="F220" s="51"/>
      <c r="G220" s="51"/>
      <c r="H220" s="51"/>
      <c r="I220" s="51"/>
      <c r="J220" s="51"/>
      <c r="K220" s="52"/>
      <c r="L220" s="52"/>
      <c r="M220" s="53"/>
      <c r="N220" s="54"/>
      <c r="P220" s="51"/>
      <c r="Q220" s="51"/>
      <c r="R220" s="51"/>
      <c r="S220" s="51"/>
      <c r="T220" s="51"/>
    </row>
    <row r="221" spans="1:20" x14ac:dyDescent="0.3">
      <c r="A221" s="48">
        <v>0</v>
      </c>
      <c r="B221" s="49" t="s">
        <v>467</v>
      </c>
      <c r="C221" s="50"/>
      <c r="D221" s="50"/>
      <c r="E221" s="51"/>
      <c r="F221" s="51"/>
      <c r="G221" s="51"/>
      <c r="H221" s="51"/>
      <c r="I221" s="51"/>
      <c r="J221" s="51"/>
      <c r="K221" s="52"/>
      <c r="L221" s="52"/>
      <c r="M221" s="53"/>
      <c r="N221" s="54"/>
      <c r="P221" s="51"/>
      <c r="Q221" s="51"/>
      <c r="R221" s="51"/>
      <c r="S221" s="51"/>
      <c r="T221" s="51"/>
    </row>
    <row r="222" spans="1:20" x14ac:dyDescent="0.3">
      <c r="A222" s="48">
        <v>0</v>
      </c>
      <c r="B222" s="49" t="s">
        <v>468</v>
      </c>
      <c r="C222" s="50"/>
      <c r="D222" s="50"/>
      <c r="E222" s="51"/>
      <c r="F222" s="51"/>
      <c r="G222" s="51"/>
      <c r="H222" s="51"/>
      <c r="I222" s="51"/>
      <c r="J222" s="51"/>
      <c r="K222" s="52"/>
      <c r="L222" s="52"/>
      <c r="M222" s="53"/>
      <c r="N222" s="54"/>
      <c r="P222" s="51"/>
      <c r="Q222" s="51"/>
      <c r="R222" s="51"/>
      <c r="S222" s="51"/>
      <c r="T222" s="51"/>
    </row>
    <row r="223" spans="1:20" x14ac:dyDescent="0.3">
      <c r="A223" s="48">
        <v>0</v>
      </c>
      <c r="B223" s="49" t="s">
        <v>469</v>
      </c>
      <c r="C223" s="50"/>
      <c r="D223" s="50"/>
      <c r="E223" s="51"/>
      <c r="F223" s="51"/>
      <c r="G223" s="51"/>
      <c r="H223" s="51"/>
      <c r="I223" s="51"/>
      <c r="J223" s="51"/>
      <c r="K223" s="52"/>
      <c r="L223" s="52"/>
      <c r="M223" s="53"/>
      <c r="N223" s="54"/>
      <c r="P223" s="51"/>
      <c r="Q223" s="51"/>
      <c r="R223" s="51"/>
      <c r="S223" s="51"/>
      <c r="T223" s="51"/>
    </row>
    <row r="224" spans="1:20" x14ac:dyDescent="0.3">
      <c r="A224" s="48">
        <v>0</v>
      </c>
      <c r="B224" s="49" t="s">
        <v>470</v>
      </c>
      <c r="C224" s="50"/>
      <c r="D224" s="50"/>
      <c r="E224" s="51"/>
      <c r="F224" s="51"/>
      <c r="G224" s="51"/>
      <c r="H224" s="51"/>
      <c r="I224" s="51"/>
      <c r="J224" s="51"/>
      <c r="K224" s="52"/>
      <c r="L224" s="52"/>
      <c r="M224" s="53"/>
      <c r="N224" s="54"/>
      <c r="P224" s="51"/>
      <c r="Q224" s="51"/>
      <c r="R224" s="51"/>
      <c r="S224" s="51"/>
      <c r="T224" s="51"/>
    </row>
    <row r="225" spans="1:20" x14ac:dyDescent="0.3">
      <c r="A225" s="48">
        <v>0</v>
      </c>
      <c r="B225" s="49" t="s">
        <v>471</v>
      </c>
      <c r="C225" s="50"/>
      <c r="D225" s="50"/>
      <c r="E225" s="51"/>
      <c r="F225" s="51"/>
      <c r="G225" s="51"/>
      <c r="H225" s="51"/>
      <c r="I225" s="51"/>
      <c r="J225" s="51"/>
      <c r="K225" s="52"/>
      <c r="L225" s="52"/>
      <c r="M225" s="53"/>
      <c r="N225" s="54"/>
      <c r="P225" s="51"/>
      <c r="Q225" s="51"/>
      <c r="R225" s="51"/>
      <c r="S225" s="51"/>
      <c r="T225" s="51"/>
    </row>
    <row r="226" spans="1:20" x14ac:dyDescent="0.3">
      <c r="A226" s="48">
        <v>0</v>
      </c>
      <c r="B226" s="49" t="s">
        <v>472</v>
      </c>
      <c r="C226" s="50"/>
      <c r="D226" s="50"/>
      <c r="E226" s="51"/>
      <c r="F226" s="51"/>
      <c r="G226" s="51"/>
      <c r="H226" s="51"/>
      <c r="I226" s="51"/>
      <c r="J226" s="51"/>
      <c r="K226" s="52"/>
      <c r="L226" s="52"/>
      <c r="M226" s="53"/>
      <c r="N226" s="54"/>
      <c r="P226" s="51"/>
      <c r="Q226" s="51"/>
      <c r="R226" s="51"/>
      <c r="S226" s="51"/>
      <c r="T226" s="51"/>
    </row>
    <row r="227" spans="1:20" x14ac:dyDescent="0.3">
      <c r="A227" s="48">
        <v>0</v>
      </c>
      <c r="B227" s="49" t="s">
        <v>473</v>
      </c>
      <c r="C227" s="50"/>
      <c r="D227" s="50"/>
      <c r="E227" s="51"/>
      <c r="F227" s="51"/>
      <c r="G227" s="51"/>
      <c r="H227" s="51"/>
      <c r="I227" s="51"/>
      <c r="J227" s="51"/>
      <c r="K227" s="52"/>
      <c r="L227" s="52"/>
      <c r="M227" s="53"/>
      <c r="N227" s="54"/>
      <c r="P227" s="51"/>
      <c r="Q227" s="51"/>
      <c r="R227" s="51"/>
      <c r="S227" s="51"/>
      <c r="T227" s="51"/>
    </row>
    <row r="228" spans="1:20" x14ac:dyDescent="0.3">
      <c r="A228" s="48">
        <v>0</v>
      </c>
      <c r="B228" s="49" t="s">
        <v>474</v>
      </c>
      <c r="C228" s="50"/>
      <c r="D228" s="50"/>
      <c r="E228" s="51"/>
      <c r="F228" s="51"/>
      <c r="G228" s="51"/>
      <c r="H228" s="51"/>
      <c r="I228" s="51"/>
      <c r="J228" s="51"/>
      <c r="K228" s="52"/>
      <c r="L228" s="52"/>
      <c r="M228" s="53"/>
      <c r="N228" s="54"/>
      <c r="P228" s="51"/>
      <c r="Q228" s="51"/>
      <c r="R228" s="51"/>
      <c r="S228" s="51"/>
      <c r="T228" s="51"/>
    </row>
    <row r="229" spans="1:20" x14ac:dyDescent="0.3">
      <c r="A229" s="48">
        <v>0</v>
      </c>
      <c r="B229" s="49" t="s">
        <v>475</v>
      </c>
      <c r="C229" s="50"/>
      <c r="D229" s="50"/>
      <c r="E229" s="51"/>
      <c r="F229" s="51"/>
      <c r="G229" s="51"/>
      <c r="H229" s="51"/>
      <c r="I229" s="51"/>
      <c r="J229" s="51"/>
      <c r="K229" s="52"/>
      <c r="L229" s="52"/>
      <c r="M229" s="53"/>
      <c r="N229" s="54"/>
      <c r="P229" s="51"/>
      <c r="Q229" s="51"/>
      <c r="R229" s="51"/>
      <c r="S229" s="51"/>
      <c r="T229" s="51"/>
    </row>
    <row r="230" spans="1:20" x14ac:dyDescent="0.3">
      <c r="A230" s="48">
        <v>0</v>
      </c>
      <c r="B230" s="49" t="s">
        <v>476</v>
      </c>
      <c r="C230" s="50"/>
      <c r="D230" s="50"/>
      <c r="E230" s="51"/>
      <c r="F230" s="51"/>
      <c r="G230" s="51"/>
      <c r="H230" s="51"/>
      <c r="I230" s="51"/>
      <c r="J230" s="51"/>
      <c r="K230" s="52"/>
      <c r="L230" s="52"/>
      <c r="M230" s="53"/>
      <c r="N230" s="54"/>
      <c r="P230" s="51"/>
      <c r="Q230" s="51"/>
      <c r="R230" s="51"/>
      <c r="S230" s="51"/>
      <c r="T230" s="51"/>
    </row>
    <row r="231" spans="1:20" x14ac:dyDescent="0.3">
      <c r="A231" s="48">
        <v>0</v>
      </c>
      <c r="B231" s="49" t="s">
        <v>477</v>
      </c>
      <c r="C231" s="50"/>
      <c r="D231" s="50"/>
      <c r="E231" s="51"/>
      <c r="F231" s="51"/>
      <c r="G231" s="51"/>
      <c r="H231" s="51"/>
      <c r="I231" s="51"/>
      <c r="J231" s="51"/>
      <c r="K231" s="52"/>
      <c r="L231" s="52"/>
      <c r="M231" s="53"/>
      <c r="N231" s="54"/>
      <c r="P231" s="51"/>
      <c r="Q231" s="51"/>
      <c r="R231" s="51"/>
      <c r="S231" s="51"/>
      <c r="T231" s="51"/>
    </row>
    <row r="232" spans="1:20" x14ac:dyDescent="0.3">
      <c r="A232" s="48">
        <v>0</v>
      </c>
      <c r="B232" s="49" t="s">
        <v>422</v>
      </c>
      <c r="C232" s="50"/>
      <c r="D232" s="50"/>
      <c r="E232" s="51"/>
      <c r="F232" s="51"/>
      <c r="G232" s="51"/>
      <c r="H232" s="51"/>
      <c r="I232" s="51"/>
      <c r="J232" s="51"/>
      <c r="K232" s="52"/>
      <c r="L232" s="52"/>
      <c r="M232" s="53"/>
      <c r="N232" s="54"/>
      <c r="P232" s="51"/>
      <c r="Q232" s="51"/>
      <c r="R232" s="51"/>
      <c r="S232" s="51"/>
      <c r="T232" s="51"/>
    </row>
    <row r="233" spans="1:20" x14ac:dyDescent="0.3">
      <c r="A233" s="48">
        <v>0</v>
      </c>
      <c r="B233" s="49" t="s">
        <v>245</v>
      </c>
      <c r="C233" s="50"/>
      <c r="D233" s="50"/>
      <c r="E233" s="51"/>
      <c r="F233" s="51"/>
      <c r="G233" s="51"/>
      <c r="H233" s="51"/>
      <c r="I233" s="51"/>
      <c r="J233" s="51"/>
      <c r="K233" s="52"/>
      <c r="L233" s="52"/>
      <c r="M233" s="53"/>
      <c r="N233" s="54"/>
      <c r="P233" s="51"/>
      <c r="Q233" s="51"/>
      <c r="R233" s="51"/>
      <c r="S233" s="51"/>
      <c r="T233" s="51"/>
    </row>
    <row r="234" spans="1:20" x14ac:dyDescent="0.3">
      <c r="A234" s="48">
        <v>0</v>
      </c>
      <c r="B234" s="49" t="s">
        <v>490</v>
      </c>
      <c r="C234" s="50"/>
      <c r="D234" s="50"/>
      <c r="E234" s="51"/>
      <c r="F234" s="51"/>
      <c r="G234" s="51"/>
      <c r="H234" s="51"/>
      <c r="I234" s="51"/>
      <c r="J234" s="51"/>
      <c r="K234" s="52"/>
      <c r="L234" s="52"/>
      <c r="M234" s="53"/>
      <c r="N234" s="54"/>
      <c r="P234" s="51"/>
      <c r="Q234" s="51"/>
      <c r="R234" s="51"/>
      <c r="S234" s="51"/>
      <c r="T234" s="51"/>
    </row>
    <row r="235" spans="1:20" x14ac:dyDescent="0.3">
      <c r="A235" s="48">
        <v>0</v>
      </c>
      <c r="B235" s="49" t="s">
        <v>491</v>
      </c>
      <c r="C235" s="50"/>
      <c r="D235" s="50"/>
      <c r="E235" s="51"/>
      <c r="F235" s="51"/>
      <c r="G235" s="51"/>
      <c r="H235" s="51"/>
      <c r="I235" s="51"/>
      <c r="J235" s="51"/>
      <c r="K235" s="52"/>
      <c r="L235" s="52"/>
      <c r="M235" s="53"/>
      <c r="N235" s="54"/>
      <c r="P235" s="51"/>
      <c r="Q235" s="51"/>
      <c r="R235" s="51"/>
      <c r="S235" s="51"/>
      <c r="T235" s="51"/>
    </row>
    <row r="236" spans="1:20" x14ac:dyDescent="0.3">
      <c r="A236" s="48">
        <v>0</v>
      </c>
      <c r="B236" s="49" t="s">
        <v>492</v>
      </c>
      <c r="C236" s="50"/>
      <c r="D236" s="50"/>
      <c r="E236" s="51"/>
      <c r="F236" s="51"/>
      <c r="G236" s="51"/>
      <c r="H236" s="51"/>
      <c r="I236" s="51"/>
      <c r="J236" s="51"/>
      <c r="K236" s="52"/>
      <c r="L236" s="52"/>
      <c r="M236" s="53"/>
      <c r="N236" s="54"/>
      <c r="P236" s="51"/>
      <c r="Q236" s="51"/>
      <c r="R236" s="51"/>
      <c r="S236" s="51"/>
      <c r="T236" s="51"/>
    </row>
    <row r="237" spans="1:20" x14ac:dyDescent="0.3">
      <c r="A237" s="48">
        <v>0</v>
      </c>
      <c r="B237" s="49" t="s">
        <v>493</v>
      </c>
      <c r="C237" s="50"/>
      <c r="D237" s="50"/>
      <c r="E237" s="51"/>
      <c r="F237" s="51"/>
      <c r="G237" s="51"/>
      <c r="H237" s="51"/>
      <c r="I237" s="51"/>
      <c r="J237" s="51"/>
      <c r="K237" s="52"/>
      <c r="L237" s="52"/>
      <c r="M237" s="53"/>
      <c r="N237" s="54"/>
      <c r="P237" s="51"/>
      <c r="Q237" s="51"/>
      <c r="R237" s="51"/>
      <c r="S237" s="51"/>
      <c r="T237" s="51"/>
    </row>
    <row r="238" spans="1:20" x14ac:dyDescent="0.3">
      <c r="A238" s="48">
        <v>0</v>
      </c>
      <c r="B238" s="49" t="s">
        <v>494</v>
      </c>
      <c r="C238" s="50"/>
      <c r="D238" s="50"/>
      <c r="E238" s="51"/>
      <c r="F238" s="51"/>
      <c r="G238" s="51"/>
      <c r="H238" s="51"/>
      <c r="I238" s="51"/>
      <c r="J238" s="51"/>
      <c r="K238" s="52"/>
      <c r="L238" s="52"/>
      <c r="M238" s="53"/>
      <c r="N238" s="54"/>
      <c r="P238" s="51"/>
      <c r="Q238" s="51"/>
      <c r="R238" s="51"/>
      <c r="S238" s="51"/>
      <c r="T238" s="51"/>
    </row>
    <row r="239" spans="1:20" x14ac:dyDescent="0.3">
      <c r="A239" s="48">
        <v>0</v>
      </c>
      <c r="B239" s="49" t="s">
        <v>495</v>
      </c>
      <c r="C239" s="50"/>
      <c r="D239" s="50"/>
      <c r="E239" s="51"/>
      <c r="F239" s="51"/>
      <c r="G239" s="51"/>
      <c r="H239" s="51"/>
      <c r="I239" s="51"/>
      <c r="J239" s="51"/>
      <c r="K239" s="52"/>
      <c r="L239" s="52"/>
      <c r="M239" s="53"/>
      <c r="N239" s="54"/>
      <c r="P239" s="51"/>
      <c r="Q239" s="51"/>
      <c r="R239" s="51"/>
      <c r="S239" s="51"/>
      <c r="T239" s="51"/>
    </row>
    <row r="240" spans="1:20" x14ac:dyDescent="0.3">
      <c r="A240" s="48">
        <v>0</v>
      </c>
      <c r="B240" s="49" t="s">
        <v>496</v>
      </c>
      <c r="C240" s="50"/>
      <c r="D240" s="50"/>
      <c r="E240" s="51"/>
      <c r="F240" s="51"/>
      <c r="G240" s="51"/>
      <c r="H240" s="51"/>
      <c r="I240" s="51"/>
      <c r="J240" s="51"/>
      <c r="K240" s="52"/>
      <c r="L240" s="52"/>
      <c r="M240" s="53"/>
      <c r="N240" s="54"/>
      <c r="P240" s="51"/>
      <c r="Q240" s="51"/>
      <c r="R240" s="51"/>
      <c r="S240" s="51"/>
      <c r="T240" s="51"/>
    </row>
    <row r="241" spans="1:20" x14ac:dyDescent="0.3">
      <c r="A241" s="48">
        <v>0</v>
      </c>
      <c r="B241" s="49" t="s">
        <v>497</v>
      </c>
      <c r="C241" s="50"/>
      <c r="D241" s="50"/>
      <c r="E241" s="51"/>
      <c r="F241" s="51"/>
      <c r="G241" s="51"/>
      <c r="H241" s="51"/>
      <c r="I241" s="51"/>
      <c r="J241" s="51"/>
      <c r="K241" s="52"/>
      <c r="L241" s="52"/>
      <c r="M241" s="53"/>
      <c r="N241" s="54"/>
      <c r="P241" s="51"/>
      <c r="Q241" s="51"/>
      <c r="R241" s="51"/>
      <c r="S241" s="51"/>
      <c r="T241" s="51"/>
    </row>
    <row r="242" spans="1:20" x14ac:dyDescent="0.3">
      <c r="A242" s="48">
        <v>0</v>
      </c>
      <c r="B242" s="49" t="s">
        <v>512</v>
      </c>
      <c r="C242" s="50"/>
      <c r="D242" s="50"/>
      <c r="E242" s="51"/>
      <c r="F242" s="51"/>
      <c r="G242" s="51"/>
      <c r="H242" s="51"/>
      <c r="I242" s="51"/>
      <c r="J242" s="51"/>
      <c r="K242" s="52"/>
      <c r="L242" s="52"/>
      <c r="M242" s="53"/>
      <c r="N242" s="54"/>
      <c r="P242" s="51"/>
      <c r="Q242" s="51"/>
      <c r="R242" s="51"/>
      <c r="S242" s="51"/>
      <c r="T242" s="51"/>
    </row>
    <row r="243" spans="1:20" x14ac:dyDescent="0.3">
      <c r="A243" s="48">
        <v>0</v>
      </c>
      <c r="B243" s="49" t="s">
        <v>513</v>
      </c>
      <c r="C243" s="50"/>
      <c r="D243" s="50"/>
      <c r="E243" s="51"/>
      <c r="F243" s="51"/>
      <c r="G243" s="51"/>
      <c r="H243" s="51"/>
      <c r="I243" s="51"/>
      <c r="J243" s="51"/>
      <c r="K243" s="52"/>
      <c r="L243" s="52"/>
      <c r="M243" s="53"/>
      <c r="N243" s="54"/>
      <c r="P243" s="51"/>
      <c r="Q243" s="51"/>
      <c r="R243" s="51"/>
      <c r="S243" s="51"/>
      <c r="T243" s="51"/>
    </row>
    <row r="244" spans="1:20" x14ac:dyDescent="0.3">
      <c r="A244" s="48">
        <v>0</v>
      </c>
      <c r="B244" s="49" t="s">
        <v>514</v>
      </c>
      <c r="C244" s="50"/>
      <c r="D244" s="50"/>
      <c r="E244" s="51"/>
      <c r="F244" s="51"/>
      <c r="G244" s="51"/>
      <c r="H244" s="51"/>
      <c r="I244" s="51"/>
      <c r="J244" s="51"/>
      <c r="K244" s="52"/>
      <c r="L244" s="52"/>
      <c r="M244" s="53"/>
      <c r="N244" s="54"/>
      <c r="P244" s="51"/>
      <c r="Q244" s="51"/>
      <c r="R244" s="51"/>
      <c r="S244" s="51"/>
      <c r="T244" s="51"/>
    </row>
    <row r="245" spans="1:20" x14ac:dyDescent="0.3">
      <c r="A245" s="48">
        <v>0</v>
      </c>
      <c r="B245" s="49" t="s">
        <v>515</v>
      </c>
      <c r="C245" s="50"/>
      <c r="D245" s="50"/>
      <c r="E245" s="51"/>
      <c r="F245" s="51"/>
      <c r="G245" s="51"/>
      <c r="H245" s="51"/>
      <c r="I245" s="51"/>
      <c r="J245" s="51"/>
      <c r="K245" s="52"/>
      <c r="L245" s="52"/>
      <c r="M245" s="53"/>
      <c r="N245" s="54"/>
      <c r="P245" s="51"/>
      <c r="Q245" s="51"/>
      <c r="R245" s="51"/>
      <c r="S245" s="51"/>
      <c r="T245" s="51"/>
    </row>
    <row r="246" spans="1:20" x14ac:dyDescent="0.3">
      <c r="A246" s="48">
        <v>0</v>
      </c>
      <c r="B246" s="49" t="s">
        <v>516</v>
      </c>
      <c r="C246" s="50"/>
      <c r="D246" s="50"/>
      <c r="E246" s="51"/>
      <c r="F246" s="51"/>
      <c r="G246" s="51"/>
      <c r="H246" s="51"/>
      <c r="I246" s="51"/>
      <c r="J246" s="51"/>
      <c r="K246" s="52"/>
      <c r="L246" s="52"/>
      <c r="M246" s="53"/>
      <c r="N246" s="54"/>
      <c r="P246" s="51"/>
      <c r="Q246" s="51"/>
      <c r="R246" s="51"/>
      <c r="S246" s="51"/>
      <c r="T246" s="51"/>
    </row>
    <row r="247" spans="1:20" x14ac:dyDescent="0.3">
      <c r="A247" s="48">
        <v>0</v>
      </c>
      <c r="B247" s="49" t="s">
        <v>517</v>
      </c>
      <c r="C247" s="50"/>
      <c r="D247" s="50"/>
      <c r="E247" s="51"/>
      <c r="F247" s="51"/>
      <c r="G247" s="51"/>
      <c r="H247" s="51"/>
      <c r="I247" s="51"/>
      <c r="J247" s="51"/>
      <c r="K247" s="52"/>
      <c r="L247" s="52"/>
      <c r="M247" s="53"/>
      <c r="N247" s="54"/>
      <c r="P247" s="51"/>
      <c r="Q247" s="51"/>
      <c r="R247" s="51"/>
      <c r="S247" s="51"/>
      <c r="T247" s="51"/>
    </row>
    <row r="248" spans="1:20" x14ac:dyDescent="0.3">
      <c r="A248" s="48">
        <v>0</v>
      </c>
      <c r="B248" s="49" t="s">
        <v>518</v>
      </c>
      <c r="C248" s="50"/>
      <c r="D248" s="50"/>
      <c r="E248" s="51"/>
      <c r="F248" s="51"/>
      <c r="G248" s="51"/>
      <c r="H248" s="51"/>
      <c r="I248" s="51"/>
      <c r="J248" s="51"/>
      <c r="K248" s="52"/>
      <c r="L248" s="52"/>
      <c r="M248" s="53"/>
      <c r="N248" s="54"/>
      <c r="P248" s="51"/>
      <c r="Q248" s="51"/>
      <c r="R248" s="51"/>
      <c r="S248" s="51"/>
      <c r="T248" s="51"/>
    </row>
    <row r="249" spans="1:20" x14ac:dyDescent="0.3">
      <c r="A249" s="48">
        <v>0</v>
      </c>
      <c r="B249" s="49" t="s">
        <v>519</v>
      </c>
      <c r="C249" s="50"/>
      <c r="D249" s="50"/>
      <c r="E249" s="51"/>
      <c r="F249" s="51"/>
      <c r="G249" s="51"/>
      <c r="H249" s="51"/>
      <c r="I249" s="51"/>
      <c r="J249" s="51"/>
      <c r="K249" s="52"/>
      <c r="L249" s="52"/>
      <c r="M249" s="53"/>
      <c r="N249" s="54"/>
      <c r="P249" s="51"/>
      <c r="Q249" s="51"/>
      <c r="R249" s="51"/>
      <c r="S249" s="51"/>
      <c r="T249" s="51"/>
    </row>
    <row r="250" spans="1:20" x14ac:dyDescent="0.3">
      <c r="A250" s="48">
        <v>0</v>
      </c>
      <c r="B250" s="49" t="s">
        <v>520</v>
      </c>
      <c r="C250" s="50"/>
      <c r="D250" s="50"/>
      <c r="E250" s="51"/>
      <c r="F250" s="51"/>
      <c r="G250" s="51"/>
      <c r="H250" s="51"/>
      <c r="I250" s="51"/>
      <c r="J250" s="51"/>
      <c r="K250" s="52"/>
      <c r="L250" s="52"/>
      <c r="M250" s="53"/>
      <c r="N250" s="54"/>
      <c r="P250" s="51"/>
      <c r="Q250" s="51"/>
      <c r="R250" s="51"/>
      <c r="S250" s="51"/>
      <c r="T250" s="51"/>
    </row>
    <row r="251" spans="1:20" x14ac:dyDescent="0.3">
      <c r="A251" s="48">
        <v>0</v>
      </c>
      <c r="B251" s="49" t="s">
        <v>521</v>
      </c>
      <c r="C251" s="50"/>
      <c r="D251" s="50"/>
      <c r="E251" s="51"/>
      <c r="F251" s="51"/>
      <c r="G251" s="51"/>
      <c r="H251" s="51"/>
      <c r="I251" s="51"/>
      <c r="J251" s="51"/>
      <c r="K251" s="52"/>
      <c r="L251" s="52"/>
      <c r="M251" s="53"/>
      <c r="N251" s="54"/>
      <c r="P251" s="51"/>
      <c r="Q251" s="51"/>
      <c r="R251" s="51"/>
      <c r="S251" s="51"/>
      <c r="T251" s="51"/>
    </row>
    <row r="252" spans="1:20" x14ac:dyDescent="0.3">
      <c r="A252" s="48">
        <v>0</v>
      </c>
      <c r="B252" s="49" t="s">
        <v>522</v>
      </c>
      <c r="C252" s="50"/>
      <c r="D252" s="50"/>
      <c r="E252" s="51"/>
      <c r="F252" s="51"/>
      <c r="G252" s="51"/>
      <c r="H252" s="51"/>
      <c r="I252" s="51"/>
      <c r="J252" s="51"/>
      <c r="K252" s="52"/>
      <c r="L252" s="52"/>
      <c r="M252" s="53"/>
      <c r="N252" s="54"/>
      <c r="P252" s="51"/>
      <c r="Q252" s="51"/>
      <c r="R252" s="51"/>
      <c r="S252" s="51"/>
      <c r="T252" s="51"/>
    </row>
    <row r="253" spans="1:20" x14ac:dyDescent="0.3">
      <c r="A253" s="48">
        <v>0</v>
      </c>
      <c r="B253" s="49" t="s">
        <v>523</v>
      </c>
      <c r="C253" s="50"/>
      <c r="D253" s="50"/>
      <c r="E253" s="51"/>
      <c r="F253" s="51"/>
      <c r="G253" s="51"/>
      <c r="H253" s="51"/>
      <c r="I253" s="51"/>
      <c r="J253" s="51"/>
      <c r="K253" s="52"/>
      <c r="L253" s="52"/>
      <c r="M253" s="53"/>
      <c r="N253" s="54"/>
      <c r="P253" s="51"/>
      <c r="Q253" s="51"/>
      <c r="R253" s="51"/>
      <c r="S253" s="51"/>
      <c r="T253" s="51"/>
    </row>
    <row r="254" spans="1:20" x14ac:dyDescent="0.3">
      <c r="A254" s="48">
        <v>0</v>
      </c>
      <c r="B254" s="49" t="s">
        <v>524</v>
      </c>
      <c r="C254" s="50"/>
      <c r="D254" s="50"/>
      <c r="E254" s="51"/>
      <c r="F254" s="51"/>
      <c r="G254" s="51"/>
      <c r="H254" s="51"/>
      <c r="I254" s="51"/>
      <c r="J254" s="51"/>
      <c r="K254" s="52"/>
      <c r="L254" s="52"/>
      <c r="M254" s="53"/>
      <c r="N254" s="54"/>
      <c r="P254" s="51"/>
      <c r="Q254" s="51"/>
      <c r="R254" s="51"/>
      <c r="S254" s="51"/>
      <c r="T254" s="51"/>
    </row>
    <row r="255" spans="1:20" x14ac:dyDescent="0.3">
      <c r="A255" s="48">
        <v>0</v>
      </c>
      <c r="B255" s="49" t="s">
        <v>525</v>
      </c>
      <c r="C255" s="50"/>
      <c r="D255" s="50"/>
      <c r="E255" s="51"/>
      <c r="F255" s="51"/>
      <c r="G255" s="51"/>
      <c r="H255" s="51"/>
      <c r="I255" s="51"/>
      <c r="J255" s="51"/>
      <c r="K255" s="52"/>
      <c r="L255" s="52"/>
      <c r="M255" s="53"/>
      <c r="N255" s="54"/>
      <c r="P255" s="51"/>
      <c r="Q255" s="51"/>
      <c r="R255" s="51"/>
      <c r="S255" s="51"/>
      <c r="T255" s="51"/>
    </row>
    <row r="256" spans="1:20" x14ac:dyDescent="0.3">
      <c r="A256" s="48">
        <v>0</v>
      </c>
      <c r="B256" s="49" t="s">
        <v>526</v>
      </c>
      <c r="C256" s="50"/>
      <c r="D256" s="50"/>
      <c r="E256" s="51"/>
      <c r="F256" s="51"/>
      <c r="G256" s="51"/>
      <c r="H256" s="51"/>
      <c r="I256" s="51"/>
      <c r="J256" s="51"/>
      <c r="K256" s="52"/>
      <c r="L256" s="52"/>
      <c r="M256" s="53"/>
      <c r="N256" s="54"/>
      <c r="P256" s="51"/>
      <c r="Q256" s="51"/>
      <c r="R256" s="51"/>
      <c r="S256" s="51"/>
      <c r="T256" s="51"/>
    </row>
    <row r="257" spans="1:20" x14ac:dyDescent="0.3">
      <c r="A257" s="48">
        <v>0</v>
      </c>
      <c r="B257" s="49" t="s">
        <v>527</v>
      </c>
      <c r="C257" s="50"/>
      <c r="D257" s="50"/>
      <c r="E257" s="51"/>
      <c r="F257" s="51"/>
      <c r="G257" s="51"/>
      <c r="H257" s="51"/>
      <c r="I257" s="51"/>
      <c r="J257" s="51"/>
      <c r="K257" s="52"/>
      <c r="L257" s="52"/>
      <c r="M257" s="53"/>
      <c r="N257" s="54"/>
      <c r="P257" s="51"/>
      <c r="Q257" s="51"/>
      <c r="R257" s="51"/>
      <c r="S257" s="51"/>
      <c r="T257" s="51"/>
    </row>
    <row r="258" spans="1:20" x14ac:dyDescent="0.3">
      <c r="A258" s="48">
        <v>0</v>
      </c>
      <c r="B258" s="49" t="s">
        <v>528</v>
      </c>
      <c r="C258" s="50"/>
      <c r="D258" s="50"/>
      <c r="E258" s="51"/>
      <c r="F258" s="51"/>
      <c r="G258" s="51"/>
      <c r="H258" s="51"/>
      <c r="I258" s="51"/>
      <c r="J258" s="51"/>
      <c r="K258" s="52"/>
      <c r="L258" s="52"/>
      <c r="M258" s="53"/>
      <c r="N258" s="54"/>
      <c r="P258" s="51"/>
      <c r="Q258" s="51"/>
      <c r="R258" s="51"/>
      <c r="S258" s="51"/>
      <c r="T258" s="51"/>
    </row>
    <row r="259" spans="1:20" x14ac:dyDescent="0.3">
      <c r="A259" s="48">
        <v>0</v>
      </c>
      <c r="B259" s="49" t="s">
        <v>531</v>
      </c>
      <c r="C259" s="50"/>
      <c r="D259" s="50"/>
      <c r="E259" s="51"/>
      <c r="F259" s="51"/>
      <c r="G259" s="51"/>
      <c r="H259" s="51"/>
      <c r="I259" s="51"/>
      <c r="J259" s="51"/>
      <c r="K259" s="52"/>
      <c r="L259" s="52"/>
      <c r="M259" s="53"/>
      <c r="N259" s="54"/>
      <c r="P259" s="51"/>
      <c r="Q259" s="51"/>
      <c r="R259" s="51"/>
      <c r="S259" s="51"/>
      <c r="T259" s="51"/>
    </row>
    <row r="260" spans="1:20" x14ac:dyDescent="0.3">
      <c r="A260" s="48">
        <v>0</v>
      </c>
      <c r="B260" s="49" t="s">
        <v>532</v>
      </c>
      <c r="C260" s="50"/>
      <c r="D260" s="50"/>
      <c r="E260" s="51"/>
      <c r="F260" s="51"/>
      <c r="G260" s="51"/>
      <c r="H260" s="51"/>
      <c r="I260" s="51"/>
      <c r="J260" s="51"/>
      <c r="K260" s="52"/>
      <c r="L260" s="52"/>
      <c r="M260" s="53"/>
      <c r="N260" s="54"/>
      <c r="P260" s="51"/>
      <c r="Q260" s="51"/>
      <c r="R260" s="51"/>
      <c r="S260" s="51"/>
      <c r="T260" s="51"/>
    </row>
    <row r="261" spans="1:20" x14ac:dyDescent="0.3">
      <c r="A261" s="48">
        <v>0</v>
      </c>
      <c r="B261" s="49" t="s">
        <v>533</v>
      </c>
      <c r="C261" s="50"/>
      <c r="D261" s="50"/>
      <c r="E261" s="51"/>
      <c r="F261" s="51"/>
      <c r="G261" s="51"/>
      <c r="H261" s="51"/>
      <c r="I261" s="51"/>
      <c r="J261" s="51"/>
      <c r="K261" s="52"/>
      <c r="L261" s="52"/>
      <c r="M261" s="53"/>
      <c r="N261" s="54"/>
      <c r="P261" s="51"/>
      <c r="Q261" s="51"/>
      <c r="R261" s="51"/>
      <c r="S261" s="51"/>
      <c r="T261" s="51"/>
    </row>
    <row r="262" spans="1:20" x14ac:dyDescent="0.3">
      <c r="A262" s="48">
        <v>0</v>
      </c>
      <c r="B262" s="49" t="s">
        <v>534</v>
      </c>
      <c r="C262" s="50"/>
      <c r="D262" s="50"/>
      <c r="E262" s="51"/>
      <c r="F262" s="51"/>
      <c r="G262" s="51"/>
      <c r="H262" s="51"/>
      <c r="I262" s="51"/>
      <c r="J262" s="51"/>
      <c r="K262" s="52"/>
      <c r="L262" s="52"/>
      <c r="M262" s="53"/>
      <c r="N262" s="54"/>
      <c r="P262" s="51"/>
      <c r="Q262" s="51"/>
      <c r="R262" s="51"/>
      <c r="S262" s="51"/>
      <c r="T262" s="51"/>
    </row>
    <row r="263" spans="1:20" x14ac:dyDescent="0.3">
      <c r="A263" s="48">
        <v>0</v>
      </c>
      <c r="B263" s="49" t="s">
        <v>535</v>
      </c>
      <c r="C263" s="50"/>
      <c r="D263" s="50"/>
      <c r="E263" s="51"/>
      <c r="F263" s="51"/>
      <c r="G263" s="51"/>
      <c r="H263" s="51"/>
      <c r="I263" s="51"/>
      <c r="J263" s="51"/>
      <c r="K263" s="52"/>
      <c r="L263" s="52"/>
      <c r="M263" s="53"/>
      <c r="N263" s="54"/>
      <c r="P263" s="51"/>
      <c r="Q263" s="51"/>
      <c r="R263" s="51"/>
      <c r="S263" s="51"/>
      <c r="T263" s="51"/>
    </row>
    <row r="264" spans="1:20" x14ac:dyDescent="0.3">
      <c r="A264" s="48">
        <v>0</v>
      </c>
      <c r="B264" s="49" t="s">
        <v>536</v>
      </c>
      <c r="C264" s="50"/>
      <c r="D264" s="50"/>
      <c r="E264" s="51"/>
      <c r="F264" s="51"/>
      <c r="G264" s="51"/>
      <c r="H264" s="51"/>
      <c r="I264" s="51"/>
      <c r="J264" s="51"/>
      <c r="K264" s="52"/>
      <c r="L264" s="52"/>
      <c r="M264" s="53"/>
      <c r="N264" s="54"/>
      <c r="P264" s="51"/>
      <c r="Q264" s="51"/>
      <c r="R264" s="51"/>
      <c r="S264" s="51"/>
      <c r="T264" s="51"/>
    </row>
    <row r="265" spans="1:20" x14ac:dyDescent="0.3">
      <c r="A265" s="48">
        <v>0</v>
      </c>
      <c r="B265" s="49" t="s">
        <v>537</v>
      </c>
      <c r="C265" s="50"/>
      <c r="D265" s="50"/>
      <c r="E265" s="51"/>
      <c r="F265" s="51"/>
      <c r="G265" s="51"/>
      <c r="H265" s="51"/>
      <c r="I265" s="51"/>
      <c r="J265" s="51"/>
      <c r="K265" s="52"/>
      <c r="L265" s="52"/>
      <c r="M265" s="53"/>
      <c r="N265" s="54"/>
      <c r="P265" s="51"/>
      <c r="Q265" s="51"/>
      <c r="R265" s="51"/>
      <c r="S265" s="51"/>
      <c r="T265" s="51"/>
    </row>
    <row r="266" spans="1:20" x14ac:dyDescent="0.3">
      <c r="A266" s="48">
        <v>0</v>
      </c>
      <c r="B266" s="49" t="s">
        <v>538</v>
      </c>
      <c r="C266" s="50"/>
      <c r="D266" s="50"/>
      <c r="E266" s="51"/>
      <c r="F266" s="51"/>
      <c r="G266" s="51"/>
      <c r="H266" s="51"/>
      <c r="I266" s="51"/>
      <c r="J266" s="51"/>
      <c r="K266" s="52"/>
      <c r="L266" s="52"/>
      <c r="M266" s="53"/>
      <c r="N266" s="54"/>
      <c r="P266" s="51"/>
      <c r="Q266" s="51"/>
      <c r="R266" s="51"/>
      <c r="S266" s="51"/>
      <c r="T266" s="51"/>
    </row>
    <row r="267" spans="1:20" x14ac:dyDescent="0.3">
      <c r="A267" s="48">
        <v>0</v>
      </c>
      <c r="B267" s="49" t="s">
        <v>539</v>
      </c>
      <c r="C267" s="50"/>
      <c r="D267" s="50"/>
      <c r="E267" s="51"/>
      <c r="F267" s="51"/>
      <c r="G267" s="51"/>
      <c r="H267" s="51"/>
      <c r="I267" s="51"/>
      <c r="J267" s="51"/>
      <c r="K267" s="52"/>
      <c r="L267" s="52"/>
      <c r="M267" s="53"/>
      <c r="N267" s="54"/>
      <c r="P267" s="51"/>
      <c r="Q267" s="51"/>
      <c r="R267" s="51"/>
      <c r="S267" s="51"/>
      <c r="T267" s="51"/>
    </row>
    <row r="268" spans="1:20" x14ac:dyDescent="0.3">
      <c r="A268" s="48">
        <v>0</v>
      </c>
      <c r="B268" s="49" t="s">
        <v>540</v>
      </c>
      <c r="C268" s="50"/>
      <c r="D268" s="50"/>
      <c r="E268" s="51"/>
      <c r="F268" s="51"/>
      <c r="G268" s="51"/>
      <c r="H268" s="51"/>
      <c r="I268" s="51"/>
      <c r="J268" s="51"/>
      <c r="K268" s="52"/>
      <c r="L268" s="52"/>
      <c r="M268" s="53"/>
      <c r="N268" s="54"/>
      <c r="P268" s="51"/>
      <c r="Q268" s="51"/>
      <c r="R268" s="51"/>
      <c r="S268" s="51"/>
      <c r="T268" s="51"/>
    </row>
    <row r="269" spans="1:20" x14ac:dyDescent="0.3">
      <c r="A269" s="48">
        <v>0</v>
      </c>
      <c r="B269" s="49" t="s">
        <v>541</v>
      </c>
      <c r="C269" s="50"/>
      <c r="D269" s="50"/>
      <c r="E269" s="51"/>
      <c r="F269" s="51"/>
      <c r="G269" s="51"/>
      <c r="H269" s="51"/>
      <c r="I269" s="51"/>
      <c r="J269" s="51"/>
      <c r="K269" s="52"/>
      <c r="L269" s="52"/>
      <c r="M269" s="53"/>
      <c r="N269" s="54"/>
      <c r="P269" s="51"/>
      <c r="Q269" s="51"/>
      <c r="R269" s="51"/>
      <c r="S269" s="51"/>
      <c r="T269" s="51"/>
    </row>
    <row r="270" spans="1:20" x14ac:dyDescent="0.3">
      <c r="A270" s="48">
        <v>0</v>
      </c>
      <c r="B270" s="49" t="s">
        <v>542</v>
      </c>
      <c r="C270" s="50"/>
      <c r="D270" s="50"/>
      <c r="E270" s="51"/>
      <c r="F270" s="51"/>
      <c r="G270" s="51"/>
      <c r="H270" s="51"/>
      <c r="I270" s="51"/>
      <c r="J270" s="51"/>
      <c r="K270" s="52"/>
      <c r="L270" s="52"/>
      <c r="M270" s="53"/>
      <c r="N270" s="54"/>
      <c r="P270" s="51"/>
      <c r="Q270" s="51"/>
      <c r="R270" s="51"/>
      <c r="S270" s="51"/>
      <c r="T270" s="51"/>
    </row>
    <row r="271" spans="1:20" x14ac:dyDescent="0.3">
      <c r="A271" s="48">
        <v>0</v>
      </c>
      <c r="B271" s="49" t="s">
        <v>543</v>
      </c>
      <c r="C271" s="50"/>
      <c r="D271" s="50"/>
      <c r="E271" s="51"/>
      <c r="F271" s="51"/>
      <c r="G271" s="51"/>
      <c r="H271" s="51"/>
      <c r="I271" s="51"/>
      <c r="J271" s="51"/>
      <c r="K271" s="52"/>
      <c r="L271" s="52"/>
      <c r="M271" s="53"/>
      <c r="N271" s="54"/>
      <c r="P271" s="51"/>
      <c r="Q271" s="51"/>
      <c r="R271" s="51"/>
      <c r="S271" s="51"/>
      <c r="T271" s="51"/>
    </row>
    <row r="272" spans="1:20" x14ac:dyDescent="0.3">
      <c r="A272" s="48">
        <v>0</v>
      </c>
      <c r="B272" s="49" t="s">
        <v>544</v>
      </c>
      <c r="C272" s="50"/>
      <c r="D272" s="50"/>
      <c r="E272" s="51"/>
      <c r="F272" s="51"/>
      <c r="G272" s="51"/>
      <c r="H272" s="51"/>
      <c r="I272" s="51"/>
      <c r="J272" s="51"/>
      <c r="K272" s="52"/>
      <c r="L272" s="52"/>
      <c r="M272" s="53"/>
      <c r="N272" s="54"/>
      <c r="P272" s="51"/>
      <c r="Q272" s="51"/>
      <c r="R272" s="51"/>
      <c r="S272" s="51"/>
      <c r="T272" s="51"/>
    </row>
    <row r="273" spans="1:20" x14ac:dyDescent="0.3">
      <c r="A273" s="48">
        <v>0</v>
      </c>
      <c r="B273" s="49" t="s">
        <v>545</v>
      </c>
      <c r="C273" s="50"/>
      <c r="D273" s="50"/>
      <c r="E273" s="51"/>
      <c r="F273" s="51"/>
      <c r="G273" s="51"/>
      <c r="H273" s="51"/>
      <c r="I273" s="51"/>
      <c r="J273" s="51"/>
      <c r="K273" s="52"/>
      <c r="L273" s="52"/>
      <c r="M273" s="53"/>
      <c r="N273" s="54"/>
      <c r="P273" s="51"/>
      <c r="Q273" s="51"/>
      <c r="R273" s="51"/>
      <c r="S273" s="51"/>
      <c r="T273" s="51"/>
    </row>
    <row r="274" spans="1:20" x14ac:dyDescent="0.3">
      <c r="A274" s="48">
        <v>0</v>
      </c>
      <c r="B274" s="49" t="s">
        <v>546</v>
      </c>
      <c r="C274" s="50"/>
      <c r="D274" s="50"/>
      <c r="E274" s="51"/>
      <c r="F274" s="51"/>
      <c r="G274" s="51"/>
      <c r="H274" s="51"/>
      <c r="I274" s="51"/>
      <c r="J274" s="51"/>
      <c r="K274" s="52"/>
      <c r="L274" s="52"/>
      <c r="M274" s="53"/>
      <c r="N274" s="54"/>
      <c r="P274" s="51"/>
      <c r="Q274" s="51"/>
      <c r="R274" s="51"/>
      <c r="S274" s="51"/>
      <c r="T274" s="51"/>
    </row>
    <row r="275" spans="1:20" x14ac:dyDescent="0.3">
      <c r="A275" s="48">
        <v>0</v>
      </c>
      <c r="B275" s="49" t="s">
        <v>547</v>
      </c>
      <c r="C275" s="50"/>
      <c r="D275" s="50"/>
      <c r="E275" s="51"/>
      <c r="F275" s="51"/>
      <c r="G275" s="51"/>
      <c r="H275" s="51"/>
      <c r="I275" s="51"/>
      <c r="J275" s="51"/>
      <c r="K275" s="52"/>
      <c r="L275" s="52"/>
      <c r="M275" s="53"/>
      <c r="N275" s="54"/>
      <c r="P275" s="51"/>
      <c r="Q275" s="51"/>
      <c r="R275" s="51"/>
      <c r="S275" s="51"/>
      <c r="T275" s="51"/>
    </row>
    <row r="276" spans="1:20" x14ac:dyDescent="0.3">
      <c r="A276" s="48">
        <v>0</v>
      </c>
      <c r="B276" s="49" t="s">
        <v>548</v>
      </c>
      <c r="C276" s="50"/>
      <c r="D276" s="50"/>
      <c r="E276" s="51"/>
      <c r="F276" s="51"/>
      <c r="G276" s="51"/>
      <c r="H276" s="51"/>
      <c r="I276" s="51"/>
      <c r="J276" s="51"/>
      <c r="K276" s="52"/>
      <c r="L276" s="52"/>
      <c r="M276" s="53"/>
      <c r="N276" s="54"/>
      <c r="P276" s="51"/>
      <c r="Q276" s="51"/>
      <c r="R276" s="51"/>
      <c r="S276" s="51"/>
      <c r="T276" s="51"/>
    </row>
    <row r="277" spans="1:20" x14ac:dyDescent="0.3">
      <c r="A277" s="48">
        <v>0</v>
      </c>
      <c r="B277" s="49" t="s">
        <v>549</v>
      </c>
      <c r="C277" s="50"/>
      <c r="D277" s="50"/>
      <c r="E277" s="51"/>
      <c r="F277" s="51"/>
      <c r="G277" s="51"/>
      <c r="H277" s="51"/>
      <c r="I277" s="51"/>
      <c r="J277" s="51"/>
      <c r="K277" s="52"/>
      <c r="L277" s="52"/>
      <c r="M277" s="53"/>
      <c r="N277" s="54"/>
      <c r="P277" s="51"/>
      <c r="Q277" s="51"/>
      <c r="R277" s="51"/>
      <c r="S277" s="51"/>
      <c r="T277" s="51"/>
    </row>
    <row r="278" spans="1:20" x14ac:dyDescent="0.3">
      <c r="A278" s="48">
        <v>0</v>
      </c>
      <c r="B278" s="49" t="s">
        <v>550</v>
      </c>
      <c r="C278" s="50"/>
      <c r="D278" s="50"/>
      <c r="E278" s="51"/>
      <c r="F278" s="51"/>
      <c r="G278" s="51"/>
      <c r="H278" s="51"/>
      <c r="I278" s="51"/>
      <c r="J278" s="51"/>
      <c r="K278" s="52"/>
      <c r="L278" s="52"/>
      <c r="M278" s="53"/>
      <c r="N278" s="54"/>
      <c r="P278" s="51"/>
      <c r="Q278" s="51"/>
      <c r="R278" s="51"/>
      <c r="S278" s="51"/>
      <c r="T278" s="51"/>
    </row>
    <row r="279" spans="1:20" x14ac:dyDescent="0.3">
      <c r="A279" s="48">
        <v>0</v>
      </c>
      <c r="B279" s="49" t="s">
        <v>551</v>
      </c>
      <c r="C279" s="50"/>
      <c r="D279" s="50"/>
      <c r="E279" s="51"/>
      <c r="F279" s="51"/>
      <c r="G279" s="51"/>
      <c r="H279" s="51"/>
      <c r="I279" s="51"/>
      <c r="J279" s="51"/>
      <c r="K279" s="52"/>
      <c r="L279" s="52"/>
      <c r="M279" s="53"/>
      <c r="N279" s="54"/>
      <c r="P279" s="51"/>
      <c r="Q279" s="51"/>
      <c r="R279" s="51"/>
      <c r="S279" s="51"/>
      <c r="T279" s="51"/>
    </row>
    <row r="280" spans="1:20" x14ac:dyDescent="0.3">
      <c r="A280" s="48">
        <v>0</v>
      </c>
      <c r="B280" s="49" t="s">
        <v>552</v>
      </c>
      <c r="C280" s="50"/>
      <c r="D280" s="50"/>
      <c r="E280" s="51"/>
      <c r="F280" s="51"/>
      <c r="G280" s="51"/>
      <c r="H280" s="51"/>
      <c r="I280" s="51"/>
      <c r="J280" s="51"/>
      <c r="K280" s="52"/>
      <c r="L280" s="52"/>
      <c r="M280" s="53"/>
      <c r="N280" s="54"/>
      <c r="P280" s="51"/>
      <c r="Q280" s="51"/>
      <c r="R280" s="51"/>
      <c r="S280" s="51"/>
      <c r="T280" s="51"/>
    </row>
    <row r="281" spans="1:20" x14ac:dyDescent="0.3">
      <c r="A281" s="48">
        <v>0</v>
      </c>
      <c r="B281" s="49" t="s">
        <v>553</v>
      </c>
      <c r="C281" s="50"/>
      <c r="D281" s="50"/>
      <c r="E281" s="51"/>
      <c r="F281" s="51"/>
      <c r="G281" s="51"/>
      <c r="H281" s="51"/>
      <c r="I281" s="51"/>
      <c r="J281" s="51"/>
      <c r="K281" s="52"/>
      <c r="L281" s="52"/>
      <c r="M281" s="53"/>
      <c r="N281" s="54"/>
      <c r="P281" s="51"/>
      <c r="Q281" s="51"/>
      <c r="R281" s="51"/>
      <c r="S281" s="51"/>
      <c r="T281" s="51"/>
    </row>
    <row r="282" spans="1:20" x14ac:dyDescent="0.3">
      <c r="A282" s="48">
        <v>0</v>
      </c>
      <c r="B282" s="49" t="s">
        <v>554</v>
      </c>
      <c r="C282" s="50"/>
      <c r="D282" s="50"/>
      <c r="E282" s="51"/>
      <c r="F282" s="51"/>
      <c r="G282" s="51"/>
      <c r="H282" s="51"/>
      <c r="I282" s="51"/>
      <c r="J282" s="51"/>
      <c r="K282" s="52"/>
      <c r="L282" s="52"/>
      <c r="M282" s="53"/>
      <c r="N282" s="54"/>
      <c r="P282" s="51"/>
      <c r="Q282" s="51"/>
      <c r="R282" s="51"/>
      <c r="S282" s="51"/>
      <c r="T282" s="51"/>
    </row>
    <row r="283" spans="1:20" x14ac:dyDescent="0.3">
      <c r="A283" s="48">
        <v>0</v>
      </c>
      <c r="B283" s="49" t="s">
        <v>555</v>
      </c>
      <c r="C283" s="50"/>
      <c r="D283" s="50"/>
      <c r="E283" s="51"/>
      <c r="F283" s="51"/>
      <c r="G283" s="51"/>
      <c r="H283" s="51"/>
      <c r="I283" s="51"/>
      <c r="J283" s="51"/>
      <c r="K283" s="52"/>
      <c r="L283" s="52"/>
      <c r="M283" s="53"/>
      <c r="N283" s="54"/>
      <c r="P283" s="51"/>
      <c r="Q283" s="51"/>
      <c r="R283" s="51"/>
      <c r="S283" s="51"/>
      <c r="T283" s="51"/>
    </row>
    <row r="284" spans="1:20" x14ac:dyDescent="0.3">
      <c r="A284" s="48">
        <v>0</v>
      </c>
      <c r="B284" s="49" t="s">
        <v>556</v>
      </c>
      <c r="C284" s="50"/>
      <c r="D284" s="50"/>
      <c r="E284" s="51"/>
      <c r="F284" s="51"/>
      <c r="G284" s="51"/>
      <c r="H284" s="51"/>
      <c r="I284" s="51"/>
      <c r="J284" s="51"/>
      <c r="K284" s="52"/>
      <c r="L284" s="52"/>
      <c r="M284" s="53"/>
      <c r="N284" s="54"/>
      <c r="P284" s="51"/>
      <c r="Q284" s="51"/>
      <c r="R284" s="51"/>
      <c r="S284" s="51"/>
      <c r="T284" s="51"/>
    </row>
    <row r="285" spans="1:20" x14ac:dyDescent="0.3">
      <c r="A285" s="48">
        <v>0</v>
      </c>
      <c r="B285" s="49" t="s">
        <v>557</v>
      </c>
      <c r="C285" s="50"/>
      <c r="D285" s="50"/>
      <c r="E285" s="51"/>
      <c r="F285" s="51"/>
      <c r="G285" s="51"/>
      <c r="H285" s="51"/>
      <c r="I285" s="51"/>
      <c r="J285" s="51"/>
      <c r="K285" s="52"/>
      <c r="L285" s="52"/>
      <c r="M285" s="53"/>
      <c r="N285" s="54"/>
      <c r="P285" s="51"/>
      <c r="Q285" s="51"/>
      <c r="R285" s="51"/>
      <c r="S285" s="51"/>
      <c r="T285" s="51"/>
    </row>
    <row r="286" spans="1:20" x14ac:dyDescent="0.3">
      <c r="A286" s="48">
        <v>0</v>
      </c>
      <c r="B286" s="49" t="s">
        <v>558</v>
      </c>
      <c r="C286" s="50"/>
      <c r="D286" s="50"/>
      <c r="E286" s="51"/>
      <c r="F286" s="51"/>
      <c r="G286" s="51"/>
      <c r="H286" s="51"/>
      <c r="I286" s="51"/>
      <c r="J286" s="51"/>
      <c r="K286" s="52"/>
      <c r="L286" s="52"/>
      <c r="M286" s="53"/>
      <c r="N286" s="54"/>
      <c r="P286" s="51"/>
      <c r="Q286" s="51"/>
      <c r="R286" s="51"/>
      <c r="S286" s="51"/>
      <c r="T286" s="51"/>
    </row>
    <row r="287" spans="1:20" x14ac:dyDescent="0.3">
      <c r="A287" s="48">
        <v>0</v>
      </c>
      <c r="B287" s="49" t="s">
        <v>559</v>
      </c>
      <c r="C287" s="50"/>
      <c r="D287" s="50"/>
      <c r="E287" s="51"/>
      <c r="F287" s="51"/>
      <c r="G287" s="51"/>
      <c r="H287" s="51"/>
      <c r="I287" s="51"/>
      <c r="J287" s="51"/>
      <c r="K287" s="52"/>
      <c r="L287" s="52"/>
      <c r="M287" s="53"/>
      <c r="N287" s="54"/>
      <c r="P287" s="51"/>
      <c r="Q287" s="51"/>
      <c r="R287" s="51"/>
      <c r="S287" s="51"/>
      <c r="T287" s="51"/>
    </row>
    <row r="288" spans="1:20" ht="15" thickBot="1" x14ac:dyDescent="0.35">
      <c r="A288" s="48">
        <v>0</v>
      </c>
      <c r="B288" s="49" t="s">
        <v>560</v>
      </c>
      <c r="C288" s="50"/>
      <c r="D288" s="50"/>
      <c r="E288" s="51"/>
      <c r="F288" s="51"/>
      <c r="G288" s="51"/>
      <c r="H288" s="51"/>
      <c r="I288" s="51"/>
      <c r="J288" s="51"/>
      <c r="K288" s="52"/>
      <c r="L288" s="52"/>
      <c r="M288" s="53"/>
      <c r="N288" s="54"/>
      <c r="P288" s="51"/>
      <c r="Q288" s="51"/>
      <c r="R288" s="51"/>
      <c r="S288" s="51"/>
      <c r="T288" s="51"/>
    </row>
    <row r="289" spans="1:20" ht="15" thickBot="1" x14ac:dyDescent="0.35">
      <c r="A289" s="14"/>
      <c r="B289" s="15" t="s">
        <v>63</v>
      </c>
      <c r="C289" s="15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31"/>
      <c r="P289" s="16"/>
      <c r="Q289" s="16"/>
      <c r="R289" s="16"/>
      <c r="S289" s="16"/>
      <c r="T289" s="16">
        <f>SUM(T5:T88)</f>
        <v>0</v>
      </c>
    </row>
  </sheetData>
  <sheetProtection autoFilter="0"/>
  <sortState xmlns:xlrd2="http://schemas.microsoft.com/office/spreadsheetml/2017/richdata2" ref="A3:M288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F060-66C3-4B34-B1F8-6386A2649D14}">
  <sheetPr codeName="Tabelle19">
    <pageSetUpPr fitToPage="1"/>
  </sheetPr>
  <dimension ref="A1:U289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109375" bestFit="1" customWidth="1"/>
    <col min="7" max="7" width="13.6640625" customWidth="1"/>
    <col min="8" max="8" width="10.88671875" bestFit="1" customWidth="1"/>
    <col min="9" max="9" width="18.109375" bestFit="1" customWidth="1"/>
    <col min="10" max="10" width="13.44140625" bestFit="1" customWidth="1"/>
    <col min="21" max="21" width="11.5546875" style="29"/>
  </cols>
  <sheetData>
    <row r="1" spans="1:21" ht="15" thickBot="1" x14ac:dyDescent="0.35">
      <c r="A1" s="6" t="s">
        <v>759</v>
      </c>
    </row>
    <row r="2" spans="1:21" ht="43.8" thickBot="1" x14ac:dyDescent="0.35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">
      <c r="A3" s="55">
        <v>15</v>
      </c>
      <c r="B3" s="46" t="s">
        <v>489</v>
      </c>
      <c r="C3" s="55"/>
      <c r="D3" s="55"/>
      <c r="E3" s="55"/>
      <c r="F3" s="55"/>
      <c r="G3" s="55"/>
      <c r="H3" s="55"/>
      <c r="I3" s="55"/>
      <c r="J3" s="55"/>
      <c r="K3" s="56"/>
      <c r="L3" s="56"/>
      <c r="M3" s="57"/>
      <c r="N3" s="37"/>
      <c r="O3" s="36"/>
      <c r="P3" s="36"/>
      <c r="Q3" s="36"/>
      <c r="R3" s="36"/>
      <c r="S3" s="36"/>
      <c r="T3" s="36"/>
      <c r="U3" s="38"/>
    </row>
    <row r="4" spans="1:21" x14ac:dyDescent="0.3">
      <c r="A4" s="12">
        <v>9</v>
      </c>
      <c r="B4" s="46" t="s">
        <v>203</v>
      </c>
      <c r="C4" s="12"/>
      <c r="D4" s="12"/>
      <c r="E4" s="23"/>
      <c r="F4" s="23"/>
      <c r="G4" s="24"/>
      <c r="H4" s="12"/>
      <c r="I4" s="12"/>
      <c r="J4" s="12"/>
      <c r="K4" s="12"/>
      <c r="L4" s="12"/>
      <c r="M4" s="26"/>
      <c r="N4" s="25"/>
      <c r="O4" s="35"/>
      <c r="P4" s="35"/>
      <c r="Q4" s="35"/>
      <c r="R4" s="12"/>
      <c r="S4" s="26">
        <f t="shared" ref="S4:S13" si="0">R4+M4</f>
        <v>0</v>
      </c>
      <c r="T4" s="27">
        <f t="shared" ref="T4:T13" si="1">S4*A4</f>
        <v>0</v>
      </c>
      <c r="U4" s="43"/>
    </row>
    <row r="5" spans="1:21" x14ac:dyDescent="0.3">
      <c r="A5" s="12">
        <v>3</v>
      </c>
      <c r="B5" s="46" t="s">
        <v>340</v>
      </c>
      <c r="C5" s="12"/>
      <c r="D5" s="12"/>
      <c r="E5" s="12"/>
      <c r="F5" s="12"/>
      <c r="G5" s="12"/>
      <c r="H5" s="12"/>
      <c r="I5" s="12"/>
      <c r="J5" s="12"/>
      <c r="K5" s="23"/>
      <c r="L5" s="23"/>
      <c r="M5" s="24"/>
      <c r="N5" s="12"/>
      <c r="O5" s="12"/>
      <c r="P5" s="12"/>
      <c r="Q5" s="12"/>
      <c r="R5" s="12"/>
      <c r="S5" s="26">
        <f t="shared" si="0"/>
        <v>0</v>
      </c>
      <c r="T5" s="27">
        <f t="shared" si="1"/>
        <v>0</v>
      </c>
      <c r="U5" s="34"/>
    </row>
    <row r="6" spans="1:21" x14ac:dyDescent="0.3">
      <c r="A6" s="12">
        <v>2</v>
      </c>
      <c r="B6" s="46" t="s">
        <v>206</v>
      </c>
      <c r="C6" s="12"/>
      <c r="D6" s="12"/>
      <c r="E6" s="12"/>
      <c r="F6" s="12"/>
      <c r="G6" s="12"/>
      <c r="H6" s="12"/>
      <c r="I6" s="12"/>
      <c r="J6" s="12"/>
      <c r="K6" s="23"/>
      <c r="L6" s="23"/>
      <c r="M6" s="24"/>
      <c r="N6" s="12"/>
      <c r="O6" s="12"/>
      <c r="P6" s="12"/>
      <c r="Q6" s="12"/>
      <c r="R6" s="12"/>
      <c r="S6" s="26">
        <f t="shared" si="0"/>
        <v>0</v>
      </c>
      <c r="T6" s="27">
        <f t="shared" si="1"/>
        <v>0</v>
      </c>
      <c r="U6" s="34"/>
    </row>
    <row r="7" spans="1:21" x14ac:dyDescent="0.3">
      <c r="A7" s="12">
        <v>2</v>
      </c>
      <c r="B7" s="46" t="s">
        <v>207</v>
      </c>
      <c r="C7" s="12"/>
      <c r="D7" s="12"/>
      <c r="E7" s="12"/>
      <c r="F7" s="12"/>
      <c r="G7" s="12"/>
      <c r="H7" s="12"/>
      <c r="I7" s="12"/>
      <c r="J7" s="12"/>
      <c r="K7" s="23"/>
      <c r="L7" s="23"/>
      <c r="M7" s="24"/>
      <c r="N7" s="12"/>
      <c r="O7" s="12"/>
      <c r="P7" s="12"/>
      <c r="Q7" s="12"/>
      <c r="R7" s="12"/>
      <c r="S7" s="26">
        <f t="shared" si="0"/>
        <v>0</v>
      </c>
      <c r="T7" s="27">
        <f t="shared" si="1"/>
        <v>0</v>
      </c>
      <c r="U7" s="34"/>
    </row>
    <row r="8" spans="1:21" x14ac:dyDescent="0.3">
      <c r="A8" s="12">
        <v>2</v>
      </c>
      <c r="B8" s="46" t="s">
        <v>280</v>
      </c>
      <c r="C8" s="12"/>
      <c r="D8" s="12"/>
      <c r="E8" s="12"/>
      <c r="F8" s="12"/>
      <c r="G8" s="12"/>
      <c r="H8" s="12"/>
      <c r="I8" s="12"/>
      <c r="J8" s="12"/>
      <c r="K8" s="23"/>
      <c r="L8" s="23"/>
      <c r="M8" s="24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">
      <c r="A9" s="12">
        <v>2</v>
      </c>
      <c r="B9" s="46" t="s">
        <v>218</v>
      </c>
      <c r="C9" s="12"/>
      <c r="D9" s="12"/>
      <c r="E9" s="12"/>
      <c r="F9" s="12"/>
      <c r="G9" s="12"/>
      <c r="H9" s="12"/>
      <c r="I9" s="12"/>
      <c r="J9" s="12"/>
      <c r="K9" s="23"/>
      <c r="L9" s="23"/>
      <c r="M9" s="24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">
      <c r="A10" s="12">
        <v>1</v>
      </c>
      <c r="B10" s="46" t="s">
        <v>735</v>
      </c>
      <c r="C10" s="12"/>
      <c r="D10" s="12"/>
      <c r="E10" s="12"/>
      <c r="F10" s="12"/>
      <c r="G10" s="12"/>
      <c r="H10" s="12"/>
      <c r="I10" s="12"/>
      <c r="J10" s="12"/>
      <c r="K10" s="23"/>
      <c r="L10" s="23"/>
      <c r="M10" s="24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">
      <c r="A11" s="12">
        <v>1</v>
      </c>
      <c r="B11" s="46" t="s">
        <v>344</v>
      </c>
      <c r="C11" s="12"/>
      <c r="D11" s="12"/>
      <c r="E11" s="12"/>
      <c r="F11" s="12"/>
      <c r="G11" s="12"/>
      <c r="H11" s="12"/>
      <c r="I11" s="12"/>
      <c r="J11" s="12"/>
      <c r="K11" s="23"/>
      <c r="L11" s="23"/>
      <c r="M11" s="24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">
      <c r="A12" s="12">
        <v>0</v>
      </c>
      <c r="B12" s="46" t="s">
        <v>285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">
      <c r="A13" s="12">
        <v>0</v>
      </c>
      <c r="B13" s="46" t="s">
        <v>208</v>
      </c>
      <c r="C13" s="12"/>
      <c r="D13" s="12"/>
      <c r="E13" s="12"/>
      <c r="F13" s="12"/>
      <c r="G13" s="12"/>
      <c r="H13" s="12"/>
      <c r="I13" s="12"/>
      <c r="J13" s="12"/>
      <c r="K13" s="23"/>
      <c r="L13" s="23"/>
      <c r="M13" s="24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">
      <c r="A14" s="12">
        <v>0</v>
      </c>
      <c r="B14" s="46" t="s">
        <v>205</v>
      </c>
      <c r="C14" s="12"/>
      <c r="D14" s="12"/>
      <c r="E14" s="23"/>
      <c r="F14" s="23"/>
      <c r="G14" s="24"/>
      <c r="H14" s="12"/>
      <c r="I14" s="12"/>
      <c r="J14" s="12"/>
      <c r="K14" s="12"/>
      <c r="L14" s="12"/>
      <c r="M14" s="26"/>
      <c r="N14" s="12"/>
      <c r="O14" s="12"/>
      <c r="P14" s="12"/>
      <c r="Q14" s="12"/>
      <c r="R14" s="12"/>
      <c r="S14" s="26"/>
      <c r="T14" s="27"/>
      <c r="U14" s="43"/>
    </row>
    <row r="15" spans="1:21" x14ac:dyDescent="0.3">
      <c r="A15" s="12">
        <v>0</v>
      </c>
      <c r="B15" s="46" t="s">
        <v>209</v>
      </c>
      <c r="C15" s="12"/>
      <c r="D15" s="12"/>
      <c r="E15" s="23"/>
      <c r="F15" s="23"/>
      <c r="G15" s="24"/>
      <c r="H15" s="12"/>
      <c r="I15" s="12"/>
      <c r="J15" s="12"/>
      <c r="K15" s="12"/>
      <c r="L15" s="12"/>
      <c r="M15" s="26"/>
      <c r="N15" s="12"/>
      <c r="O15" s="12"/>
      <c r="P15" s="12"/>
      <c r="Q15" s="12"/>
      <c r="R15" s="12"/>
      <c r="S15" s="26">
        <f>R15+M15</f>
        <v>0</v>
      </c>
      <c r="T15" s="27">
        <f>S15*A15</f>
        <v>0</v>
      </c>
      <c r="U15" s="30">
        <v>43227</v>
      </c>
    </row>
    <row r="16" spans="1:21" x14ac:dyDescent="0.3">
      <c r="A16" s="12">
        <v>0</v>
      </c>
      <c r="B16" s="46" t="s">
        <v>268</v>
      </c>
      <c r="C16" s="12"/>
      <c r="D16" s="12"/>
      <c r="E16" s="12"/>
      <c r="F16" s="12"/>
      <c r="G16" s="12"/>
      <c r="H16" s="12"/>
      <c r="I16" s="12"/>
      <c r="J16" s="12"/>
      <c r="K16" s="23"/>
      <c r="L16" s="23"/>
      <c r="M16" s="24"/>
      <c r="N16" s="12"/>
      <c r="O16" s="12"/>
      <c r="P16" s="12"/>
      <c r="Q16" s="12"/>
      <c r="R16" s="12"/>
      <c r="S16" s="26">
        <f t="shared" ref="S16:S79" si="2">R16+M16</f>
        <v>0</v>
      </c>
      <c r="T16" s="27">
        <f t="shared" ref="T16:T79" si="3">S16*A16</f>
        <v>0</v>
      </c>
      <c r="U16" s="30"/>
    </row>
    <row r="17" spans="1:21" x14ac:dyDescent="0.3">
      <c r="A17" s="12">
        <v>0</v>
      </c>
      <c r="B17" s="46" t="s">
        <v>341</v>
      </c>
      <c r="C17" s="12"/>
      <c r="D17" s="12"/>
      <c r="E17" s="12"/>
      <c r="F17" s="12"/>
      <c r="G17" s="12"/>
      <c r="H17" s="12"/>
      <c r="I17" s="12"/>
      <c r="J17" s="12"/>
      <c r="K17" s="23"/>
      <c r="L17" s="23"/>
      <c r="M17" s="24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">
      <c r="A18" s="12">
        <v>0</v>
      </c>
      <c r="B18" s="46" t="s">
        <v>297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">
      <c r="A19" s="12">
        <v>0</v>
      </c>
      <c r="B19" s="46" t="s">
        <v>215</v>
      </c>
      <c r="C19" s="12"/>
      <c r="D19" s="12"/>
      <c r="E19" s="12"/>
      <c r="F19" s="12"/>
      <c r="G19" s="12"/>
      <c r="H19" s="12"/>
      <c r="I19" s="12"/>
      <c r="J19" s="12"/>
      <c r="K19" s="23"/>
      <c r="L19" s="23"/>
      <c r="M19" s="24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">
      <c r="A20" s="12">
        <v>0</v>
      </c>
      <c r="B20" s="46" t="s">
        <v>225</v>
      </c>
      <c r="C20" s="12"/>
      <c r="D20" s="12"/>
      <c r="E20" s="23"/>
      <c r="F20" s="23"/>
      <c r="G20" s="24"/>
      <c r="H20" s="12"/>
      <c r="I20" s="12"/>
      <c r="J20" s="12"/>
      <c r="K20" s="12"/>
      <c r="L20" s="12"/>
      <c r="M20" s="26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">
      <c r="A21" s="12">
        <v>0</v>
      </c>
      <c r="B21" s="46" t="s">
        <v>286</v>
      </c>
      <c r="C21" s="12"/>
      <c r="D21" s="12"/>
      <c r="E21" s="12"/>
      <c r="F21" s="12"/>
      <c r="G21" s="12"/>
      <c r="H21" s="12"/>
      <c r="I21" s="12"/>
      <c r="J21" s="12"/>
      <c r="K21" s="23"/>
      <c r="L21" s="23"/>
      <c r="M21" s="24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">
      <c r="A22" s="12">
        <v>0</v>
      </c>
      <c r="B22" s="46" t="s">
        <v>420</v>
      </c>
      <c r="C22" s="12"/>
      <c r="D22" s="12"/>
      <c r="E22" s="12"/>
      <c r="F22" s="12"/>
      <c r="G22" s="12"/>
      <c r="H22" s="12"/>
      <c r="I22" s="12"/>
      <c r="J22" s="12"/>
      <c r="K22" s="23"/>
      <c r="L22" s="23"/>
      <c r="M22" s="24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">
      <c r="A23" s="12">
        <v>0</v>
      </c>
      <c r="B23" s="46" t="s">
        <v>479</v>
      </c>
      <c r="C23" s="12"/>
      <c r="D23" s="12"/>
      <c r="E23" s="12"/>
      <c r="F23" s="12"/>
      <c r="G23" s="12"/>
      <c r="H23" s="12"/>
      <c r="I23" s="12"/>
      <c r="J23" s="12"/>
      <c r="K23" s="23"/>
      <c r="L23" s="23"/>
      <c r="M23" s="24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">
      <c r="A24" s="12">
        <v>0</v>
      </c>
      <c r="B24" s="46" t="s">
        <v>405</v>
      </c>
      <c r="C24" s="12"/>
      <c r="D24" s="12"/>
      <c r="E24" s="12"/>
      <c r="F24" s="12"/>
      <c r="G24" s="12"/>
      <c r="H24" s="12"/>
      <c r="I24" s="12"/>
      <c r="J24" s="12"/>
      <c r="K24" s="23"/>
      <c r="L24" s="23"/>
      <c r="M24" s="24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">
      <c r="A25" s="12">
        <v>0</v>
      </c>
      <c r="B25" s="46" t="s">
        <v>210</v>
      </c>
      <c r="C25" s="12"/>
      <c r="D25" s="12"/>
      <c r="E25" s="23"/>
      <c r="F25" s="23"/>
      <c r="G25" s="24"/>
      <c r="H25" s="12"/>
      <c r="I25" s="12"/>
      <c r="J25" s="12"/>
      <c r="K25" s="12"/>
      <c r="L25" s="12"/>
      <c r="M25" s="26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">
      <c r="A26" s="12">
        <v>0</v>
      </c>
      <c r="B26" s="46" t="s">
        <v>257</v>
      </c>
      <c r="C26" s="12"/>
      <c r="D26" s="12"/>
      <c r="E26" s="12"/>
      <c r="F26" s="12"/>
      <c r="G26" s="12"/>
      <c r="H26" s="12"/>
      <c r="I26" s="12"/>
      <c r="J26" s="12"/>
      <c r="K26" s="23"/>
      <c r="L26" s="23"/>
      <c r="M26" s="24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">
      <c r="A27" s="12">
        <v>0</v>
      </c>
      <c r="B27" s="46" t="s">
        <v>318</v>
      </c>
      <c r="C27" s="12"/>
      <c r="D27" s="12"/>
      <c r="E27" s="12"/>
      <c r="F27" s="12"/>
      <c r="G27" s="12"/>
      <c r="H27" s="12"/>
      <c r="I27" s="12"/>
      <c r="J27" s="12"/>
      <c r="K27" s="23"/>
      <c r="L27" s="23"/>
      <c r="M27" s="24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">
      <c r="A28" s="12">
        <v>0</v>
      </c>
      <c r="B28" s="46" t="s">
        <v>423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">
      <c r="A29" s="12">
        <v>0</v>
      </c>
      <c r="B29" s="46" t="s">
        <v>481</v>
      </c>
      <c r="C29" s="12"/>
      <c r="D29" s="12"/>
      <c r="E29" s="12"/>
      <c r="F29" s="12"/>
      <c r="G29" s="12"/>
      <c r="H29" s="12"/>
      <c r="I29" s="12"/>
      <c r="J29" s="12"/>
      <c r="K29" s="23"/>
      <c r="L29" s="23"/>
      <c r="M29" s="24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">
      <c r="A30" s="12">
        <v>0</v>
      </c>
      <c r="B30" s="46" t="s">
        <v>313</v>
      </c>
      <c r="C30" s="12"/>
      <c r="D30" s="12"/>
      <c r="E30" s="12"/>
      <c r="F30" s="12"/>
      <c r="G30" s="12"/>
      <c r="H30" s="12"/>
      <c r="I30" s="12"/>
      <c r="J30" s="12"/>
      <c r="K30" s="23"/>
      <c r="L30" s="23"/>
      <c r="M30" s="24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">
      <c r="A31" s="12">
        <v>0</v>
      </c>
      <c r="B31" s="46" t="s">
        <v>480</v>
      </c>
      <c r="C31" s="12"/>
      <c r="D31" s="12"/>
      <c r="E31" s="12"/>
      <c r="F31" s="12"/>
      <c r="G31" s="12"/>
      <c r="H31" s="12"/>
      <c r="I31" s="12"/>
      <c r="J31" s="12"/>
      <c r="K31" s="23"/>
      <c r="L31" s="23"/>
      <c r="M31" s="24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">
      <c r="A32" s="12">
        <v>0</v>
      </c>
      <c r="B32" s="46" t="s">
        <v>329</v>
      </c>
      <c r="C32" s="12"/>
      <c r="D32" s="12"/>
      <c r="E32" s="12"/>
      <c r="F32" s="12"/>
      <c r="G32" s="12"/>
      <c r="H32" s="12"/>
      <c r="I32" s="12"/>
      <c r="J32" s="12"/>
      <c r="K32" s="23"/>
      <c r="L32" s="23"/>
      <c r="M32" s="24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">
      <c r="A33" s="12">
        <v>0</v>
      </c>
      <c r="B33" s="46" t="s">
        <v>302</v>
      </c>
      <c r="C33" s="12"/>
      <c r="D33" s="12"/>
      <c r="E33" s="12"/>
      <c r="F33" s="12"/>
      <c r="G33" s="12"/>
      <c r="H33" s="12"/>
      <c r="I33" s="12"/>
      <c r="J33" s="12"/>
      <c r="K33" s="23"/>
      <c r="L33" s="23"/>
      <c r="M33" s="24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">
      <c r="A34" s="12">
        <v>0</v>
      </c>
      <c r="B34" s="46" t="s">
        <v>242</v>
      </c>
      <c r="C34" s="12"/>
      <c r="D34" s="12"/>
      <c r="E34" s="12"/>
      <c r="F34" s="12"/>
      <c r="G34" s="12"/>
      <c r="H34" s="12"/>
      <c r="I34" s="12"/>
      <c r="J34" s="12"/>
      <c r="K34" s="23"/>
      <c r="L34" s="23"/>
      <c r="M34" s="24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">
      <c r="A35" s="12">
        <v>0</v>
      </c>
      <c r="B35" s="46" t="s">
        <v>400</v>
      </c>
      <c r="C35" s="12"/>
      <c r="D35" s="12"/>
      <c r="E35" s="12"/>
      <c r="F35" s="12"/>
      <c r="G35" s="12"/>
      <c r="H35" s="12"/>
      <c r="I35" s="12"/>
      <c r="J35" s="12"/>
      <c r="K35" s="23"/>
      <c r="L35" s="23"/>
      <c r="M35" s="24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">
      <c r="A36" s="35">
        <v>0</v>
      </c>
      <c r="B36" s="46" t="s">
        <v>221</v>
      </c>
      <c r="C36" s="35"/>
      <c r="D36" s="35"/>
      <c r="E36" s="25"/>
      <c r="F36" s="25"/>
      <c r="G36" s="25"/>
      <c r="H36" s="25"/>
      <c r="I36" s="25"/>
      <c r="J36" s="25"/>
      <c r="K36" s="23"/>
      <c r="L36" s="23"/>
      <c r="M36" s="24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">
      <c r="A37" s="12">
        <v>0</v>
      </c>
      <c r="B37" s="46" t="s">
        <v>488</v>
      </c>
      <c r="C37" s="12"/>
      <c r="D37" s="12"/>
      <c r="E37" s="12"/>
      <c r="F37" s="12"/>
      <c r="G37" s="12"/>
      <c r="H37" s="12"/>
      <c r="I37" s="12"/>
      <c r="J37" s="12"/>
      <c r="K37" s="23"/>
      <c r="L37" s="23"/>
      <c r="M37" s="24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">
      <c r="A38" s="12">
        <v>0</v>
      </c>
      <c r="B38" s="46" t="s">
        <v>245</v>
      </c>
      <c r="C38" s="12"/>
      <c r="D38" s="12"/>
      <c r="E38" s="12"/>
      <c r="F38" s="12"/>
      <c r="G38" s="12"/>
      <c r="H38" s="12"/>
      <c r="I38" s="12"/>
      <c r="J38" s="12"/>
      <c r="K38" s="23"/>
      <c r="L38" s="23"/>
      <c r="M38" s="24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">
      <c r="A39" s="35">
        <v>0</v>
      </c>
      <c r="B39" s="46" t="s">
        <v>202</v>
      </c>
      <c r="C39" s="35"/>
      <c r="D39" s="32"/>
      <c r="E39" s="33"/>
      <c r="F39" s="33"/>
      <c r="G39" s="33"/>
      <c r="H39" s="33"/>
      <c r="I39" s="33"/>
      <c r="J39" s="33"/>
      <c r="K39" s="33"/>
      <c r="L39" s="33"/>
      <c r="M39" s="33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">
      <c r="A40" s="12">
        <v>0</v>
      </c>
      <c r="B40" s="12" t="s">
        <v>201</v>
      </c>
      <c r="C40" s="12"/>
      <c r="D40" s="12"/>
      <c r="E40" s="23"/>
      <c r="F40" s="23"/>
      <c r="G40" s="24"/>
      <c r="H40" s="12"/>
      <c r="I40" s="12"/>
      <c r="J40" s="12"/>
      <c r="K40" s="12"/>
      <c r="L40" s="12"/>
      <c r="M40" s="26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">
      <c r="A41" s="12">
        <v>0</v>
      </c>
      <c r="B41" s="46" t="s">
        <v>282</v>
      </c>
      <c r="C41" s="12"/>
      <c r="D41" s="12"/>
      <c r="E41" s="12"/>
      <c r="F41" s="12"/>
      <c r="G41" s="12"/>
      <c r="H41" s="12"/>
      <c r="I41" s="12"/>
      <c r="J41" s="12"/>
      <c r="K41" s="23"/>
      <c r="L41" s="23"/>
      <c r="M41" s="24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">
      <c r="A42" s="12">
        <v>0</v>
      </c>
      <c r="B42" s="46" t="s">
        <v>294</v>
      </c>
      <c r="C42" s="12"/>
      <c r="D42" s="12"/>
      <c r="E42" s="12"/>
      <c r="F42" s="12"/>
      <c r="G42" s="12"/>
      <c r="H42" s="12"/>
      <c r="I42" s="12"/>
      <c r="J42" s="12"/>
      <c r="K42" s="23"/>
      <c r="L42" s="23"/>
      <c r="M42" s="24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">
      <c r="A43" s="12">
        <v>0</v>
      </c>
      <c r="B43" s="46" t="s">
        <v>299</v>
      </c>
      <c r="C43" s="12"/>
      <c r="D43" s="12"/>
      <c r="E43" s="23"/>
      <c r="F43" s="23"/>
      <c r="G43" s="24"/>
      <c r="H43" s="12"/>
      <c r="I43" s="12"/>
      <c r="J43" s="12"/>
      <c r="K43" s="12"/>
      <c r="L43" s="12"/>
      <c r="M43" s="26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">
      <c r="A44" s="12">
        <v>0</v>
      </c>
      <c r="B44" s="12" t="s">
        <v>200</v>
      </c>
      <c r="C44" s="12"/>
      <c r="D44" s="12"/>
      <c r="E44" s="23"/>
      <c r="F44" s="23"/>
      <c r="G44" s="24"/>
      <c r="H44" s="12"/>
      <c r="I44" s="12"/>
      <c r="J44" s="12"/>
      <c r="K44" s="12"/>
      <c r="L44" s="12"/>
      <c r="M44" s="26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">
      <c r="A45" s="12">
        <v>0</v>
      </c>
      <c r="B45" s="46" t="s">
        <v>204</v>
      </c>
      <c r="C45" s="12"/>
      <c r="D45" s="12"/>
      <c r="E45" s="23"/>
      <c r="F45" s="23"/>
      <c r="G45" s="24"/>
      <c r="H45" s="12"/>
      <c r="I45" s="12"/>
      <c r="J45" s="12"/>
      <c r="K45" s="12"/>
      <c r="L45" s="12"/>
      <c r="M45" s="26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">
      <c r="A46" s="12">
        <v>0</v>
      </c>
      <c r="B46" s="46" t="s">
        <v>211</v>
      </c>
      <c r="C46" s="12"/>
      <c r="D46" s="12"/>
      <c r="E46" s="23"/>
      <c r="F46" s="23"/>
      <c r="G46" s="24"/>
      <c r="H46" s="12"/>
      <c r="I46" s="12"/>
      <c r="J46" s="12"/>
      <c r="K46" s="12"/>
      <c r="L46" s="12"/>
      <c r="M46" s="26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">
      <c r="A47" s="12">
        <v>0</v>
      </c>
      <c r="B47" s="46" t="s">
        <v>212</v>
      </c>
      <c r="C47" s="12"/>
      <c r="D47" s="12"/>
      <c r="E47" s="23"/>
      <c r="F47" s="23"/>
      <c r="G47" s="24"/>
      <c r="H47" s="12"/>
      <c r="I47" s="12"/>
      <c r="J47" s="12"/>
      <c r="K47" s="12"/>
      <c r="L47" s="12"/>
      <c r="M47" s="26"/>
      <c r="N47" s="12"/>
      <c r="O47" s="12"/>
      <c r="P47" s="12"/>
      <c r="Q47" s="12"/>
      <c r="R47" s="12"/>
      <c r="S47" s="26">
        <f t="shared" si="2"/>
        <v>0</v>
      </c>
      <c r="T47" s="27">
        <f t="shared" si="3"/>
        <v>0</v>
      </c>
      <c r="U47" s="30"/>
    </row>
    <row r="48" spans="1:21" x14ac:dyDescent="0.3">
      <c r="A48" s="12">
        <v>0</v>
      </c>
      <c r="B48" s="46" t="s">
        <v>213</v>
      </c>
      <c r="C48" s="12"/>
      <c r="D48" s="12"/>
      <c r="E48" s="12"/>
      <c r="F48" s="12"/>
      <c r="G48" s="12"/>
      <c r="H48" s="12"/>
      <c r="I48" s="12"/>
      <c r="J48" s="12"/>
      <c r="K48" s="23"/>
      <c r="L48" s="23"/>
      <c r="M48" s="24"/>
      <c r="N48" s="12"/>
      <c r="O48" s="12"/>
      <c r="P48" s="12"/>
      <c r="Q48" s="12"/>
      <c r="R48" s="12"/>
      <c r="S48" s="26">
        <f t="shared" si="2"/>
        <v>0</v>
      </c>
      <c r="T48" s="27">
        <f t="shared" si="3"/>
        <v>0</v>
      </c>
      <c r="U48" s="30"/>
    </row>
    <row r="49" spans="1:21" x14ac:dyDescent="0.3">
      <c r="A49" s="35">
        <v>0</v>
      </c>
      <c r="B49" s="46" t="s">
        <v>214</v>
      </c>
      <c r="C49" s="35"/>
      <c r="D49" s="35"/>
      <c r="E49" s="25"/>
      <c r="F49" s="25"/>
      <c r="G49" s="25"/>
      <c r="H49" s="25"/>
      <c r="I49" s="25"/>
      <c r="J49" s="25"/>
      <c r="K49" s="23"/>
      <c r="L49" s="23"/>
      <c r="M49" s="24"/>
      <c r="N49" s="12"/>
      <c r="O49" s="12"/>
      <c r="P49" s="12"/>
      <c r="Q49" s="12"/>
      <c r="R49" s="12"/>
      <c r="S49" s="26">
        <f t="shared" si="2"/>
        <v>0</v>
      </c>
      <c r="T49" s="27">
        <f t="shared" si="3"/>
        <v>0</v>
      </c>
      <c r="U49" s="30"/>
    </row>
    <row r="50" spans="1:21" x14ac:dyDescent="0.3">
      <c r="A50" s="12">
        <v>0</v>
      </c>
      <c r="B50" s="46" t="s">
        <v>216</v>
      </c>
      <c r="C50" s="12"/>
      <c r="D50" s="12"/>
      <c r="E50" s="23"/>
      <c r="F50" s="23"/>
      <c r="G50" s="24"/>
      <c r="H50" s="12"/>
      <c r="I50" s="12"/>
      <c r="J50" s="12"/>
      <c r="K50" s="12"/>
      <c r="L50" s="12"/>
      <c r="M50" s="26"/>
      <c r="N50" s="12"/>
      <c r="O50" s="12"/>
      <c r="P50" s="12"/>
      <c r="Q50" s="12"/>
      <c r="R50" s="12"/>
      <c r="S50" s="26">
        <f t="shared" si="2"/>
        <v>0</v>
      </c>
      <c r="T50" s="27">
        <f t="shared" si="3"/>
        <v>0</v>
      </c>
      <c r="U50" s="30"/>
    </row>
    <row r="51" spans="1:21" x14ac:dyDescent="0.3">
      <c r="A51" s="12">
        <v>0</v>
      </c>
      <c r="B51" s="46" t="s">
        <v>217</v>
      </c>
      <c r="C51" s="12"/>
      <c r="D51" s="12"/>
      <c r="E51" s="23"/>
      <c r="F51" s="23"/>
      <c r="G51" s="24"/>
      <c r="H51" s="12"/>
      <c r="I51" s="12"/>
      <c r="J51" s="12"/>
      <c r="K51" s="12"/>
      <c r="L51" s="12"/>
      <c r="M51" s="26"/>
      <c r="N51" s="12"/>
      <c r="O51" s="12"/>
      <c r="P51" s="12"/>
      <c r="Q51" s="12"/>
      <c r="R51" s="12"/>
      <c r="S51" s="26">
        <f t="shared" si="2"/>
        <v>0</v>
      </c>
      <c r="T51" s="27">
        <f t="shared" si="3"/>
        <v>0</v>
      </c>
      <c r="U51" s="30"/>
    </row>
    <row r="52" spans="1:21" x14ac:dyDescent="0.3">
      <c r="A52" s="12">
        <v>0</v>
      </c>
      <c r="B52" s="46" t="s">
        <v>219</v>
      </c>
      <c r="C52" s="12"/>
      <c r="D52" s="12"/>
      <c r="E52" s="12"/>
      <c r="F52" s="12"/>
      <c r="G52" s="12"/>
      <c r="H52" s="12"/>
      <c r="I52" s="12"/>
      <c r="J52" s="12"/>
      <c r="K52" s="23"/>
      <c r="L52" s="23"/>
      <c r="M52" s="24"/>
      <c r="N52" s="12"/>
      <c r="O52" s="12"/>
      <c r="P52" s="12"/>
      <c r="Q52" s="12"/>
      <c r="R52" s="12"/>
      <c r="S52" s="26">
        <f t="shared" si="2"/>
        <v>0</v>
      </c>
      <c r="T52" s="27">
        <f t="shared" si="3"/>
        <v>0</v>
      </c>
      <c r="U52" s="30"/>
    </row>
    <row r="53" spans="1:21" x14ac:dyDescent="0.3">
      <c r="A53" s="35">
        <v>0</v>
      </c>
      <c r="B53" s="46" t="s">
        <v>220</v>
      </c>
      <c r="C53" s="35"/>
      <c r="D53" s="32"/>
      <c r="E53" s="33"/>
      <c r="F53" s="33"/>
      <c r="G53" s="33"/>
      <c r="H53" s="33"/>
      <c r="I53" s="33"/>
      <c r="J53" s="33"/>
      <c r="K53" s="33"/>
      <c r="L53" s="33"/>
      <c r="M53" s="33"/>
      <c r="N53" s="12"/>
      <c r="O53" s="12"/>
      <c r="P53" s="12"/>
      <c r="Q53" s="12"/>
      <c r="R53" s="12"/>
      <c r="S53" s="26">
        <f t="shared" si="2"/>
        <v>0</v>
      </c>
      <c r="T53" s="27">
        <f t="shared" si="3"/>
        <v>0</v>
      </c>
      <c r="U53" s="30"/>
    </row>
    <row r="54" spans="1:21" x14ac:dyDescent="0.3">
      <c r="A54" s="12">
        <v>0</v>
      </c>
      <c r="B54" s="46" t="s">
        <v>222</v>
      </c>
      <c r="C54" s="12"/>
      <c r="D54" s="12"/>
      <c r="E54" s="23"/>
      <c r="F54" s="23"/>
      <c r="G54" s="24"/>
      <c r="H54" s="12"/>
      <c r="I54" s="12"/>
      <c r="J54" s="12"/>
      <c r="K54" s="12"/>
      <c r="L54" s="12"/>
      <c r="M54" s="26"/>
      <c r="N54" s="12"/>
      <c r="O54" s="12"/>
      <c r="P54" s="12"/>
      <c r="Q54" s="12"/>
      <c r="R54" s="12"/>
      <c r="S54" s="26">
        <f t="shared" si="2"/>
        <v>0</v>
      </c>
      <c r="T54" s="27">
        <f t="shared" si="3"/>
        <v>0</v>
      </c>
      <c r="U54" s="30"/>
    </row>
    <row r="55" spans="1:21" x14ac:dyDescent="0.3">
      <c r="A55" s="12">
        <v>0</v>
      </c>
      <c r="B55" s="46" t="s">
        <v>223</v>
      </c>
      <c r="C55" s="12"/>
      <c r="D55" s="12"/>
      <c r="E55" s="12"/>
      <c r="F55" s="12"/>
      <c r="G55" s="12"/>
      <c r="H55" s="12"/>
      <c r="I55" s="12"/>
      <c r="J55" s="12"/>
      <c r="K55" s="23"/>
      <c r="L55" s="23"/>
      <c r="M55" s="24"/>
      <c r="N55" s="12"/>
      <c r="O55" s="12"/>
      <c r="P55" s="12"/>
      <c r="Q55" s="12"/>
      <c r="R55" s="12"/>
      <c r="S55" s="26">
        <f t="shared" si="2"/>
        <v>0</v>
      </c>
      <c r="T55" s="27">
        <f t="shared" si="3"/>
        <v>0</v>
      </c>
      <c r="U55" s="30"/>
    </row>
    <row r="56" spans="1:21" x14ac:dyDescent="0.3">
      <c r="A56" s="35">
        <v>0</v>
      </c>
      <c r="B56" s="46" t="s">
        <v>224</v>
      </c>
      <c r="C56" s="35"/>
      <c r="D56" s="35"/>
      <c r="E56" s="25"/>
      <c r="F56" s="25"/>
      <c r="G56" s="25"/>
      <c r="H56" s="25"/>
      <c r="I56" s="25"/>
      <c r="J56" s="25"/>
      <c r="K56" s="23"/>
      <c r="L56" s="23"/>
      <c r="M56" s="24"/>
      <c r="N56" s="12"/>
      <c r="O56" s="12"/>
      <c r="P56" s="12"/>
      <c r="Q56" s="12"/>
      <c r="R56" s="12"/>
      <c r="S56" s="26">
        <f t="shared" si="2"/>
        <v>0</v>
      </c>
      <c r="T56" s="27">
        <f t="shared" si="3"/>
        <v>0</v>
      </c>
      <c r="U56" s="30"/>
    </row>
    <row r="57" spans="1:21" x14ac:dyDescent="0.3">
      <c r="A57" s="12">
        <v>0</v>
      </c>
      <c r="B57" s="46" t="s">
        <v>226</v>
      </c>
      <c r="C57" s="12"/>
      <c r="D57" s="12"/>
      <c r="E57" s="23"/>
      <c r="F57" s="23"/>
      <c r="G57" s="24"/>
      <c r="H57" s="12"/>
      <c r="I57" s="12"/>
      <c r="J57" s="12"/>
      <c r="K57" s="12"/>
      <c r="L57" s="12"/>
      <c r="M57" s="26"/>
      <c r="N57" s="12"/>
      <c r="O57" s="12"/>
      <c r="P57" s="12"/>
      <c r="Q57" s="12"/>
      <c r="R57" s="12"/>
      <c r="S57" s="26">
        <f t="shared" si="2"/>
        <v>0</v>
      </c>
      <c r="T57" s="27">
        <f t="shared" si="3"/>
        <v>0</v>
      </c>
      <c r="U57" s="30"/>
    </row>
    <row r="58" spans="1:21" x14ac:dyDescent="0.3">
      <c r="A58" s="12">
        <v>0</v>
      </c>
      <c r="B58" s="46" t="s">
        <v>227</v>
      </c>
      <c r="C58" s="12"/>
      <c r="D58" s="12"/>
      <c r="E58" s="12"/>
      <c r="F58" s="12"/>
      <c r="G58" s="12"/>
      <c r="H58" s="12"/>
      <c r="I58" s="12"/>
      <c r="J58" s="12"/>
      <c r="K58" s="23"/>
      <c r="L58" s="23"/>
      <c r="M58" s="24"/>
      <c r="N58" s="12"/>
      <c r="O58" s="12"/>
      <c r="P58" s="12"/>
      <c r="Q58" s="12"/>
      <c r="R58" s="12"/>
      <c r="S58" s="26">
        <f t="shared" si="2"/>
        <v>0</v>
      </c>
      <c r="T58" s="27">
        <f t="shared" si="3"/>
        <v>0</v>
      </c>
      <c r="U58" s="30"/>
    </row>
    <row r="59" spans="1:21" x14ac:dyDescent="0.3">
      <c r="A59" s="12">
        <v>0</v>
      </c>
      <c r="B59" s="46" t="s">
        <v>228</v>
      </c>
      <c r="C59" s="12"/>
      <c r="D59" s="12"/>
      <c r="E59" s="12"/>
      <c r="F59" s="12"/>
      <c r="G59" s="12"/>
      <c r="H59" s="12"/>
      <c r="I59" s="12"/>
      <c r="J59" s="12"/>
      <c r="K59" s="23"/>
      <c r="L59" s="23"/>
      <c r="M59" s="24"/>
      <c r="N59" s="12"/>
      <c r="O59" s="12"/>
      <c r="P59" s="12"/>
      <c r="Q59" s="12"/>
      <c r="R59" s="12"/>
      <c r="S59" s="26">
        <f t="shared" si="2"/>
        <v>0</v>
      </c>
      <c r="T59" s="27">
        <f t="shared" si="3"/>
        <v>0</v>
      </c>
      <c r="U59" s="30"/>
    </row>
    <row r="60" spans="1:21" x14ac:dyDescent="0.3">
      <c r="A60" s="12">
        <v>0</v>
      </c>
      <c r="B60" s="46" t="s">
        <v>229</v>
      </c>
      <c r="C60" s="12"/>
      <c r="D60" s="12"/>
      <c r="E60" s="12"/>
      <c r="F60" s="12"/>
      <c r="G60" s="12"/>
      <c r="H60" s="12"/>
      <c r="I60" s="12"/>
      <c r="J60" s="12"/>
      <c r="K60" s="23"/>
      <c r="L60" s="23"/>
      <c r="M60" s="24"/>
      <c r="N60" s="12"/>
      <c r="O60" s="12"/>
      <c r="P60" s="12"/>
      <c r="Q60" s="12"/>
      <c r="R60" s="12"/>
      <c r="S60" s="26">
        <f t="shared" si="2"/>
        <v>0</v>
      </c>
      <c r="T60" s="27">
        <f t="shared" si="3"/>
        <v>0</v>
      </c>
      <c r="U60" s="30"/>
    </row>
    <row r="61" spans="1:21" x14ac:dyDescent="0.3">
      <c r="A61" s="35">
        <v>0</v>
      </c>
      <c r="B61" s="46" t="s">
        <v>230</v>
      </c>
      <c r="C61" s="35"/>
      <c r="D61" s="35"/>
      <c r="E61" s="25"/>
      <c r="F61" s="25"/>
      <c r="G61" s="25"/>
      <c r="H61" s="25"/>
      <c r="I61" s="25"/>
      <c r="J61" s="25"/>
      <c r="K61" s="23"/>
      <c r="L61" s="23"/>
      <c r="M61" s="24"/>
      <c r="N61" s="12"/>
      <c r="O61" s="12"/>
      <c r="P61" s="12"/>
      <c r="Q61" s="12"/>
      <c r="R61" s="12"/>
      <c r="S61" s="26">
        <f t="shared" si="2"/>
        <v>0</v>
      </c>
      <c r="T61" s="27">
        <f t="shared" si="3"/>
        <v>0</v>
      </c>
      <c r="U61" s="30"/>
    </row>
    <row r="62" spans="1:21" x14ac:dyDescent="0.3">
      <c r="A62" s="35">
        <v>0</v>
      </c>
      <c r="B62" s="46" t="s">
        <v>231</v>
      </c>
      <c r="C62" s="35"/>
      <c r="D62" s="35"/>
      <c r="E62" s="25"/>
      <c r="F62" s="25"/>
      <c r="G62" s="25"/>
      <c r="H62" s="25"/>
      <c r="I62" s="25"/>
      <c r="J62" s="25"/>
      <c r="K62" s="23"/>
      <c r="L62" s="23"/>
      <c r="M62" s="24"/>
      <c r="N62" s="12"/>
      <c r="O62" s="12"/>
      <c r="P62" s="12"/>
      <c r="Q62" s="12"/>
      <c r="R62" s="12"/>
      <c r="S62" s="26">
        <f t="shared" si="2"/>
        <v>0</v>
      </c>
      <c r="T62" s="27">
        <f t="shared" si="3"/>
        <v>0</v>
      </c>
      <c r="U62" s="30"/>
    </row>
    <row r="63" spans="1:21" x14ac:dyDescent="0.3">
      <c r="A63" s="35">
        <v>0</v>
      </c>
      <c r="B63" s="46" t="s">
        <v>232</v>
      </c>
      <c r="C63" s="35"/>
      <c r="D63" s="35"/>
      <c r="E63" s="25"/>
      <c r="F63" s="25"/>
      <c r="G63" s="25"/>
      <c r="H63" s="25"/>
      <c r="I63" s="25"/>
      <c r="J63" s="25"/>
      <c r="K63" s="23"/>
      <c r="L63" s="23"/>
      <c r="M63" s="24"/>
      <c r="N63" s="12"/>
      <c r="O63" s="12"/>
      <c r="P63" s="12"/>
      <c r="Q63" s="12"/>
      <c r="R63" s="12"/>
      <c r="S63" s="26">
        <f t="shared" si="2"/>
        <v>0</v>
      </c>
      <c r="T63" s="27">
        <f t="shared" si="3"/>
        <v>0</v>
      </c>
      <c r="U63" s="30"/>
    </row>
    <row r="64" spans="1:21" x14ac:dyDescent="0.3">
      <c r="A64" s="12">
        <v>0</v>
      </c>
      <c r="B64" s="46" t="s">
        <v>233</v>
      </c>
      <c r="C64" s="12"/>
      <c r="D64" s="12"/>
      <c r="E64" s="12"/>
      <c r="F64" s="12"/>
      <c r="G64" s="12"/>
      <c r="H64" s="12"/>
      <c r="I64" s="12"/>
      <c r="J64" s="12"/>
      <c r="K64" s="23"/>
      <c r="L64" s="23"/>
      <c r="M64" s="24"/>
      <c r="N64" s="12"/>
      <c r="O64" s="12"/>
      <c r="P64" s="12"/>
      <c r="Q64" s="12"/>
      <c r="R64" s="12"/>
      <c r="S64" s="26">
        <f t="shared" si="2"/>
        <v>0</v>
      </c>
      <c r="T64" s="27">
        <f t="shared" si="3"/>
        <v>0</v>
      </c>
      <c r="U64" s="30"/>
    </row>
    <row r="65" spans="1:21" x14ac:dyDescent="0.3">
      <c r="A65" s="12">
        <v>0</v>
      </c>
      <c r="B65" s="46" t="s">
        <v>234</v>
      </c>
      <c r="C65" s="12"/>
      <c r="D65" s="12"/>
      <c r="E65" s="12"/>
      <c r="F65" s="12"/>
      <c r="G65" s="12"/>
      <c r="H65" s="12"/>
      <c r="I65" s="12"/>
      <c r="J65" s="12"/>
      <c r="K65" s="23"/>
      <c r="L65" s="23"/>
      <c r="M65" s="24"/>
      <c r="N65" s="12"/>
      <c r="O65" s="12"/>
      <c r="P65" s="12"/>
      <c r="Q65" s="12"/>
      <c r="R65" s="12"/>
      <c r="S65" s="26">
        <f t="shared" si="2"/>
        <v>0</v>
      </c>
      <c r="T65" s="27">
        <f t="shared" si="3"/>
        <v>0</v>
      </c>
      <c r="U65" s="30"/>
    </row>
    <row r="66" spans="1:21" x14ac:dyDescent="0.3">
      <c r="A66" s="35">
        <v>0</v>
      </c>
      <c r="B66" s="46" t="s">
        <v>235</v>
      </c>
      <c r="C66" s="35"/>
      <c r="D66" s="35"/>
      <c r="E66" s="25"/>
      <c r="F66" s="25"/>
      <c r="G66" s="25"/>
      <c r="H66" s="25"/>
      <c r="I66" s="25"/>
      <c r="J66" s="25"/>
      <c r="K66" s="23"/>
      <c r="L66" s="23"/>
      <c r="M66" s="24"/>
      <c r="N66" s="12"/>
      <c r="O66" s="12"/>
      <c r="P66" s="12"/>
      <c r="Q66" s="12"/>
      <c r="R66" s="12"/>
      <c r="S66" s="26">
        <f t="shared" si="2"/>
        <v>0</v>
      </c>
      <c r="T66" s="27">
        <f t="shared" si="3"/>
        <v>0</v>
      </c>
      <c r="U66" s="30"/>
    </row>
    <row r="67" spans="1:21" x14ac:dyDescent="0.3">
      <c r="A67" s="35">
        <v>0</v>
      </c>
      <c r="B67" s="46" t="s">
        <v>236</v>
      </c>
      <c r="C67" s="35"/>
      <c r="D67" s="35"/>
      <c r="E67" s="25"/>
      <c r="F67" s="25"/>
      <c r="G67" s="25"/>
      <c r="H67" s="25"/>
      <c r="I67" s="25"/>
      <c r="J67" s="25"/>
      <c r="K67" s="23"/>
      <c r="L67" s="23"/>
      <c r="M67" s="24"/>
      <c r="N67" s="12"/>
      <c r="O67" s="12"/>
      <c r="P67" s="12"/>
      <c r="Q67" s="12"/>
      <c r="R67" s="12"/>
      <c r="S67" s="26">
        <f t="shared" si="2"/>
        <v>0</v>
      </c>
      <c r="T67" s="27">
        <f t="shared" si="3"/>
        <v>0</v>
      </c>
      <c r="U67" s="30"/>
    </row>
    <row r="68" spans="1:21" x14ac:dyDescent="0.3">
      <c r="A68" s="35">
        <v>0</v>
      </c>
      <c r="B68" s="46" t="s">
        <v>237</v>
      </c>
      <c r="C68" s="35"/>
      <c r="D68" s="35"/>
      <c r="E68" s="25"/>
      <c r="F68" s="25"/>
      <c r="G68" s="25"/>
      <c r="H68" s="25"/>
      <c r="I68" s="25"/>
      <c r="J68" s="25"/>
      <c r="K68" s="23"/>
      <c r="L68" s="23"/>
      <c r="M68" s="24"/>
      <c r="N68" s="12"/>
      <c r="O68" s="12"/>
      <c r="P68" s="12"/>
      <c r="Q68" s="12"/>
      <c r="R68" s="12"/>
      <c r="S68" s="26">
        <f t="shared" si="2"/>
        <v>0</v>
      </c>
      <c r="T68" s="27">
        <f t="shared" si="3"/>
        <v>0</v>
      </c>
      <c r="U68" s="30"/>
    </row>
    <row r="69" spans="1:21" x14ac:dyDescent="0.3">
      <c r="A69" s="35">
        <v>0</v>
      </c>
      <c r="B69" s="46" t="s">
        <v>238</v>
      </c>
      <c r="C69" s="35"/>
      <c r="D69" s="35"/>
      <c r="E69" s="25"/>
      <c r="F69" s="25"/>
      <c r="G69" s="25"/>
      <c r="H69" s="25"/>
      <c r="I69" s="25"/>
      <c r="J69" s="25"/>
      <c r="K69" s="23"/>
      <c r="L69" s="23"/>
      <c r="M69" s="24"/>
      <c r="N69" s="12"/>
      <c r="O69" s="12"/>
      <c r="P69" s="12"/>
      <c r="Q69" s="12"/>
      <c r="R69" s="12"/>
      <c r="S69" s="26">
        <f t="shared" si="2"/>
        <v>0</v>
      </c>
      <c r="T69" s="27">
        <f t="shared" si="3"/>
        <v>0</v>
      </c>
      <c r="U69" s="30"/>
    </row>
    <row r="70" spans="1:21" x14ac:dyDescent="0.3">
      <c r="A70" s="12">
        <v>0</v>
      </c>
      <c r="B70" s="46" t="s">
        <v>239</v>
      </c>
      <c r="C70" s="12"/>
      <c r="D70" s="12"/>
      <c r="E70" s="12"/>
      <c r="F70" s="12"/>
      <c r="G70" s="12"/>
      <c r="H70" s="12"/>
      <c r="I70" s="12"/>
      <c r="J70" s="12"/>
      <c r="K70" s="23"/>
      <c r="L70" s="23"/>
      <c r="M70" s="24"/>
      <c r="N70" s="12"/>
      <c r="O70" s="12"/>
      <c r="P70" s="12"/>
      <c r="Q70" s="12"/>
      <c r="R70" s="12"/>
      <c r="S70" s="26">
        <f t="shared" si="2"/>
        <v>0</v>
      </c>
      <c r="T70" s="27">
        <f t="shared" si="3"/>
        <v>0</v>
      </c>
      <c r="U70" s="30"/>
    </row>
    <row r="71" spans="1:21" x14ac:dyDescent="0.3">
      <c r="A71" s="12">
        <v>0</v>
      </c>
      <c r="B71" s="46" t="s">
        <v>240</v>
      </c>
      <c r="C71" s="12"/>
      <c r="D71" s="12"/>
      <c r="E71" s="12"/>
      <c r="F71" s="12"/>
      <c r="G71" s="12"/>
      <c r="H71" s="12"/>
      <c r="I71" s="12"/>
      <c r="J71" s="12"/>
      <c r="K71" s="23"/>
      <c r="L71" s="23"/>
      <c r="M71" s="24"/>
      <c r="N71" s="12"/>
      <c r="O71" s="12"/>
      <c r="P71" s="12"/>
      <c r="Q71" s="12"/>
      <c r="R71" s="12"/>
      <c r="S71" s="26">
        <f t="shared" si="2"/>
        <v>0</v>
      </c>
      <c r="T71" s="27">
        <f t="shared" si="3"/>
        <v>0</v>
      </c>
      <c r="U71" s="30"/>
    </row>
    <row r="72" spans="1:21" x14ac:dyDescent="0.3">
      <c r="A72" s="12">
        <v>0</v>
      </c>
      <c r="B72" s="46" t="s">
        <v>241</v>
      </c>
      <c r="C72" s="12"/>
      <c r="D72" s="12"/>
      <c r="E72" s="12"/>
      <c r="F72" s="12"/>
      <c r="G72" s="28"/>
      <c r="H72" s="12"/>
      <c r="I72" s="12"/>
      <c r="J72" s="12"/>
      <c r="K72" s="23"/>
      <c r="L72" s="23"/>
      <c r="M72" s="24"/>
      <c r="N72" s="12"/>
      <c r="O72" s="12"/>
      <c r="P72" s="12"/>
      <c r="Q72" s="12"/>
      <c r="R72" s="12"/>
      <c r="S72" s="26">
        <f t="shared" si="2"/>
        <v>0</v>
      </c>
      <c r="T72" s="27">
        <f t="shared" si="3"/>
        <v>0</v>
      </c>
      <c r="U72" s="30"/>
    </row>
    <row r="73" spans="1:21" x14ac:dyDescent="0.3">
      <c r="A73" s="12">
        <v>0</v>
      </c>
      <c r="B73" s="46" t="s">
        <v>243</v>
      </c>
      <c r="C73" s="12"/>
      <c r="D73" s="12"/>
      <c r="E73" s="12"/>
      <c r="F73" s="12"/>
      <c r="G73" s="12"/>
      <c r="H73" s="12"/>
      <c r="I73" s="12"/>
      <c r="J73" s="12"/>
      <c r="K73" s="23"/>
      <c r="L73" s="23"/>
      <c r="M73" s="24"/>
      <c r="N73" s="12"/>
      <c r="O73" s="12"/>
      <c r="P73" s="12"/>
      <c r="Q73" s="12"/>
      <c r="R73" s="12"/>
      <c r="S73" s="26">
        <f t="shared" si="2"/>
        <v>0</v>
      </c>
      <c r="T73" s="27">
        <f t="shared" si="3"/>
        <v>0</v>
      </c>
      <c r="U73" s="30"/>
    </row>
    <row r="74" spans="1:21" x14ac:dyDescent="0.3">
      <c r="A74" s="12">
        <v>0</v>
      </c>
      <c r="B74" s="46" t="s">
        <v>244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2"/>
        <v>0</v>
      </c>
      <c r="T74" s="27">
        <f t="shared" si="3"/>
        <v>0</v>
      </c>
      <c r="U74" s="30"/>
    </row>
    <row r="75" spans="1:21" x14ac:dyDescent="0.3">
      <c r="A75" s="12">
        <v>0</v>
      </c>
      <c r="B75" s="46" t="s">
        <v>246</v>
      </c>
      <c r="C75" s="12"/>
      <c r="D75" s="12"/>
      <c r="E75" s="12"/>
      <c r="F75" s="12"/>
      <c r="G75" s="12"/>
      <c r="H75" s="12"/>
      <c r="I75" s="12"/>
      <c r="J75" s="12"/>
      <c r="K75" s="23"/>
      <c r="L75" s="23"/>
      <c r="M75" s="24"/>
      <c r="N75" s="12"/>
      <c r="O75" s="12"/>
      <c r="P75" s="12"/>
      <c r="Q75" s="12"/>
      <c r="R75" s="12"/>
      <c r="S75" s="26">
        <f t="shared" si="2"/>
        <v>0</v>
      </c>
      <c r="T75" s="27">
        <f t="shared" si="3"/>
        <v>0</v>
      </c>
      <c r="U75" s="30"/>
    </row>
    <row r="76" spans="1:21" x14ac:dyDescent="0.3">
      <c r="A76" s="12">
        <v>0</v>
      </c>
      <c r="B76" s="46" t="s">
        <v>247</v>
      </c>
      <c r="C76" s="12"/>
      <c r="D76" s="12"/>
      <c r="E76" s="12"/>
      <c r="F76" s="12"/>
      <c r="G76" s="12"/>
      <c r="H76" s="12"/>
      <c r="I76" s="12"/>
      <c r="J76" s="12"/>
      <c r="K76" s="23"/>
      <c r="L76" s="23"/>
      <c r="M76" s="24"/>
      <c r="N76" s="12"/>
      <c r="O76" s="12"/>
      <c r="P76" s="12"/>
      <c r="Q76" s="12"/>
      <c r="R76" s="12"/>
      <c r="S76" s="26">
        <f t="shared" si="2"/>
        <v>0</v>
      </c>
      <c r="T76" s="27">
        <f t="shared" si="3"/>
        <v>0</v>
      </c>
      <c r="U76" s="30"/>
    </row>
    <row r="77" spans="1:21" x14ac:dyDescent="0.3">
      <c r="A77" s="12">
        <v>0</v>
      </c>
      <c r="B77" s="46" t="s">
        <v>248</v>
      </c>
      <c r="C77" s="12"/>
      <c r="D77" s="12"/>
      <c r="E77" s="12"/>
      <c r="F77" s="12"/>
      <c r="G77" s="12"/>
      <c r="H77" s="12"/>
      <c r="I77" s="12"/>
      <c r="J77" s="12"/>
      <c r="K77" s="23"/>
      <c r="L77" s="23"/>
      <c r="M77" s="24"/>
      <c r="N77" s="12"/>
      <c r="O77" s="12"/>
      <c r="P77" s="12"/>
      <c r="Q77" s="12"/>
      <c r="R77" s="12"/>
      <c r="S77" s="26">
        <f t="shared" si="2"/>
        <v>0</v>
      </c>
      <c r="T77" s="27">
        <f t="shared" si="3"/>
        <v>0</v>
      </c>
      <c r="U77" s="30"/>
    </row>
    <row r="78" spans="1:21" x14ac:dyDescent="0.3">
      <c r="A78" s="12">
        <v>0</v>
      </c>
      <c r="B78" s="46" t="s">
        <v>249</v>
      </c>
      <c r="C78" s="12"/>
      <c r="D78" s="12"/>
      <c r="E78" s="12"/>
      <c r="F78" s="12"/>
      <c r="G78" s="12"/>
      <c r="H78" s="12"/>
      <c r="I78" s="12"/>
      <c r="J78" s="12"/>
      <c r="K78" s="23"/>
      <c r="L78" s="23"/>
      <c r="M78" s="24"/>
      <c r="N78" s="12"/>
      <c r="O78" s="12"/>
      <c r="P78" s="12"/>
      <c r="Q78" s="12"/>
      <c r="R78" s="12"/>
      <c r="S78" s="26">
        <f t="shared" si="2"/>
        <v>0</v>
      </c>
      <c r="T78" s="27">
        <f t="shared" si="3"/>
        <v>0</v>
      </c>
      <c r="U78" s="30"/>
    </row>
    <row r="79" spans="1:21" x14ac:dyDescent="0.3">
      <c r="A79" s="12">
        <v>0</v>
      </c>
      <c r="B79" s="46" t="s">
        <v>250</v>
      </c>
      <c r="C79" s="12"/>
      <c r="D79" s="12"/>
      <c r="E79" s="12"/>
      <c r="F79" s="12"/>
      <c r="G79" s="12"/>
      <c r="H79" s="12"/>
      <c r="I79" s="12"/>
      <c r="J79" s="12"/>
      <c r="K79" s="23"/>
      <c r="L79" s="23"/>
      <c r="M79" s="24"/>
      <c r="N79" s="12"/>
      <c r="O79" s="12"/>
      <c r="P79" s="12"/>
      <c r="Q79" s="12"/>
      <c r="R79" s="12"/>
      <c r="S79" s="26">
        <f t="shared" si="2"/>
        <v>0</v>
      </c>
      <c r="T79" s="27">
        <f t="shared" si="3"/>
        <v>0</v>
      </c>
      <c r="U79" s="30"/>
    </row>
    <row r="80" spans="1:21" x14ac:dyDescent="0.3">
      <c r="A80" s="12">
        <v>0</v>
      </c>
      <c r="B80" s="46" t="s">
        <v>251</v>
      </c>
      <c r="C80" s="12"/>
      <c r="D80" s="12"/>
      <c r="E80" s="12"/>
      <c r="F80" s="12"/>
      <c r="G80" s="12"/>
      <c r="H80" s="12"/>
      <c r="I80" s="12"/>
      <c r="J80" s="12"/>
      <c r="K80" s="23"/>
      <c r="L80" s="23"/>
      <c r="M80" s="24"/>
      <c r="N80" s="12"/>
      <c r="O80" s="12"/>
      <c r="P80" s="12"/>
      <c r="Q80" s="12"/>
      <c r="R80" s="12"/>
      <c r="S80" s="26">
        <f t="shared" ref="S80:S86" si="4">R80+M80</f>
        <v>0</v>
      </c>
      <c r="T80" s="27">
        <f t="shared" ref="T80:T86" si="5">S80*A80</f>
        <v>0</v>
      </c>
      <c r="U80" s="30"/>
    </row>
    <row r="81" spans="1:21" x14ac:dyDescent="0.3">
      <c r="A81" s="12">
        <v>0</v>
      </c>
      <c r="B81" s="46" t="s">
        <v>252</v>
      </c>
      <c r="C81" s="12"/>
      <c r="D81" s="12"/>
      <c r="E81" s="12"/>
      <c r="F81" s="12"/>
      <c r="G81" s="12"/>
      <c r="H81" s="12"/>
      <c r="I81" s="12"/>
      <c r="J81" s="12"/>
      <c r="K81" s="23"/>
      <c r="L81" s="23"/>
      <c r="M81" s="24"/>
      <c r="N81" s="12"/>
      <c r="O81" s="12"/>
      <c r="P81" s="12"/>
      <c r="Q81" s="12"/>
      <c r="R81" s="12"/>
      <c r="S81" s="26">
        <f t="shared" si="4"/>
        <v>0</v>
      </c>
      <c r="T81" s="27">
        <f t="shared" si="5"/>
        <v>0</v>
      </c>
      <c r="U81" s="30"/>
    </row>
    <row r="82" spans="1:21" x14ac:dyDescent="0.3">
      <c r="A82" s="12">
        <v>0</v>
      </c>
      <c r="B82" s="46" t="s">
        <v>253</v>
      </c>
      <c r="C82" s="12"/>
      <c r="D82" s="12"/>
      <c r="E82" s="12"/>
      <c r="F82" s="12"/>
      <c r="G82" s="12"/>
      <c r="H82" s="12"/>
      <c r="I82" s="12"/>
      <c r="J82" s="12"/>
      <c r="K82" s="23"/>
      <c r="L82" s="23"/>
      <c r="M82" s="24"/>
      <c r="N82" s="12"/>
      <c r="O82" s="12"/>
      <c r="P82" s="12"/>
      <c r="Q82" s="12"/>
      <c r="R82" s="12"/>
      <c r="S82" s="26">
        <f t="shared" si="4"/>
        <v>0</v>
      </c>
      <c r="T82" s="27">
        <f t="shared" si="5"/>
        <v>0</v>
      </c>
      <c r="U82" s="30"/>
    </row>
    <row r="83" spans="1:21" x14ac:dyDescent="0.3">
      <c r="A83" s="12">
        <v>0</v>
      </c>
      <c r="B83" s="46" t="s">
        <v>254</v>
      </c>
      <c r="C83" s="12"/>
      <c r="D83" s="12"/>
      <c r="E83" s="12"/>
      <c r="F83" s="12"/>
      <c r="G83" s="28"/>
      <c r="H83" s="12"/>
      <c r="I83" s="12"/>
      <c r="J83" s="12"/>
      <c r="K83" s="23"/>
      <c r="L83" s="23"/>
      <c r="M83" s="24"/>
      <c r="N83" s="12"/>
      <c r="O83" s="12"/>
      <c r="P83" s="12"/>
      <c r="Q83" s="12"/>
      <c r="R83" s="12"/>
      <c r="S83" s="26">
        <f t="shared" si="4"/>
        <v>0</v>
      </c>
      <c r="T83" s="27">
        <f t="shared" si="5"/>
        <v>0</v>
      </c>
      <c r="U83" s="30"/>
    </row>
    <row r="84" spans="1:21" x14ac:dyDescent="0.3">
      <c r="A84" s="12">
        <v>0</v>
      </c>
      <c r="B84" s="46" t="s">
        <v>255</v>
      </c>
      <c r="C84" s="12"/>
      <c r="D84" s="12"/>
      <c r="E84" s="12"/>
      <c r="F84" s="12"/>
      <c r="G84" s="28"/>
      <c r="H84" s="12"/>
      <c r="I84" s="12"/>
      <c r="J84" s="12"/>
      <c r="K84" s="23"/>
      <c r="L84" s="23"/>
      <c r="M84" s="24"/>
      <c r="N84" s="12"/>
      <c r="O84" s="12"/>
      <c r="P84" s="12"/>
      <c r="Q84" s="12"/>
      <c r="R84" s="12"/>
      <c r="S84" s="26">
        <f t="shared" si="4"/>
        <v>0</v>
      </c>
      <c r="T84" s="27">
        <f t="shared" si="5"/>
        <v>0</v>
      </c>
      <c r="U84" s="30"/>
    </row>
    <row r="85" spans="1:21" x14ac:dyDescent="0.3">
      <c r="A85" s="12">
        <v>0</v>
      </c>
      <c r="B85" s="46" t="s">
        <v>256</v>
      </c>
      <c r="C85" s="12"/>
      <c r="D85" s="12"/>
      <c r="E85" s="12"/>
      <c r="F85" s="12"/>
      <c r="G85" s="12"/>
      <c r="H85" s="12"/>
      <c r="I85" s="12"/>
      <c r="J85" s="12"/>
      <c r="K85" s="23"/>
      <c r="L85" s="23"/>
      <c r="M85" s="24"/>
      <c r="N85" s="12"/>
      <c r="O85" s="12"/>
      <c r="P85" s="12"/>
      <c r="Q85" s="12"/>
      <c r="R85" s="12"/>
      <c r="S85" s="26">
        <f t="shared" si="4"/>
        <v>0</v>
      </c>
      <c r="T85" s="27">
        <f t="shared" si="5"/>
        <v>0</v>
      </c>
      <c r="U85" s="30"/>
    </row>
    <row r="86" spans="1:21" x14ac:dyDescent="0.3">
      <c r="A86" s="12">
        <v>0</v>
      </c>
      <c r="B86" s="46" t="s">
        <v>258</v>
      </c>
      <c r="C86" s="12"/>
      <c r="D86" s="12"/>
      <c r="E86" s="12"/>
      <c r="F86" s="12"/>
      <c r="G86" s="12"/>
      <c r="H86" s="12"/>
      <c r="I86" s="12"/>
      <c r="J86" s="12"/>
      <c r="K86" s="23"/>
      <c r="L86" s="23"/>
      <c r="M86" s="24"/>
      <c r="N86" s="12"/>
      <c r="O86" s="12"/>
      <c r="P86" s="12"/>
      <c r="Q86" s="12"/>
      <c r="R86" s="12"/>
      <c r="S86" s="26">
        <f t="shared" si="4"/>
        <v>0</v>
      </c>
      <c r="T86" s="27">
        <f t="shared" si="5"/>
        <v>0</v>
      </c>
      <c r="U86" s="30"/>
    </row>
    <row r="87" spans="1:21" x14ac:dyDescent="0.3">
      <c r="A87" s="12">
        <v>0</v>
      </c>
      <c r="B87" s="46" t="s">
        <v>259</v>
      </c>
      <c r="C87" s="12"/>
      <c r="D87" s="12"/>
      <c r="E87" s="12"/>
      <c r="F87" s="12"/>
      <c r="G87" s="12"/>
      <c r="H87" s="12"/>
      <c r="I87" s="12"/>
      <c r="J87" s="12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">
      <c r="A88" s="12">
        <v>0</v>
      </c>
      <c r="B88" s="46" t="s">
        <v>260</v>
      </c>
      <c r="C88" s="12"/>
      <c r="D88" s="12"/>
      <c r="E88" s="12"/>
      <c r="F88" s="12"/>
      <c r="G88" s="12"/>
      <c r="H88" s="12"/>
      <c r="I88" s="12"/>
      <c r="J88" s="12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">
      <c r="A89" s="12">
        <v>0</v>
      </c>
      <c r="B89" s="46" t="s">
        <v>261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6" t="s">
        <v>262</v>
      </c>
      <c r="C90" s="12"/>
      <c r="D90" s="12"/>
      <c r="E90" s="12"/>
      <c r="F90" s="12"/>
      <c r="G90" s="12"/>
      <c r="H90" s="12"/>
      <c r="I90" s="12"/>
      <c r="J90" s="12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6" t="s">
        <v>263</v>
      </c>
      <c r="C91" s="12"/>
      <c r="D91" s="12"/>
      <c r="E91" s="25"/>
      <c r="F91" s="25"/>
      <c r="G91" s="25"/>
      <c r="H91" s="25"/>
      <c r="I91" s="25"/>
      <c r="J91" s="25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6" t="s">
        <v>264</v>
      </c>
      <c r="C92" s="12"/>
      <c r="D92" s="12"/>
      <c r="E92" s="12"/>
      <c r="F92" s="12"/>
      <c r="G92" s="12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6" t="s">
        <v>265</v>
      </c>
      <c r="C93" s="12"/>
      <c r="D93" s="12"/>
      <c r="E93" s="12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7" t="s">
        <v>266</v>
      </c>
      <c r="C94" s="12"/>
      <c r="D94" s="12"/>
      <c r="E94" s="25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6" t="s">
        <v>267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6" t="s">
        <v>269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6" t="s">
        <v>270</v>
      </c>
      <c r="C97" s="12"/>
      <c r="D97" s="12"/>
      <c r="E97" s="12"/>
      <c r="F97" s="12"/>
      <c r="G97" s="12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6" t="s">
        <v>271</v>
      </c>
      <c r="C98" s="12"/>
      <c r="D98" s="12"/>
      <c r="E98" s="12"/>
      <c r="F98" s="12"/>
      <c r="G98" s="12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6" t="s">
        <v>272</v>
      </c>
      <c r="C99" s="12"/>
      <c r="D99" s="12"/>
      <c r="E99" s="12"/>
      <c r="F99" s="12"/>
      <c r="G99" s="12"/>
      <c r="H99" s="12"/>
      <c r="I99" s="12"/>
      <c r="J99" s="12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6" t="s">
        <v>273</v>
      </c>
      <c r="C100" s="12"/>
      <c r="D100" s="12"/>
      <c r="E100" s="12"/>
      <c r="F100" s="12"/>
      <c r="G100" s="12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6" t="s">
        <v>274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6" t="s">
        <v>275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6" t="s">
        <v>276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6" t="s">
        <v>277</v>
      </c>
      <c r="C104" s="12"/>
      <c r="D104" s="12"/>
      <c r="E104" s="12"/>
      <c r="F104" s="12"/>
      <c r="G104" s="12"/>
      <c r="H104" s="12"/>
      <c r="I104" s="12"/>
      <c r="J104" s="12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6" t="s">
        <v>278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6" t="s">
        <v>279</v>
      </c>
      <c r="C106" s="12"/>
      <c r="D106" s="12"/>
      <c r="E106" s="12"/>
      <c r="F106" s="12"/>
      <c r="G106" s="12"/>
      <c r="H106" s="12"/>
      <c r="I106" s="12"/>
      <c r="J106" s="12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6" t="s">
        <v>281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6" t="s">
        <v>283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6" t="s">
        <v>284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6" t="s">
        <v>287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6" t="s">
        <v>288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6" t="s">
        <v>289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6" t="s">
        <v>290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6" t="s">
        <v>291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6" t="s">
        <v>292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6" t="s">
        <v>293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6" t="s">
        <v>295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6" t="s">
        <v>296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6" t="s">
        <v>298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6" t="s">
        <v>193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6" t="s">
        <v>300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6" t="s">
        <v>301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6" t="s">
        <v>303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6" t="s">
        <v>304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6" t="s">
        <v>305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6" t="s">
        <v>306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6" t="s">
        <v>307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">
      <c r="A128" s="48">
        <v>0</v>
      </c>
      <c r="B128" s="49" t="s">
        <v>308</v>
      </c>
      <c r="C128" s="50"/>
      <c r="D128" s="50"/>
      <c r="E128" s="51"/>
      <c r="F128" s="51"/>
      <c r="G128" s="51"/>
      <c r="H128" s="51"/>
      <c r="I128" s="51"/>
      <c r="J128" s="51"/>
      <c r="K128" s="52"/>
      <c r="L128" s="52"/>
      <c r="M128" s="53"/>
      <c r="N128" s="54"/>
      <c r="P128" s="51"/>
      <c r="Q128" s="51"/>
      <c r="R128" s="51"/>
      <c r="S128" s="51"/>
      <c r="T128" s="51"/>
    </row>
    <row r="129" spans="1:20" x14ac:dyDescent="0.3">
      <c r="A129" s="48">
        <v>0</v>
      </c>
      <c r="B129" s="49" t="s">
        <v>309</v>
      </c>
      <c r="C129" s="50"/>
      <c r="D129" s="50"/>
      <c r="E129" s="51"/>
      <c r="F129" s="51"/>
      <c r="G129" s="51"/>
      <c r="H129" s="51"/>
      <c r="I129" s="51"/>
      <c r="J129" s="51"/>
      <c r="K129" s="52"/>
      <c r="L129" s="52"/>
      <c r="M129" s="53"/>
      <c r="N129" s="54"/>
      <c r="P129" s="51"/>
      <c r="Q129" s="51"/>
      <c r="R129" s="51"/>
      <c r="S129" s="51"/>
      <c r="T129" s="51"/>
    </row>
    <row r="130" spans="1:20" x14ac:dyDescent="0.3">
      <c r="A130" s="48">
        <v>0</v>
      </c>
      <c r="B130" s="49" t="s">
        <v>310</v>
      </c>
      <c r="C130" s="50"/>
      <c r="D130" s="50"/>
      <c r="E130" s="51"/>
      <c r="F130" s="51"/>
      <c r="G130" s="51"/>
      <c r="H130" s="51"/>
      <c r="I130" s="51"/>
      <c r="J130" s="51"/>
      <c r="K130" s="52"/>
      <c r="L130" s="52"/>
      <c r="M130" s="53"/>
      <c r="N130" s="54"/>
      <c r="P130" s="51"/>
      <c r="Q130" s="51"/>
      <c r="R130" s="51"/>
      <c r="S130" s="51"/>
      <c r="T130" s="51"/>
    </row>
    <row r="131" spans="1:20" x14ac:dyDescent="0.3">
      <c r="A131" s="48">
        <v>0</v>
      </c>
      <c r="B131" s="49" t="s">
        <v>311</v>
      </c>
      <c r="C131" s="50"/>
      <c r="D131" s="50"/>
      <c r="E131" s="51"/>
      <c r="F131" s="51"/>
      <c r="G131" s="51"/>
      <c r="H131" s="51"/>
      <c r="I131" s="51"/>
      <c r="J131" s="51"/>
      <c r="K131" s="52"/>
      <c r="L131" s="52"/>
      <c r="M131" s="53"/>
      <c r="N131" s="54"/>
      <c r="P131" s="51"/>
      <c r="Q131" s="51"/>
      <c r="R131" s="51"/>
      <c r="S131" s="51"/>
      <c r="T131" s="51"/>
    </row>
    <row r="132" spans="1:20" x14ac:dyDescent="0.3">
      <c r="A132" s="48">
        <v>0</v>
      </c>
      <c r="B132" s="49" t="s">
        <v>312</v>
      </c>
      <c r="C132" s="50"/>
      <c r="D132" s="50"/>
      <c r="E132" s="51"/>
      <c r="F132" s="51"/>
      <c r="G132" s="51"/>
      <c r="H132" s="51"/>
      <c r="I132" s="51"/>
      <c r="J132" s="51"/>
      <c r="K132" s="52"/>
      <c r="L132" s="52"/>
      <c r="M132" s="53"/>
      <c r="N132" s="54"/>
      <c r="P132" s="51"/>
      <c r="Q132" s="51"/>
      <c r="R132" s="51"/>
      <c r="S132" s="51"/>
      <c r="T132" s="51"/>
    </row>
    <row r="133" spans="1:20" x14ac:dyDescent="0.3">
      <c r="A133" s="48">
        <v>0</v>
      </c>
      <c r="B133" s="49" t="s">
        <v>314</v>
      </c>
      <c r="C133" s="50"/>
      <c r="D133" s="50"/>
      <c r="E133" s="51"/>
      <c r="F133" s="51"/>
      <c r="G133" s="51"/>
      <c r="H133" s="51"/>
      <c r="I133" s="51"/>
      <c r="J133" s="51"/>
      <c r="K133" s="52"/>
      <c r="L133" s="52"/>
      <c r="M133" s="53"/>
      <c r="N133" s="54"/>
      <c r="P133" s="51"/>
      <c r="Q133" s="51"/>
      <c r="R133" s="51"/>
      <c r="S133" s="51"/>
      <c r="T133" s="51"/>
    </row>
    <row r="134" spans="1:20" x14ac:dyDescent="0.3">
      <c r="A134" s="48">
        <v>0</v>
      </c>
      <c r="B134" s="49" t="s">
        <v>315</v>
      </c>
      <c r="C134" s="50"/>
      <c r="D134" s="50"/>
      <c r="E134" s="51"/>
      <c r="F134" s="51"/>
      <c r="G134" s="51"/>
      <c r="H134" s="51"/>
      <c r="I134" s="51"/>
      <c r="J134" s="51"/>
      <c r="K134" s="52"/>
      <c r="L134" s="52"/>
      <c r="M134" s="53"/>
      <c r="N134" s="54"/>
      <c r="P134" s="51"/>
      <c r="Q134" s="51"/>
      <c r="R134" s="51"/>
      <c r="S134" s="51"/>
      <c r="T134" s="51"/>
    </row>
    <row r="135" spans="1:20" x14ac:dyDescent="0.3">
      <c r="A135" s="48">
        <v>0</v>
      </c>
      <c r="B135" s="49" t="s">
        <v>316</v>
      </c>
      <c r="C135" s="50"/>
      <c r="D135" s="50"/>
      <c r="E135" s="51"/>
      <c r="F135" s="51"/>
      <c r="G135" s="51"/>
      <c r="H135" s="51"/>
      <c r="I135" s="51"/>
      <c r="J135" s="51"/>
      <c r="K135" s="52"/>
      <c r="L135" s="52"/>
      <c r="M135" s="53"/>
      <c r="N135" s="54"/>
      <c r="P135" s="51"/>
      <c r="Q135" s="51"/>
      <c r="R135" s="51"/>
      <c r="S135" s="51"/>
      <c r="T135" s="51"/>
    </row>
    <row r="136" spans="1:20" x14ac:dyDescent="0.3">
      <c r="A136" s="48">
        <v>0</v>
      </c>
      <c r="B136" s="49" t="s">
        <v>317</v>
      </c>
      <c r="C136" s="50"/>
      <c r="D136" s="50"/>
      <c r="E136" s="51"/>
      <c r="F136" s="51"/>
      <c r="G136" s="51"/>
      <c r="H136" s="51"/>
      <c r="I136" s="51"/>
      <c r="J136" s="51"/>
      <c r="K136" s="52"/>
      <c r="L136" s="52"/>
      <c r="M136" s="53"/>
      <c r="N136" s="54"/>
      <c r="P136" s="51"/>
      <c r="Q136" s="51"/>
      <c r="R136" s="51"/>
      <c r="S136" s="51"/>
      <c r="T136" s="51"/>
    </row>
    <row r="137" spans="1:20" x14ac:dyDescent="0.3">
      <c r="A137" s="48">
        <v>0</v>
      </c>
      <c r="B137" s="49" t="s">
        <v>319</v>
      </c>
      <c r="C137" s="50"/>
      <c r="D137" s="50"/>
      <c r="E137" s="51"/>
      <c r="F137" s="51"/>
      <c r="G137" s="51"/>
      <c r="H137" s="51"/>
      <c r="I137" s="51"/>
      <c r="J137" s="51"/>
      <c r="K137" s="52"/>
      <c r="L137" s="52"/>
      <c r="M137" s="53"/>
      <c r="N137" s="54"/>
      <c r="P137" s="51"/>
      <c r="Q137" s="51"/>
      <c r="R137" s="51"/>
      <c r="S137" s="51"/>
      <c r="T137" s="51"/>
    </row>
    <row r="138" spans="1:20" x14ac:dyDescent="0.3">
      <c r="A138" s="48">
        <v>0</v>
      </c>
      <c r="B138" s="49" t="s">
        <v>320</v>
      </c>
      <c r="C138" s="50"/>
      <c r="D138" s="50"/>
      <c r="E138" s="51"/>
      <c r="F138" s="51"/>
      <c r="G138" s="51"/>
      <c r="H138" s="51"/>
      <c r="I138" s="51"/>
      <c r="J138" s="51"/>
      <c r="K138" s="52"/>
      <c r="L138" s="52"/>
      <c r="M138" s="53"/>
      <c r="N138" s="54"/>
      <c r="P138" s="51"/>
      <c r="Q138" s="51"/>
      <c r="R138" s="51"/>
      <c r="S138" s="51"/>
      <c r="T138" s="51"/>
    </row>
    <row r="139" spans="1:20" x14ac:dyDescent="0.3">
      <c r="A139" s="48">
        <v>0</v>
      </c>
      <c r="B139" s="49" t="s">
        <v>321</v>
      </c>
      <c r="C139" s="50"/>
      <c r="D139" s="50"/>
      <c r="E139" s="51"/>
      <c r="F139" s="51"/>
      <c r="G139" s="51"/>
      <c r="H139" s="51"/>
      <c r="I139" s="51"/>
      <c r="J139" s="51"/>
      <c r="K139" s="52"/>
      <c r="L139" s="52"/>
      <c r="M139" s="53"/>
      <c r="N139" s="54"/>
      <c r="P139" s="51"/>
      <c r="Q139" s="51"/>
      <c r="R139" s="51"/>
      <c r="S139" s="51"/>
      <c r="T139" s="51"/>
    </row>
    <row r="140" spans="1:20" x14ac:dyDescent="0.3">
      <c r="A140" s="48">
        <v>0</v>
      </c>
      <c r="B140" s="49" t="s">
        <v>322</v>
      </c>
      <c r="C140" s="50"/>
      <c r="D140" s="50"/>
      <c r="E140" s="51"/>
      <c r="F140" s="51"/>
      <c r="G140" s="51"/>
      <c r="H140" s="51"/>
      <c r="I140" s="51"/>
      <c r="J140" s="51"/>
      <c r="K140" s="52"/>
      <c r="L140" s="52"/>
      <c r="M140" s="53"/>
      <c r="N140" s="54"/>
      <c r="P140" s="51"/>
      <c r="Q140" s="51"/>
      <c r="R140" s="51"/>
      <c r="S140" s="51"/>
      <c r="T140" s="51"/>
    </row>
    <row r="141" spans="1:20" x14ac:dyDescent="0.3">
      <c r="A141" s="48">
        <v>0</v>
      </c>
      <c r="B141" s="49" t="s">
        <v>323</v>
      </c>
      <c r="C141" s="50"/>
      <c r="D141" s="50"/>
      <c r="E141" s="51"/>
      <c r="F141" s="51"/>
      <c r="G141" s="51"/>
      <c r="H141" s="51"/>
      <c r="I141" s="51"/>
      <c r="J141" s="51"/>
      <c r="K141" s="52"/>
      <c r="L141" s="52"/>
      <c r="M141" s="53"/>
      <c r="N141" s="54"/>
      <c r="P141" s="51"/>
      <c r="Q141" s="51"/>
      <c r="R141" s="51"/>
      <c r="S141" s="51"/>
      <c r="T141" s="51"/>
    </row>
    <row r="142" spans="1:20" x14ac:dyDescent="0.3">
      <c r="A142" s="48">
        <v>0</v>
      </c>
      <c r="B142" s="49" t="s">
        <v>328</v>
      </c>
      <c r="C142" s="50"/>
      <c r="D142" s="50"/>
      <c r="E142" s="51"/>
      <c r="F142" s="51"/>
      <c r="G142" s="51"/>
      <c r="H142" s="51"/>
      <c r="I142" s="51"/>
      <c r="J142" s="51"/>
      <c r="K142" s="52"/>
      <c r="L142" s="52"/>
      <c r="M142" s="53"/>
      <c r="N142" s="54"/>
      <c r="P142" s="51"/>
      <c r="Q142" s="51"/>
      <c r="R142" s="51"/>
      <c r="S142" s="51"/>
      <c r="T142" s="51"/>
    </row>
    <row r="143" spans="1:20" x14ac:dyDescent="0.3">
      <c r="A143" s="48">
        <v>0</v>
      </c>
      <c r="B143" s="49" t="s">
        <v>330</v>
      </c>
      <c r="C143" s="50"/>
      <c r="D143" s="50"/>
      <c r="E143" s="51"/>
      <c r="F143" s="51"/>
      <c r="G143" s="51"/>
      <c r="H143" s="51"/>
      <c r="I143" s="51"/>
      <c r="J143" s="51"/>
      <c r="K143" s="52"/>
      <c r="L143" s="52"/>
      <c r="M143" s="53"/>
      <c r="N143" s="54"/>
      <c r="P143" s="51"/>
      <c r="Q143" s="51"/>
      <c r="R143" s="51"/>
      <c r="S143" s="51"/>
      <c r="T143" s="51"/>
    </row>
    <row r="144" spans="1:20" x14ac:dyDescent="0.3">
      <c r="A144" s="48">
        <v>0</v>
      </c>
      <c r="B144" s="49" t="s">
        <v>331</v>
      </c>
      <c r="C144" s="50"/>
      <c r="D144" s="50"/>
      <c r="E144" s="51"/>
      <c r="F144" s="51"/>
      <c r="G144" s="51"/>
      <c r="H144" s="51"/>
      <c r="I144" s="51"/>
      <c r="J144" s="51"/>
      <c r="K144" s="52"/>
      <c r="L144" s="52"/>
      <c r="M144" s="53"/>
      <c r="N144" s="54"/>
      <c r="P144" s="51"/>
      <c r="Q144" s="51"/>
      <c r="R144" s="51"/>
      <c r="S144" s="51"/>
      <c r="T144" s="51"/>
    </row>
    <row r="145" spans="1:20" x14ac:dyDescent="0.3">
      <c r="A145" s="48">
        <v>0</v>
      </c>
      <c r="B145" s="49" t="s">
        <v>332</v>
      </c>
      <c r="C145" s="50"/>
      <c r="D145" s="50"/>
      <c r="E145" s="51"/>
      <c r="F145" s="51"/>
      <c r="G145" s="51"/>
      <c r="H145" s="51"/>
      <c r="I145" s="51"/>
      <c r="J145" s="51"/>
      <c r="K145" s="52"/>
      <c r="L145" s="52"/>
      <c r="M145" s="53"/>
      <c r="N145" s="54"/>
      <c r="P145" s="51"/>
      <c r="Q145" s="51"/>
      <c r="R145" s="51"/>
      <c r="S145" s="51"/>
      <c r="T145" s="51"/>
    </row>
    <row r="146" spans="1:20" x14ac:dyDescent="0.3">
      <c r="A146" s="48">
        <v>0</v>
      </c>
      <c r="B146" s="49" t="s">
        <v>333</v>
      </c>
      <c r="C146" s="50"/>
      <c r="D146" s="50"/>
      <c r="E146" s="51"/>
      <c r="F146" s="51"/>
      <c r="G146" s="51"/>
      <c r="H146" s="51"/>
      <c r="I146" s="51"/>
      <c r="J146" s="51"/>
      <c r="K146" s="52"/>
      <c r="L146" s="52"/>
      <c r="M146" s="53"/>
      <c r="N146" s="54"/>
      <c r="P146" s="51"/>
      <c r="Q146" s="51"/>
      <c r="R146" s="51"/>
      <c r="S146" s="51"/>
      <c r="T146" s="51"/>
    </row>
    <row r="147" spans="1:20" x14ac:dyDescent="0.3">
      <c r="A147" s="48">
        <v>0</v>
      </c>
      <c r="B147" s="49" t="s">
        <v>334</v>
      </c>
      <c r="C147" s="50"/>
      <c r="D147" s="50"/>
      <c r="E147" s="51"/>
      <c r="F147" s="51"/>
      <c r="G147" s="51"/>
      <c r="H147" s="51"/>
      <c r="I147" s="51"/>
      <c r="J147" s="51"/>
      <c r="K147" s="52"/>
      <c r="L147" s="52"/>
      <c r="M147" s="53"/>
      <c r="N147" s="54"/>
      <c r="P147" s="51"/>
      <c r="Q147" s="51"/>
      <c r="R147" s="51"/>
      <c r="S147" s="51"/>
      <c r="T147" s="51"/>
    </row>
    <row r="148" spans="1:20" x14ac:dyDescent="0.3">
      <c r="A148" s="48">
        <v>0</v>
      </c>
      <c r="B148" s="49" t="s">
        <v>335</v>
      </c>
      <c r="C148" s="50"/>
      <c r="D148" s="50"/>
      <c r="E148" s="51"/>
      <c r="F148" s="51"/>
      <c r="G148" s="51"/>
      <c r="H148" s="51"/>
      <c r="I148" s="51"/>
      <c r="J148" s="51"/>
      <c r="K148" s="52"/>
      <c r="L148" s="52"/>
      <c r="M148" s="53"/>
      <c r="N148" s="54"/>
      <c r="P148" s="51"/>
      <c r="Q148" s="51"/>
      <c r="R148" s="51"/>
      <c r="S148" s="51"/>
      <c r="T148" s="51"/>
    </row>
    <row r="149" spans="1:20" x14ac:dyDescent="0.3">
      <c r="A149" s="48">
        <v>0</v>
      </c>
      <c r="B149" s="49" t="s">
        <v>336</v>
      </c>
      <c r="C149" s="50"/>
      <c r="D149" s="50"/>
      <c r="E149" s="51"/>
      <c r="F149" s="51"/>
      <c r="G149" s="51"/>
      <c r="H149" s="51"/>
      <c r="I149" s="51"/>
      <c r="J149" s="51"/>
      <c r="K149" s="52"/>
      <c r="L149" s="52"/>
      <c r="M149" s="53"/>
      <c r="N149" s="54"/>
      <c r="P149" s="51"/>
      <c r="Q149" s="51"/>
      <c r="R149" s="51"/>
      <c r="S149" s="51"/>
      <c r="T149" s="51"/>
    </row>
    <row r="150" spans="1:20" x14ac:dyDescent="0.3">
      <c r="A150" s="48">
        <v>0</v>
      </c>
      <c r="B150" s="49" t="s">
        <v>337</v>
      </c>
      <c r="C150" s="50"/>
      <c r="D150" s="50"/>
      <c r="E150" s="51"/>
      <c r="F150" s="51"/>
      <c r="G150" s="51"/>
      <c r="H150" s="51"/>
      <c r="I150" s="51"/>
      <c r="J150" s="51"/>
      <c r="K150" s="52"/>
      <c r="L150" s="52"/>
      <c r="M150" s="53"/>
      <c r="N150" s="54"/>
      <c r="P150" s="51"/>
      <c r="Q150" s="51"/>
      <c r="R150" s="51"/>
      <c r="S150" s="51"/>
      <c r="T150" s="51"/>
    </row>
    <row r="151" spans="1:20" x14ac:dyDescent="0.3">
      <c r="A151" s="48">
        <v>0</v>
      </c>
      <c r="B151" s="49" t="s">
        <v>338</v>
      </c>
      <c r="C151" s="50"/>
      <c r="D151" s="50"/>
      <c r="E151" s="51"/>
      <c r="F151" s="51"/>
      <c r="G151" s="51"/>
      <c r="H151" s="51"/>
      <c r="I151" s="51"/>
      <c r="J151" s="51"/>
      <c r="K151" s="52"/>
      <c r="L151" s="52"/>
      <c r="M151" s="53"/>
      <c r="N151" s="54"/>
      <c r="P151" s="51"/>
      <c r="Q151" s="51"/>
      <c r="R151" s="51"/>
      <c r="S151" s="51"/>
      <c r="T151" s="51"/>
    </row>
    <row r="152" spans="1:20" x14ac:dyDescent="0.3">
      <c r="A152" s="48">
        <v>0</v>
      </c>
      <c r="B152" s="49" t="s">
        <v>339</v>
      </c>
      <c r="C152" s="50"/>
      <c r="D152" s="50"/>
      <c r="E152" s="51"/>
      <c r="F152" s="51"/>
      <c r="G152" s="51"/>
      <c r="H152" s="51"/>
      <c r="I152" s="51"/>
      <c r="J152" s="51"/>
      <c r="K152" s="52"/>
      <c r="L152" s="52"/>
      <c r="M152" s="53"/>
      <c r="N152" s="54"/>
      <c r="P152" s="51"/>
      <c r="Q152" s="51"/>
      <c r="R152" s="51"/>
      <c r="S152" s="51"/>
      <c r="T152" s="51"/>
    </row>
    <row r="153" spans="1:20" x14ac:dyDescent="0.3">
      <c r="A153" s="48">
        <v>0</v>
      </c>
      <c r="B153" s="49" t="s">
        <v>342</v>
      </c>
      <c r="C153" s="50"/>
      <c r="D153" s="50"/>
      <c r="E153" s="51"/>
      <c r="F153" s="51"/>
      <c r="G153" s="51"/>
      <c r="H153" s="51"/>
      <c r="I153" s="51"/>
      <c r="J153" s="51"/>
      <c r="K153" s="52"/>
      <c r="L153" s="52"/>
      <c r="M153" s="53"/>
      <c r="N153" s="54"/>
      <c r="P153" s="51"/>
      <c r="Q153" s="51"/>
      <c r="R153" s="51"/>
      <c r="S153" s="51"/>
      <c r="T153" s="51"/>
    </row>
    <row r="154" spans="1:20" x14ac:dyDescent="0.3">
      <c r="A154" s="48">
        <v>0</v>
      </c>
      <c r="B154" s="49" t="s">
        <v>343</v>
      </c>
      <c r="C154" s="50"/>
      <c r="D154" s="50"/>
      <c r="E154" s="51"/>
      <c r="F154" s="51"/>
      <c r="G154" s="51"/>
      <c r="H154" s="51"/>
      <c r="I154" s="51"/>
      <c r="J154" s="51"/>
      <c r="K154" s="52"/>
      <c r="L154" s="52"/>
      <c r="M154" s="53"/>
      <c r="N154" s="54"/>
      <c r="P154" s="51"/>
      <c r="Q154" s="51"/>
      <c r="R154" s="51"/>
      <c r="S154" s="51"/>
      <c r="T154" s="51"/>
    </row>
    <row r="155" spans="1:20" x14ac:dyDescent="0.3">
      <c r="A155" s="48">
        <v>0</v>
      </c>
      <c r="B155" s="49" t="s">
        <v>345</v>
      </c>
      <c r="C155" s="50"/>
      <c r="D155" s="50"/>
      <c r="E155" s="51"/>
      <c r="F155" s="51"/>
      <c r="G155" s="51"/>
      <c r="H155" s="51"/>
      <c r="I155" s="51"/>
      <c r="J155" s="51"/>
      <c r="K155" s="52"/>
      <c r="L155" s="52"/>
      <c r="M155" s="53"/>
      <c r="N155" s="54"/>
      <c r="P155" s="51"/>
      <c r="Q155" s="51"/>
      <c r="R155" s="51"/>
      <c r="S155" s="51"/>
      <c r="T155" s="51"/>
    </row>
    <row r="156" spans="1:20" x14ac:dyDescent="0.3">
      <c r="A156" s="48">
        <v>0</v>
      </c>
      <c r="B156" s="49" t="s">
        <v>346</v>
      </c>
      <c r="C156" s="50"/>
      <c r="D156" s="50"/>
      <c r="E156" s="51"/>
      <c r="F156" s="51"/>
      <c r="G156" s="51"/>
      <c r="H156" s="51"/>
      <c r="I156" s="51"/>
      <c r="J156" s="51"/>
      <c r="K156" s="52"/>
      <c r="L156" s="52"/>
      <c r="M156" s="53"/>
      <c r="N156" s="54"/>
      <c r="P156" s="51"/>
      <c r="Q156" s="51"/>
      <c r="R156" s="51"/>
      <c r="S156" s="51"/>
      <c r="T156" s="51"/>
    </row>
    <row r="157" spans="1:20" x14ac:dyDescent="0.3">
      <c r="A157" s="48">
        <v>0</v>
      </c>
      <c r="B157" s="49" t="s">
        <v>347</v>
      </c>
      <c r="C157" s="50"/>
      <c r="D157" s="50"/>
      <c r="E157" s="51"/>
      <c r="F157" s="51"/>
      <c r="G157" s="51"/>
      <c r="H157" s="51"/>
      <c r="I157" s="51"/>
      <c r="J157" s="51"/>
      <c r="K157" s="52"/>
      <c r="L157" s="52"/>
      <c r="M157" s="53"/>
      <c r="N157" s="54"/>
      <c r="P157" s="51"/>
      <c r="Q157" s="51"/>
      <c r="R157" s="51"/>
      <c r="S157" s="51"/>
      <c r="T157" s="51"/>
    </row>
    <row r="158" spans="1:20" x14ac:dyDescent="0.3">
      <c r="A158" s="48">
        <v>0</v>
      </c>
      <c r="B158" s="49" t="s">
        <v>348</v>
      </c>
      <c r="C158" s="50"/>
      <c r="D158" s="50"/>
      <c r="E158" s="51"/>
      <c r="F158" s="51"/>
      <c r="G158" s="51"/>
      <c r="H158" s="51"/>
      <c r="I158" s="51"/>
      <c r="J158" s="51"/>
      <c r="K158" s="52"/>
      <c r="L158" s="52"/>
      <c r="M158" s="53"/>
      <c r="N158" s="54"/>
      <c r="P158" s="51"/>
      <c r="Q158" s="51"/>
      <c r="R158" s="51"/>
      <c r="S158" s="51"/>
      <c r="T158" s="51"/>
    </row>
    <row r="159" spans="1:20" x14ac:dyDescent="0.3">
      <c r="A159" s="48">
        <v>0</v>
      </c>
      <c r="B159" s="49" t="s">
        <v>349</v>
      </c>
      <c r="C159" s="50"/>
      <c r="D159" s="50"/>
      <c r="E159" s="51"/>
      <c r="F159" s="51"/>
      <c r="G159" s="51"/>
      <c r="H159" s="51"/>
      <c r="I159" s="51"/>
      <c r="J159" s="51"/>
      <c r="K159" s="52"/>
      <c r="L159" s="52"/>
      <c r="M159" s="53"/>
      <c r="N159" s="54"/>
      <c r="P159" s="51"/>
      <c r="Q159" s="51"/>
      <c r="R159" s="51"/>
      <c r="S159" s="51"/>
      <c r="T159" s="51"/>
    </row>
    <row r="160" spans="1:20" x14ac:dyDescent="0.3">
      <c r="A160" s="48">
        <v>0</v>
      </c>
      <c r="B160" s="49" t="s">
        <v>350</v>
      </c>
      <c r="C160" s="50"/>
      <c r="D160" s="50"/>
      <c r="E160" s="51"/>
      <c r="F160" s="51"/>
      <c r="G160" s="51"/>
      <c r="H160" s="51"/>
      <c r="I160" s="51"/>
      <c r="J160" s="51"/>
      <c r="K160" s="52"/>
      <c r="L160" s="52"/>
      <c r="M160" s="53"/>
      <c r="N160" s="54"/>
      <c r="P160" s="51"/>
      <c r="Q160" s="51"/>
      <c r="R160" s="51"/>
      <c r="S160" s="51"/>
      <c r="T160" s="51"/>
    </row>
    <row r="161" spans="1:20" x14ac:dyDescent="0.3">
      <c r="A161" s="48">
        <v>0</v>
      </c>
      <c r="B161" s="49" t="s">
        <v>351</v>
      </c>
      <c r="C161" s="50"/>
      <c r="D161" s="50"/>
      <c r="E161" s="51"/>
      <c r="F161" s="51"/>
      <c r="G161" s="51"/>
      <c r="H161" s="51"/>
      <c r="I161" s="51"/>
      <c r="J161" s="51"/>
      <c r="K161" s="52"/>
      <c r="L161" s="52"/>
      <c r="M161" s="53"/>
      <c r="N161" s="54"/>
      <c r="P161" s="51"/>
      <c r="Q161" s="51"/>
      <c r="R161" s="51"/>
      <c r="S161" s="51"/>
      <c r="T161" s="51"/>
    </row>
    <row r="162" spans="1:20" x14ac:dyDescent="0.3">
      <c r="A162" s="48">
        <v>0</v>
      </c>
      <c r="B162" s="49" t="s">
        <v>352</v>
      </c>
      <c r="C162" s="50"/>
      <c r="D162" s="50"/>
      <c r="E162" s="51"/>
      <c r="F162" s="51"/>
      <c r="G162" s="51"/>
      <c r="H162" s="51"/>
      <c r="I162" s="51"/>
      <c r="J162" s="51"/>
      <c r="K162" s="52"/>
      <c r="L162" s="52"/>
      <c r="M162" s="53"/>
      <c r="N162" s="54"/>
      <c r="P162" s="51"/>
      <c r="Q162" s="51"/>
      <c r="R162" s="51"/>
      <c r="S162" s="51"/>
      <c r="T162" s="51"/>
    </row>
    <row r="163" spans="1:20" x14ac:dyDescent="0.3">
      <c r="A163" s="48">
        <v>0</v>
      </c>
      <c r="B163" s="49" t="s">
        <v>353</v>
      </c>
      <c r="C163" s="50"/>
      <c r="D163" s="50"/>
      <c r="E163" s="51"/>
      <c r="F163" s="51"/>
      <c r="G163" s="51"/>
      <c r="H163" s="51"/>
      <c r="I163" s="51"/>
      <c r="J163" s="51"/>
      <c r="K163" s="52"/>
      <c r="L163" s="52"/>
      <c r="M163" s="53"/>
      <c r="N163" s="54"/>
      <c r="P163" s="51"/>
      <c r="Q163" s="51"/>
      <c r="R163" s="51"/>
      <c r="S163" s="51"/>
      <c r="T163" s="51"/>
    </row>
    <row r="164" spans="1:20" x14ac:dyDescent="0.3">
      <c r="A164" s="48">
        <v>0</v>
      </c>
      <c r="B164" s="49" t="s">
        <v>354</v>
      </c>
      <c r="C164" s="50"/>
      <c r="D164" s="50"/>
      <c r="E164" s="51"/>
      <c r="F164" s="51"/>
      <c r="G164" s="51"/>
      <c r="H164" s="51"/>
      <c r="I164" s="51"/>
      <c r="J164" s="51"/>
      <c r="K164" s="52"/>
      <c r="L164" s="52"/>
      <c r="M164" s="53"/>
      <c r="N164" s="54"/>
      <c r="P164" s="51"/>
      <c r="Q164" s="51"/>
      <c r="R164" s="51"/>
      <c r="S164" s="51"/>
      <c r="T164" s="51"/>
    </row>
    <row r="165" spans="1:20" x14ac:dyDescent="0.3">
      <c r="A165" s="48">
        <v>0</v>
      </c>
      <c r="B165" s="49" t="s">
        <v>355</v>
      </c>
      <c r="C165" s="50"/>
      <c r="D165" s="50"/>
      <c r="E165" s="51"/>
      <c r="F165" s="51"/>
      <c r="G165" s="51"/>
      <c r="H165" s="51"/>
      <c r="I165" s="51"/>
      <c r="J165" s="51"/>
      <c r="K165" s="52"/>
      <c r="L165" s="52"/>
      <c r="M165" s="53"/>
      <c r="N165" s="54"/>
      <c r="P165" s="51"/>
      <c r="Q165" s="51"/>
      <c r="R165" s="51"/>
      <c r="S165" s="51"/>
      <c r="T165" s="51"/>
    </row>
    <row r="166" spans="1:20" x14ac:dyDescent="0.3">
      <c r="A166" s="48">
        <v>0</v>
      </c>
      <c r="B166" s="49" t="s">
        <v>356</v>
      </c>
      <c r="C166" s="50"/>
      <c r="D166" s="50"/>
      <c r="E166" s="51"/>
      <c r="F166" s="51"/>
      <c r="G166" s="51"/>
      <c r="H166" s="51"/>
      <c r="I166" s="51"/>
      <c r="J166" s="51"/>
      <c r="K166" s="52"/>
      <c r="L166" s="52"/>
      <c r="M166" s="53"/>
      <c r="N166" s="54"/>
      <c r="P166" s="51"/>
      <c r="Q166" s="51"/>
      <c r="R166" s="51"/>
      <c r="S166" s="51"/>
      <c r="T166" s="51"/>
    </row>
    <row r="167" spans="1:20" x14ac:dyDescent="0.3">
      <c r="A167" s="48">
        <v>0</v>
      </c>
      <c r="B167" s="49" t="s">
        <v>357</v>
      </c>
      <c r="C167" s="50"/>
      <c r="D167" s="50"/>
      <c r="E167" s="51"/>
      <c r="F167" s="51"/>
      <c r="G167" s="51"/>
      <c r="H167" s="51"/>
      <c r="I167" s="51"/>
      <c r="J167" s="51"/>
      <c r="K167" s="52"/>
      <c r="L167" s="52"/>
      <c r="M167" s="53"/>
      <c r="N167" s="54"/>
      <c r="P167" s="51"/>
      <c r="Q167" s="51"/>
      <c r="R167" s="51"/>
      <c r="S167" s="51"/>
      <c r="T167" s="51"/>
    </row>
    <row r="168" spans="1:20" x14ac:dyDescent="0.3">
      <c r="A168" s="48">
        <v>0</v>
      </c>
      <c r="B168" s="49" t="s">
        <v>368</v>
      </c>
      <c r="C168" s="50"/>
      <c r="D168" s="50"/>
      <c r="E168" s="51"/>
      <c r="F168" s="51"/>
      <c r="G168" s="51"/>
      <c r="H168" s="51"/>
      <c r="I168" s="51"/>
      <c r="J168" s="51"/>
      <c r="K168" s="52"/>
      <c r="L168" s="52"/>
      <c r="M168" s="53"/>
      <c r="N168" s="54"/>
      <c r="P168" s="51"/>
      <c r="Q168" s="51"/>
      <c r="R168" s="51"/>
      <c r="S168" s="51"/>
      <c r="T168" s="51"/>
    </row>
    <row r="169" spans="1:20" x14ac:dyDescent="0.3">
      <c r="A169" s="48">
        <v>0</v>
      </c>
      <c r="B169" s="49" t="s">
        <v>369</v>
      </c>
      <c r="C169" s="50"/>
      <c r="D169" s="50"/>
      <c r="E169" s="51"/>
      <c r="F169" s="51"/>
      <c r="G169" s="51"/>
      <c r="H169" s="51"/>
      <c r="I169" s="51"/>
      <c r="J169" s="51"/>
      <c r="K169" s="52"/>
      <c r="L169" s="52"/>
      <c r="M169" s="53"/>
      <c r="N169" s="54"/>
      <c r="P169" s="51"/>
      <c r="Q169" s="51"/>
      <c r="R169" s="51"/>
      <c r="S169" s="51"/>
      <c r="T169" s="51"/>
    </row>
    <row r="170" spans="1:20" x14ac:dyDescent="0.3">
      <c r="A170" s="48">
        <v>0</v>
      </c>
      <c r="B170" s="49" t="s">
        <v>370</v>
      </c>
      <c r="C170" s="50"/>
      <c r="D170" s="50"/>
      <c r="E170" s="51"/>
      <c r="F170" s="51"/>
      <c r="G170" s="51"/>
      <c r="H170" s="51"/>
      <c r="I170" s="51"/>
      <c r="J170" s="51"/>
      <c r="K170" s="52"/>
      <c r="L170" s="52"/>
      <c r="M170" s="53"/>
      <c r="N170" s="54"/>
      <c r="P170" s="51"/>
      <c r="Q170" s="51"/>
      <c r="R170" s="51"/>
      <c r="S170" s="51"/>
      <c r="T170" s="51"/>
    </row>
    <row r="171" spans="1:20" x14ac:dyDescent="0.3">
      <c r="A171" s="48">
        <v>0</v>
      </c>
      <c r="B171" s="49" t="s">
        <v>371</v>
      </c>
      <c r="C171" s="50"/>
      <c r="D171" s="50"/>
      <c r="E171" s="51"/>
      <c r="F171" s="51"/>
      <c r="G171" s="51"/>
      <c r="H171" s="51"/>
      <c r="I171" s="51"/>
      <c r="J171" s="51"/>
      <c r="K171" s="52"/>
      <c r="L171" s="52"/>
      <c r="M171" s="53"/>
      <c r="N171" s="54"/>
      <c r="P171" s="51"/>
      <c r="Q171" s="51"/>
      <c r="R171" s="51"/>
      <c r="S171" s="51"/>
      <c r="T171" s="51"/>
    </row>
    <row r="172" spans="1:20" x14ac:dyDescent="0.3">
      <c r="A172" s="48">
        <v>0</v>
      </c>
      <c r="B172" s="49" t="s">
        <v>372</v>
      </c>
      <c r="C172" s="50"/>
      <c r="D172" s="50"/>
      <c r="E172" s="51"/>
      <c r="F172" s="51"/>
      <c r="G172" s="51"/>
      <c r="H172" s="51"/>
      <c r="I172" s="51"/>
      <c r="J172" s="51"/>
      <c r="K172" s="52"/>
      <c r="L172" s="52"/>
      <c r="M172" s="53"/>
      <c r="N172" s="54"/>
      <c r="P172" s="51"/>
      <c r="Q172" s="51"/>
      <c r="R172" s="51"/>
      <c r="S172" s="51"/>
      <c r="T172" s="51"/>
    </row>
    <row r="173" spans="1:20" x14ac:dyDescent="0.3">
      <c r="A173" s="48">
        <v>0</v>
      </c>
      <c r="B173" s="49" t="s">
        <v>373</v>
      </c>
      <c r="C173" s="50"/>
      <c r="D173" s="50"/>
      <c r="E173" s="51"/>
      <c r="F173" s="51"/>
      <c r="G173" s="51"/>
      <c r="H173" s="51"/>
      <c r="I173" s="51"/>
      <c r="J173" s="51"/>
      <c r="K173" s="52"/>
      <c r="L173" s="52"/>
      <c r="M173" s="53"/>
      <c r="N173" s="54"/>
      <c r="P173" s="51"/>
      <c r="Q173" s="51"/>
      <c r="R173" s="51"/>
      <c r="S173" s="51"/>
      <c r="T173" s="51"/>
    </row>
    <row r="174" spans="1:20" x14ac:dyDescent="0.3">
      <c r="A174" s="48">
        <v>0</v>
      </c>
      <c r="B174" s="49" t="s">
        <v>374</v>
      </c>
      <c r="C174" s="50"/>
      <c r="D174" s="50"/>
      <c r="E174" s="51"/>
      <c r="F174" s="51"/>
      <c r="G174" s="51"/>
      <c r="H174" s="51"/>
      <c r="I174" s="51"/>
      <c r="J174" s="51"/>
      <c r="K174" s="52"/>
      <c r="L174" s="52"/>
      <c r="M174" s="53"/>
      <c r="N174" s="54"/>
      <c r="P174" s="51"/>
      <c r="Q174" s="51"/>
      <c r="R174" s="51"/>
      <c r="S174" s="51"/>
      <c r="T174" s="51"/>
    </row>
    <row r="175" spans="1:20" x14ac:dyDescent="0.3">
      <c r="A175" s="48">
        <v>0</v>
      </c>
      <c r="B175" s="49" t="s">
        <v>375</v>
      </c>
      <c r="C175" s="50"/>
      <c r="D175" s="50"/>
      <c r="E175" s="51"/>
      <c r="F175" s="51"/>
      <c r="G175" s="51"/>
      <c r="H175" s="51"/>
      <c r="I175" s="51"/>
      <c r="J175" s="51"/>
      <c r="K175" s="52"/>
      <c r="L175" s="52"/>
      <c r="M175" s="53"/>
      <c r="N175" s="54"/>
      <c r="P175" s="51"/>
      <c r="Q175" s="51"/>
      <c r="R175" s="51"/>
      <c r="S175" s="51"/>
      <c r="T175" s="51"/>
    </row>
    <row r="176" spans="1:20" x14ac:dyDescent="0.3">
      <c r="A176" s="48">
        <v>0</v>
      </c>
      <c r="B176" s="49" t="s">
        <v>376</v>
      </c>
      <c r="C176" s="50"/>
      <c r="D176" s="50"/>
      <c r="E176" s="51"/>
      <c r="F176" s="51"/>
      <c r="G176" s="51"/>
      <c r="H176" s="51"/>
      <c r="I176" s="51"/>
      <c r="J176" s="51"/>
      <c r="K176" s="52"/>
      <c r="L176" s="52"/>
      <c r="M176" s="53"/>
      <c r="N176" s="54"/>
      <c r="P176" s="51"/>
      <c r="Q176" s="51"/>
      <c r="R176" s="51"/>
      <c r="S176" s="51"/>
      <c r="T176" s="51"/>
    </row>
    <row r="177" spans="1:20" x14ac:dyDescent="0.3">
      <c r="A177" s="48">
        <v>0</v>
      </c>
      <c r="B177" s="49" t="s">
        <v>377</v>
      </c>
      <c r="C177" s="50"/>
      <c r="D177" s="50"/>
      <c r="E177" s="51"/>
      <c r="F177" s="51"/>
      <c r="G177" s="51"/>
      <c r="H177" s="51"/>
      <c r="I177" s="51"/>
      <c r="J177" s="51"/>
      <c r="K177" s="52"/>
      <c r="L177" s="52"/>
      <c r="M177" s="53"/>
      <c r="N177" s="54"/>
      <c r="P177" s="51"/>
      <c r="Q177" s="51"/>
      <c r="R177" s="51"/>
      <c r="S177" s="51"/>
      <c r="T177" s="51"/>
    </row>
    <row r="178" spans="1:20" x14ac:dyDescent="0.3">
      <c r="A178" s="48">
        <v>0</v>
      </c>
      <c r="B178" s="49" t="s">
        <v>378</v>
      </c>
      <c r="C178" s="50"/>
      <c r="D178" s="50"/>
      <c r="E178" s="51"/>
      <c r="F178" s="51"/>
      <c r="G178" s="51"/>
      <c r="H178" s="51"/>
      <c r="I178" s="51"/>
      <c r="J178" s="51"/>
      <c r="K178" s="52"/>
      <c r="L178" s="52"/>
      <c r="M178" s="53"/>
      <c r="N178" s="54"/>
      <c r="P178" s="51"/>
      <c r="Q178" s="51"/>
      <c r="R178" s="51"/>
      <c r="S178" s="51"/>
      <c r="T178" s="51"/>
    </row>
    <row r="179" spans="1:20" x14ac:dyDescent="0.3">
      <c r="A179" s="48">
        <v>0</v>
      </c>
      <c r="B179" s="49" t="s">
        <v>379</v>
      </c>
      <c r="C179" s="50"/>
      <c r="D179" s="50"/>
      <c r="E179" s="51"/>
      <c r="F179" s="51"/>
      <c r="G179" s="51"/>
      <c r="H179" s="51"/>
      <c r="I179" s="51"/>
      <c r="J179" s="51"/>
      <c r="K179" s="52"/>
      <c r="L179" s="52"/>
      <c r="M179" s="53"/>
      <c r="N179" s="54"/>
      <c r="P179" s="51"/>
      <c r="Q179" s="51"/>
      <c r="R179" s="51"/>
      <c r="S179" s="51"/>
      <c r="T179" s="51"/>
    </row>
    <row r="180" spans="1:20" x14ac:dyDescent="0.3">
      <c r="A180" s="48">
        <v>0</v>
      </c>
      <c r="B180" s="49" t="s">
        <v>380</v>
      </c>
      <c r="C180" s="50"/>
      <c r="D180" s="50"/>
      <c r="E180" s="51"/>
      <c r="F180" s="51"/>
      <c r="G180" s="51"/>
      <c r="H180" s="51"/>
      <c r="I180" s="51"/>
      <c r="J180" s="51"/>
      <c r="K180" s="52"/>
      <c r="L180" s="52"/>
      <c r="M180" s="53"/>
      <c r="N180" s="54"/>
      <c r="P180" s="51"/>
      <c r="Q180" s="51"/>
      <c r="R180" s="51"/>
      <c r="S180" s="51"/>
      <c r="T180" s="51"/>
    </row>
    <row r="181" spans="1:20" x14ac:dyDescent="0.3">
      <c r="A181" s="48">
        <v>0</v>
      </c>
      <c r="B181" s="49" t="s">
        <v>381</v>
      </c>
      <c r="C181" s="50"/>
      <c r="D181" s="50"/>
      <c r="E181" s="51"/>
      <c r="F181" s="51"/>
      <c r="G181" s="51"/>
      <c r="H181" s="51"/>
      <c r="I181" s="51"/>
      <c r="J181" s="51"/>
      <c r="K181" s="52"/>
      <c r="L181" s="52"/>
      <c r="M181" s="53"/>
      <c r="N181" s="54"/>
      <c r="P181" s="51"/>
      <c r="Q181" s="51"/>
      <c r="R181" s="51"/>
      <c r="S181" s="51"/>
      <c r="T181" s="51"/>
    </row>
    <row r="182" spans="1:20" x14ac:dyDescent="0.3">
      <c r="A182" s="48">
        <v>0</v>
      </c>
      <c r="B182" s="49" t="s">
        <v>382</v>
      </c>
      <c r="C182" s="50"/>
      <c r="D182" s="50"/>
      <c r="E182" s="51"/>
      <c r="F182" s="51"/>
      <c r="G182" s="51"/>
      <c r="H182" s="51"/>
      <c r="I182" s="51"/>
      <c r="J182" s="51"/>
      <c r="K182" s="52"/>
      <c r="L182" s="52"/>
      <c r="M182" s="53"/>
      <c r="N182" s="54"/>
      <c r="P182" s="51"/>
      <c r="Q182" s="51"/>
      <c r="R182" s="51"/>
      <c r="S182" s="51"/>
      <c r="T182" s="51"/>
    </row>
    <row r="183" spans="1:20" x14ac:dyDescent="0.3">
      <c r="A183" s="48">
        <v>0</v>
      </c>
      <c r="B183" s="49" t="s">
        <v>383</v>
      </c>
      <c r="C183" s="50"/>
      <c r="D183" s="50"/>
      <c r="E183" s="51"/>
      <c r="F183" s="51"/>
      <c r="G183" s="51"/>
      <c r="H183" s="51"/>
      <c r="I183" s="51"/>
      <c r="J183" s="51"/>
      <c r="K183" s="52"/>
      <c r="L183" s="52"/>
      <c r="M183" s="53"/>
      <c r="N183" s="54"/>
      <c r="P183" s="51"/>
      <c r="Q183" s="51"/>
      <c r="R183" s="51"/>
      <c r="S183" s="51"/>
      <c r="T183" s="51"/>
    </row>
    <row r="184" spans="1:20" x14ac:dyDescent="0.3">
      <c r="A184" s="48">
        <v>0</v>
      </c>
      <c r="B184" s="49" t="s">
        <v>384</v>
      </c>
      <c r="C184" s="50"/>
      <c r="D184" s="50"/>
      <c r="E184" s="51"/>
      <c r="F184" s="51"/>
      <c r="G184" s="51"/>
      <c r="H184" s="51"/>
      <c r="I184" s="51"/>
      <c r="J184" s="51"/>
      <c r="K184" s="52"/>
      <c r="L184" s="52"/>
      <c r="M184" s="53"/>
      <c r="N184" s="54"/>
      <c r="P184" s="51"/>
      <c r="Q184" s="51"/>
      <c r="R184" s="51"/>
      <c r="S184" s="51"/>
      <c r="T184" s="51"/>
    </row>
    <row r="185" spans="1:20" x14ac:dyDescent="0.3">
      <c r="A185" s="48">
        <v>0</v>
      </c>
      <c r="B185" s="49" t="s">
        <v>385</v>
      </c>
      <c r="C185" s="50"/>
      <c r="D185" s="50"/>
      <c r="E185" s="51"/>
      <c r="F185" s="51"/>
      <c r="G185" s="51"/>
      <c r="H185" s="51"/>
      <c r="I185" s="51"/>
      <c r="J185" s="51"/>
      <c r="K185" s="52"/>
      <c r="L185" s="52"/>
      <c r="M185" s="53"/>
      <c r="N185" s="54"/>
      <c r="P185" s="51"/>
      <c r="Q185" s="51"/>
      <c r="R185" s="51"/>
      <c r="S185" s="51"/>
      <c r="T185" s="51"/>
    </row>
    <row r="186" spans="1:20" x14ac:dyDescent="0.3">
      <c r="A186" s="48">
        <v>0</v>
      </c>
      <c r="B186" s="49" t="s">
        <v>386</v>
      </c>
      <c r="C186" s="50"/>
      <c r="D186" s="50"/>
      <c r="E186" s="51"/>
      <c r="F186" s="51"/>
      <c r="G186" s="51"/>
      <c r="H186" s="51"/>
      <c r="I186" s="51"/>
      <c r="J186" s="51"/>
      <c r="K186" s="52"/>
      <c r="L186" s="52"/>
      <c r="M186" s="53"/>
      <c r="N186" s="54"/>
      <c r="P186" s="51"/>
      <c r="Q186" s="51"/>
      <c r="R186" s="51"/>
      <c r="S186" s="51"/>
      <c r="T186" s="51"/>
    </row>
    <row r="187" spans="1:20" x14ac:dyDescent="0.3">
      <c r="A187" s="48">
        <v>0</v>
      </c>
      <c r="B187" s="49" t="s">
        <v>387</v>
      </c>
      <c r="C187" s="50"/>
      <c r="D187" s="50"/>
      <c r="E187" s="51"/>
      <c r="F187" s="51"/>
      <c r="G187" s="51"/>
      <c r="H187" s="51"/>
      <c r="I187" s="51"/>
      <c r="J187" s="51"/>
      <c r="K187" s="52"/>
      <c r="L187" s="52"/>
      <c r="M187" s="53"/>
      <c r="N187" s="54"/>
      <c r="P187" s="51"/>
      <c r="Q187" s="51"/>
      <c r="R187" s="51"/>
      <c r="S187" s="51"/>
      <c r="T187" s="51"/>
    </row>
    <row r="188" spans="1:20" x14ac:dyDescent="0.3">
      <c r="A188" s="48">
        <v>0</v>
      </c>
      <c r="B188" s="49" t="s">
        <v>388</v>
      </c>
      <c r="C188" s="50"/>
      <c r="D188" s="50"/>
      <c r="E188" s="51"/>
      <c r="F188" s="51"/>
      <c r="G188" s="51"/>
      <c r="H188" s="51"/>
      <c r="I188" s="51"/>
      <c r="J188" s="51"/>
      <c r="K188" s="52"/>
      <c r="L188" s="52"/>
      <c r="M188" s="53"/>
      <c r="N188" s="54"/>
      <c r="P188" s="51"/>
      <c r="Q188" s="51"/>
      <c r="R188" s="51"/>
      <c r="S188" s="51"/>
      <c r="T188" s="51"/>
    </row>
    <row r="189" spans="1:20" x14ac:dyDescent="0.3">
      <c r="A189" s="48">
        <v>0</v>
      </c>
      <c r="B189" s="49" t="s">
        <v>389</v>
      </c>
      <c r="C189" s="50"/>
      <c r="D189" s="50"/>
      <c r="E189" s="51"/>
      <c r="F189" s="51"/>
      <c r="G189" s="51"/>
      <c r="H189" s="51"/>
      <c r="I189" s="51"/>
      <c r="J189" s="51"/>
      <c r="K189" s="52"/>
      <c r="L189" s="52"/>
      <c r="M189" s="53"/>
      <c r="N189" s="54"/>
      <c r="P189" s="51"/>
      <c r="Q189" s="51"/>
      <c r="R189" s="51"/>
      <c r="S189" s="51"/>
      <c r="T189" s="51"/>
    </row>
    <row r="190" spans="1:20" x14ac:dyDescent="0.3">
      <c r="A190" s="48">
        <v>0</v>
      </c>
      <c r="B190" s="49" t="s">
        <v>390</v>
      </c>
      <c r="C190" s="50"/>
      <c r="D190" s="50"/>
      <c r="E190" s="51"/>
      <c r="F190" s="51"/>
      <c r="G190" s="51"/>
      <c r="H190" s="51"/>
      <c r="I190" s="51"/>
      <c r="J190" s="51"/>
      <c r="K190" s="52"/>
      <c r="L190" s="52"/>
      <c r="M190" s="53"/>
      <c r="N190" s="54"/>
      <c r="P190" s="51"/>
      <c r="Q190" s="51"/>
      <c r="R190" s="51"/>
      <c r="S190" s="51"/>
      <c r="T190" s="51"/>
    </row>
    <row r="191" spans="1:20" x14ac:dyDescent="0.3">
      <c r="A191" s="48">
        <v>0</v>
      </c>
      <c r="B191" s="49" t="s">
        <v>398</v>
      </c>
      <c r="C191" s="50"/>
      <c r="D191" s="50"/>
      <c r="E191" s="51"/>
      <c r="F191" s="51"/>
      <c r="G191" s="51"/>
      <c r="H191" s="51"/>
      <c r="I191" s="51"/>
      <c r="J191" s="51"/>
      <c r="K191" s="52"/>
      <c r="L191" s="52"/>
      <c r="M191" s="53"/>
      <c r="N191" s="54"/>
      <c r="P191" s="51"/>
      <c r="Q191" s="51"/>
      <c r="R191" s="51"/>
      <c r="S191" s="51"/>
      <c r="T191" s="51"/>
    </row>
    <row r="192" spans="1:20" x14ac:dyDescent="0.3">
      <c r="A192" s="48">
        <v>0</v>
      </c>
      <c r="B192" s="49" t="s">
        <v>399</v>
      </c>
      <c r="C192" s="50"/>
      <c r="D192" s="50"/>
      <c r="E192" s="51"/>
      <c r="F192" s="51"/>
      <c r="G192" s="51"/>
      <c r="H192" s="51"/>
      <c r="I192" s="51"/>
      <c r="J192" s="51"/>
      <c r="K192" s="52"/>
      <c r="L192" s="52"/>
      <c r="M192" s="53"/>
      <c r="N192" s="54"/>
      <c r="P192" s="51"/>
      <c r="Q192" s="51"/>
      <c r="R192" s="51"/>
      <c r="S192" s="51"/>
      <c r="T192" s="51"/>
    </row>
    <row r="193" spans="1:20" x14ac:dyDescent="0.3">
      <c r="A193" s="48">
        <v>0</v>
      </c>
      <c r="B193" s="49" t="s">
        <v>401</v>
      </c>
      <c r="C193" s="50"/>
      <c r="D193" s="50"/>
      <c r="E193" s="51"/>
      <c r="F193" s="51"/>
      <c r="G193" s="51"/>
      <c r="H193" s="51"/>
      <c r="I193" s="51"/>
      <c r="J193" s="51"/>
      <c r="K193" s="52"/>
      <c r="L193" s="52"/>
      <c r="M193" s="53"/>
      <c r="N193" s="54"/>
      <c r="P193" s="51"/>
      <c r="Q193" s="51"/>
      <c r="R193" s="51"/>
      <c r="S193" s="51"/>
      <c r="T193" s="51"/>
    </row>
    <row r="194" spans="1:20" x14ac:dyDescent="0.3">
      <c r="A194" s="48">
        <v>0</v>
      </c>
      <c r="B194" s="49" t="s">
        <v>402</v>
      </c>
      <c r="C194" s="50"/>
      <c r="D194" s="50"/>
      <c r="E194" s="51"/>
      <c r="F194" s="51"/>
      <c r="G194" s="51"/>
      <c r="H194" s="51"/>
      <c r="I194" s="51"/>
      <c r="J194" s="51"/>
      <c r="K194" s="52"/>
      <c r="L194" s="52"/>
      <c r="M194" s="53"/>
      <c r="N194" s="54"/>
      <c r="P194" s="51"/>
      <c r="Q194" s="51"/>
      <c r="R194" s="51"/>
      <c r="S194" s="51"/>
      <c r="T194" s="51"/>
    </row>
    <row r="195" spans="1:20" x14ac:dyDescent="0.3">
      <c r="A195" s="48">
        <v>0</v>
      </c>
      <c r="B195" s="49" t="s">
        <v>403</v>
      </c>
      <c r="C195" s="50"/>
      <c r="D195" s="50"/>
      <c r="E195" s="51"/>
      <c r="F195" s="51"/>
      <c r="G195" s="51"/>
      <c r="H195" s="51"/>
      <c r="I195" s="51"/>
      <c r="J195" s="51"/>
      <c r="K195" s="52"/>
      <c r="L195" s="52"/>
      <c r="M195" s="53"/>
      <c r="N195" s="54"/>
      <c r="P195" s="51"/>
      <c r="Q195" s="51"/>
      <c r="R195" s="51"/>
      <c r="S195" s="51"/>
      <c r="T195" s="51"/>
    </row>
    <row r="196" spans="1:20" x14ac:dyDescent="0.3">
      <c r="A196" s="48">
        <v>0</v>
      </c>
      <c r="B196" s="49" t="s">
        <v>404</v>
      </c>
      <c r="C196" s="50"/>
      <c r="D196" s="50"/>
      <c r="E196" s="51"/>
      <c r="F196" s="51"/>
      <c r="G196" s="51"/>
      <c r="H196" s="51"/>
      <c r="I196" s="51"/>
      <c r="J196" s="51"/>
      <c r="K196" s="52"/>
      <c r="L196" s="52"/>
      <c r="M196" s="53"/>
      <c r="N196" s="54"/>
      <c r="P196" s="51"/>
      <c r="Q196" s="51"/>
      <c r="R196" s="51"/>
      <c r="S196" s="51"/>
      <c r="T196" s="51"/>
    </row>
    <row r="197" spans="1:20" x14ac:dyDescent="0.3">
      <c r="A197" s="48">
        <v>0</v>
      </c>
      <c r="B197" s="49" t="s">
        <v>406</v>
      </c>
      <c r="C197" s="50"/>
      <c r="D197" s="50"/>
      <c r="E197" s="51"/>
      <c r="F197" s="51"/>
      <c r="G197" s="51"/>
      <c r="H197" s="51"/>
      <c r="I197" s="51"/>
      <c r="J197" s="51"/>
      <c r="K197" s="52"/>
      <c r="L197" s="52"/>
      <c r="M197" s="53"/>
      <c r="N197" s="54"/>
      <c r="P197" s="51"/>
      <c r="Q197" s="51"/>
      <c r="R197" s="51"/>
      <c r="S197" s="51"/>
      <c r="T197" s="51"/>
    </row>
    <row r="198" spans="1:20" x14ac:dyDescent="0.3">
      <c r="A198" s="48">
        <v>0</v>
      </c>
      <c r="B198" s="49" t="s">
        <v>407</v>
      </c>
      <c r="C198" s="50"/>
      <c r="D198" s="50"/>
      <c r="E198" s="51"/>
      <c r="F198" s="51"/>
      <c r="G198" s="51"/>
      <c r="H198" s="51"/>
      <c r="I198" s="51"/>
      <c r="J198" s="51"/>
      <c r="K198" s="52"/>
      <c r="L198" s="52"/>
      <c r="M198" s="53"/>
      <c r="N198" s="54"/>
      <c r="P198" s="51"/>
      <c r="Q198" s="51"/>
      <c r="R198" s="51"/>
      <c r="S198" s="51"/>
      <c r="T198" s="51"/>
    </row>
    <row r="199" spans="1:20" x14ac:dyDescent="0.3">
      <c r="A199" s="48">
        <v>0</v>
      </c>
      <c r="B199" s="49" t="s">
        <v>408</v>
      </c>
      <c r="C199" s="50"/>
      <c r="D199" s="50"/>
      <c r="E199" s="51"/>
      <c r="F199" s="51"/>
      <c r="G199" s="51"/>
      <c r="H199" s="51"/>
      <c r="I199" s="51"/>
      <c r="J199" s="51"/>
      <c r="K199" s="52"/>
      <c r="L199" s="52"/>
      <c r="M199" s="53"/>
      <c r="N199" s="54"/>
      <c r="P199" s="51"/>
      <c r="Q199" s="51"/>
      <c r="R199" s="51"/>
      <c r="S199" s="51"/>
      <c r="T199" s="51"/>
    </row>
    <row r="200" spans="1:20" x14ac:dyDescent="0.3">
      <c r="A200" s="48">
        <v>0</v>
      </c>
      <c r="B200" s="49" t="s">
        <v>409</v>
      </c>
      <c r="C200" s="50"/>
      <c r="D200" s="50"/>
      <c r="E200" s="51"/>
      <c r="F200" s="51"/>
      <c r="G200" s="51"/>
      <c r="H200" s="51"/>
      <c r="I200" s="51"/>
      <c r="J200" s="51"/>
      <c r="K200" s="52"/>
      <c r="L200" s="52"/>
      <c r="M200" s="53"/>
      <c r="N200" s="54"/>
      <c r="P200" s="51"/>
      <c r="Q200" s="51"/>
      <c r="R200" s="51"/>
      <c r="S200" s="51"/>
      <c r="T200" s="51"/>
    </row>
    <row r="201" spans="1:20" x14ac:dyDescent="0.3">
      <c r="A201" s="48">
        <v>0</v>
      </c>
      <c r="B201" s="49" t="s">
        <v>410</v>
      </c>
      <c r="C201" s="50"/>
      <c r="D201" s="50"/>
      <c r="E201" s="51"/>
      <c r="F201" s="51"/>
      <c r="G201" s="51"/>
      <c r="H201" s="51"/>
      <c r="I201" s="51"/>
      <c r="J201" s="51"/>
      <c r="K201" s="52"/>
      <c r="L201" s="52"/>
      <c r="M201" s="53"/>
      <c r="N201" s="54"/>
      <c r="P201" s="51"/>
      <c r="Q201" s="51"/>
      <c r="R201" s="51"/>
      <c r="S201" s="51"/>
      <c r="T201" s="51"/>
    </row>
    <row r="202" spans="1:20" x14ac:dyDescent="0.3">
      <c r="A202" s="48">
        <v>0</v>
      </c>
      <c r="B202" s="49" t="s">
        <v>411</v>
      </c>
      <c r="C202" s="50"/>
      <c r="D202" s="50"/>
      <c r="E202" s="51"/>
      <c r="F202" s="51"/>
      <c r="G202" s="51"/>
      <c r="H202" s="51"/>
      <c r="I202" s="51"/>
      <c r="J202" s="51"/>
      <c r="K202" s="52"/>
      <c r="L202" s="52"/>
      <c r="M202" s="53"/>
      <c r="N202" s="54"/>
      <c r="P202" s="51"/>
      <c r="Q202" s="51"/>
      <c r="R202" s="51"/>
      <c r="S202" s="51"/>
      <c r="T202" s="51"/>
    </row>
    <row r="203" spans="1:20" x14ac:dyDescent="0.3">
      <c r="A203" s="48">
        <v>0</v>
      </c>
      <c r="B203" s="49" t="s">
        <v>412</v>
      </c>
      <c r="C203" s="50"/>
      <c r="D203" s="50"/>
      <c r="E203" s="51"/>
      <c r="F203" s="51"/>
      <c r="G203" s="51"/>
      <c r="H203" s="51"/>
      <c r="I203" s="51"/>
      <c r="J203" s="51"/>
      <c r="K203" s="52"/>
      <c r="L203" s="52"/>
      <c r="M203" s="53"/>
      <c r="N203" s="54"/>
      <c r="P203" s="51"/>
      <c r="Q203" s="51"/>
      <c r="R203" s="51"/>
      <c r="S203" s="51"/>
      <c r="T203" s="51"/>
    </row>
    <row r="204" spans="1:20" x14ac:dyDescent="0.3">
      <c r="A204" s="48">
        <v>0</v>
      </c>
      <c r="B204" s="49" t="s">
        <v>413</v>
      </c>
      <c r="C204" s="50"/>
      <c r="D204" s="50"/>
      <c r="E204" s="51"/>
      <c r="F204" s="51"/>
      <c r="G204" s="51"/>
      <c r="H204" s="51"/>
      <c r="I204" s="51"/>
      <c r="J204" s="51"/>
      <c r="K204" s="52"/>
      <c r="L204" s="52"/>
      <c r="M204" s="53"/>
      <c r="N204" s="54"/>
      <c r="P204" s="51"/>
      <c r="Q204" s="51"/>
      <c r="R204" s="51"/>
      <c r="S204" s="51"/>
      <c r="T204" s="51"/>
    </row>
    <row r="205" spans="1:20" x14ac:dyDescent="0.3">
      <c r="A205" s="48">
        <v>0</v>
      </c>
      <c r="B205" s="49" t="s">
        <v>414</v>
      </c>
      <c r="C205" s="50"/>
      <c r="D205" s="50"/>
      <c r="E205" s="51"/>
      <c r="F205" s="51"/>
      <c r="G205" s="51"/>
      <c r="H205" s="51"/>
      <c r="I205" s="51"/>
      <c r="J205" s="51"/>
      <c r="K205" s="52"/>
      <c r="L205" s="52"/>
      <c r="M205" s="53"/>
      <c r="N205" s="54"/>
      <c r="P205" s="51"/>
      <c r="Q205" s="51"/>
      <c r="R205" s="51"/>
      <c r="S205" s="51"/>
      <c r="T205" s="51"/>
    </row>
    <row r="206" spans="1:20" x14ac:dyDescent="0.3">
      <c r="A206" s="48">
        <v>0</v>
      </c>
      <c r="B206" s="49" t="s">
        <v>415</v>
      </c>
      <c r="C206" s="50"/>
      <c r="D206" s="50"/>
      <c r="E206" s="51"/>
      <c r="F206" s="51"/>
      <c r="G206" s="51"/>
      <c r="H206" s="51"/>
      <c r="I206" s="51"/>
      <c r="J206" s="51"/>
      <c r="K206" s="52"/>
      <c r="L206" s="52"/>
      <c r="M206" s="53"/>
      <c r="N206" s="54"/>
      <c r="P206" s="51"/>
      <c r="Q206" s="51"/>
      <c r="R206" s="51"/>
      <c r="S206" s="51"/>
      <c r="T206" s="51"/>
    </row>
    <row r="207" spans="1:20" x14ac:dyDescent="0.3">
      <c r="A207" s="48">
        <v>0</v>
      </c>
      <c r="B207" s="49" t="s">
        <v>416</v>
      </c>
      <c r="C207" s="50"/>
      <c r="D207" s="50"/>
      <c r="E207" s="51"/>
      <c r="F207" s="51"/>
      <c r="G207" s="51"/>
      <c r="H207" s="51"/>
      <c r="I207" s="51"/>
      <c r="J207" s="51"/>
      <c r="K207" s="52"/>
      <c r="L207" s="52"/>
      <c r="M207" s="53"/>
      <c r="N207" s="54"/>
      <c r="P207" s="51"/>
      <c r="Q207" s="51"/>
      <c r="R207" s="51"/>
      <c r="S207" s="51"/>
      <c r="T207" s="51"/>
    </row>
    <row r="208" spans="1:20" x14ac:dyDescent="0.3">
      <c r="A208" s="48">
        <v>0</v>
      </c>
      <c r="B208" s="49" t="s">
        <v>417</v>
      </c>
      <c r="C208" s="50"/>
      <c r="D208" s="50"/>
      <c r="E208" s="51"/>
      <c r="F208" s="51"/>
      <c r="G208" s="51"/>
      <c r="H208" s="51"/>
      <c r="I208" s="51"/>
      <c r="J208" s="51"/>
      <c r="K208" s="52"/>
      <c r="L208" s="52"/>
      <c r="M208" s="53"/>
      <c r="N208" s="54"/>
      <c r="P208" s="51"/>
      <c r="Q208" s="51"/>
      <c r="R208" s="51"/>
      <c r="S208" s="51"/>
      <c r="T208" s="51"/>
    </row>
    <row r="209" spans="1:20" x14ac:dyDescent="0.3">
      <c r="A209" s="48">
        <v>0</v>
      </c>
      <c r="B209" s="49" t="s">
        <v>418</v>
      </c>
      <c r="C209" s="50"/>
      <c r="D209" s="50"/>
      <c r="E209" s="51"/>
      <c r="F209" s="51"/>
      <c r="G209" s="51"/>
      <c r="H209" s="51"/>
      <c r="I209" s="51"/>
      <c r="J209" s="51"/>
      <c r="K209" s="52"/>
      <c r="L209" s="52"/>
      <c r="M209" s="53"/>
      <c r="N209" s="54"/>
      <c r="P209" s="51"/>
      <c r="Q209" s="51"/>
      <c r="R209" s="51"/>
      <c r="S209" s="51"/>
      <c r="T209" s="51"/>
    </row>
    <row r="210" spans="1:20" x14ac:dyDescent="0.3">
      <c r="A210" s="48">
        <v>0</v>
      </c>
      <c r="B210" s="49" t="s">
        <v>419</v>
      </c>
      <c r="C210" s="50"/>
      <c r="D210" s="50"/>
      <c r="E210" s="51"/>
      <c r="F210" s="51"/>
      <c r="G210" s="51"/>
      <c r="H210" s="51"/>
      <c r="I210" s="51"/>
      <c r="J210" s="51"/>
      <c r="K210" s="52"/>
      <c r="L210" s="52"/>
      <c r="M210" s="53"/>
      <c r="N210" s="54"/>
      <c r="P210" s="51"/>
      <c r="Q210" s="51"/>
      <c r="R210" s="51"/>
      <c r="S210" s="51"/>
      <c r="T210" s="51"/>
    </row>
    <row r="211" spans="1:20" x14ac:dyDescent="0.3">
      <c r="A211" s="48">
        <v>0</v>
      </c>
      <c r="B211" s="49" t="s">
        <v>421</v>
      </c>
      <c r="C211" s="50"/>
      <c r="D211" s="50"/>
      <c r="E211" s="51"/>
      <c r="F211" s="51"/>
      <c r="G211" s="51"/>
      <c r="H211" s="51"/>
      <c r="I211" s="51"/>
      <c r="J211" s="51"/>
      <c r="K211" s="52"/>
      <c r="L211" s="52"/>
      <c r="M211" s="53"/>
      <c r="N211" s="54"/>
      <c r="P211" s="51"/>
      <c r="Q211" s="51"/>
      <c r="R211" s="51"/>
      <c r="S211" s="51"/>
      <c r="T211" s="51"/>
    </row>
    <row r="212" spans="1:20" x14ac:dyDescent="0.3">
      <c r="A212" s="48">
        <v>0</v>
      </c>
      <c r="B212" s="49" t="s">
        <v>458</v>
      </c>
      <c r="C212" s="50"/>
      <c r="D212" s="50"/>
      <c r="E212" s="51"/>
      <c r="F212" s="51"/>
      <c r="G212" s="51"/>
      <c r="H212" s="51"/>
      <c r="I212" s="51"/>
      <c r="J212" s="51"/>
      <c r="K212" s="52"/>
      <c r="L212" s="52"/>
      <c r="M212" s="53"/>
      <c r="N212" s="54"/>
      <c r="P212" s="51"/>
      <c r="Q212" s="51"/>
      <c r="R212" s="51"/>
      <c r="S212" s="51"/>
      <c r="T212" s="51"/>
    </row>
    <row r="213" spans="1:20" x14ac:dyDescent="0.3">
      <c r="A213" s="48">
        <v>0</v>
      </c>
      <c r="B213" s="49" t="s">
        <v>459</v>
      </c>
      <c r="C213" s="50"/>
      <c r="D213" s="50"/>
      <c r="E213" s="51"/>
      <c r="F213" s="51"/>
      <c r="G213" s="51"/>
      <c r="H213" s="51"/>
      <c r="I213" s="51"/>
      <c r="J213" s="51"/>
      <c r="K213" s="52"/>
      <c r="L213" s="52"/>
      <c r="M213" s="53"/>
      <c r="N213" s="54"/>
      <c r="P213" s="51"/>
      <c r="Q213" s="51"/>
      <c r="R213" s="51"/>
      <c r="S213" s="51"/>
      <c r="T213" s="51"/>
    </row>
    <row r="214" spans="1:20" x14ac:dyDescent="0.3">
      <c r="A214" s="48">
        <v>0</v>
      </c>
      <c r="B214" s="49" t="s">
        <v>460</v>
      </c>
      <c r="C214" s="50"/>
      <c r="D214" s="50"/>
      <c r="E214" s="51"/>
      <c r="F214" s="51"/>
      <c r="G214" s="51"/>
      <c r="H214" s="51"/>
      <c r="I214" s="51"/>
      <c r="J214" s="51"/>
      <c r="K214" s="52"/>
      <c r="L214" s="52"/>
      <c r="M214" s="53"/>
      <c r="N214" s="54"/>
      <c r="P214" s="51"/>
      <c r="Q214" s="51"/>
      <c r="R214" s="51"/>
      <c r="S214" s="51"/>
      <c r="T214" s="51"/>
    </row>
    <row r="215" spans="1:20" x14ac:dyDescent="0.3">
      <c r="A215" s="48">
        <v>0</v>
      </c>
      <c r="B215" s="49" t="s">
        <v>461</v>
      </c>
      <c r="C215" s="50"/>
      <c r="D215" s="50"/>
      <c r="E215" s="51"/>
      <c r="F215" s="51"/>
      <c r="G215" s="51"/>
      <c r="H215" s="51"/>
      <c r="I215" s="51"/>
      <c r="J215" s="51"/>
      <c r="K215" s="52"/>
      <c r="L215" s="52"/>
      <c r="M215" s="53"/>
      <c r="N215" s="54"/>
      <c r="P215" s="51"/>
      <c r="Q215" s="51"/>
      <c r="R215" s="51"/>
      <c r="S215" s="51"/>
      <c r="T215" s="51"/>
    </row>
    <row r="216" spans="1:20" x14ac:dyDescent="0.3">
      <c r="A216" s="48">
        <v>0</v>
      </c>
      <c r="B216" s="49" t="s">
        <v>462</v>
      </c>
      <c r="C216" s="50"/>
      <c r="D216" s="50"/>
      <c r="E216" s="51"/>
      <c r="F216" s="51"/>
      <c r="G216" s="51"/>
      <c r="H216" s="51"/>
      <c r="I216" s="51"/>
      <c r="J216" s="51"/>
      <c r="K216" s="52"/>
      <c r="L216" s="52"/>
      <c r="M216" s="53"/>
      <c r="N216" s="54"/>
      <c r="P216" s="51"/>
      <c r="Q216" s="51"/>
      <c r="R216" s="51"/>
      <c r="S216" s="51"/>
      <c r="T216" s="51"/>
    </row>
    <row r="217" spans="1:20" x14ac:dyDescent="0.3">
      <c r="A217" s="48">
        <v>0</v>
      </c>
      <c r="B217" s="49" t="s">
        <v>463</v>
      </c>
      <c r="C217" s="50"/>
      <c r="D217" s="50"/>
      <c r="E217" s="51"/>
      <c r="F217" s="51"/>
      <c r="G217" s="51"/>
      <c r="H217" s="51"/>
      <c r="I217" s="51"/>
      <c r="J217" s="51"/>
      <c r="K217" s="52"/>
      <c r="L217" s="52"/>
      <c r="M217" s="53"/>
      <c r="N217" s="54"/>
      <c r="P217" s="51"/>
      <c r="Q217" s="51"/>
      <c r="R217" s="51"/>
      <c r="S217" s="51"/>
      <c r="T217" s="51"/>
    </row>
    <row r="218" spans="1:20" x14ac:dyDescent="0.3">
      <c r="A218" s="48">
        <v>0</v>
      </c>
      <c r="B218" s="49" t="s">
        <v>464</v>
      </c>
      <c r="C218" s="50"/>
      <c r="D218" s="50"/>
      <c r="E218" s="51"/>
      <c r="F218" s="51"/>
      <c r="G218" s="51"/>
      <c r="H218" s="51"/>
      <c r="I218" s="51"/>
      <c r="J218" s="51"/>
      <c r="K218" s="52"/>
      <c r="L218" s="52"/>
      <c r="M218" s="53"/>
      <c r="N218" s="54"/>
      <c r="P218" s="51"/>
      <c r="Q218" s="51"/>
      <c r="R218" s="51"/>
      <c r="S218" s="51"/>
      <c r="T218" s="51"/>
    </row>
    <row r="219" spans="1:20" x14ac:dyDescent="0.3">
      <c r="A219" s="48">
        <v>0</v>
      </c>
      <c r="B219" s="49" t="s">
        <v>465</v>
      </c>
      <c r="C219" s="50"/>
      <c r="D219" s="50"/>
      <c r="E219" s="51"/>
      <c r="F219" s="51"/>
      <c r="G219" s="51"/>
      <c r="H219" s="51"/>
      <c r="I219" s="51"/>
      <c r="J219" s="51"/>
      <c r="K219" s="52"/>
      <c r="L219" s="52"/>
      <c r="M219" s="53"/>
      <c r="N219" s="54"/>
      <c r="P219" s="51"/>
      <c r="Q219" s="51"/>
      <c r="R219" s="51"/>
      <c r="S219" s="51"/>
      <c r="T219" s="51"/>
    </row>
    <row r="220" spans="1:20" x14ac:dyDescent="0.3">
      <c r="A220" s="48">
        <v>0</v>
      </c>
      <c r="B220" s="49" t="s">
        <v>466</v>
      </c>
      <c r="C220" s="50"/>
      <c r="D220" s="50"/>
      <c r="E220" s="51"/>
      <c r="F220" s="51"/>
      <c r="G220" s="51"/>
      <c r="H220" s="51"/>
      <c r="I220" s="51"/>
      <c r="J220" s="51"/>
      <c r="K220" s="52"/>
      <c r="L220" s="52"/>
      <c r="M220" s="53"/>
      <c r="N220" s="54"/>
      <c r="P220" s="51"/>
      <c r="Q220" s="51"/>
      <c r="R220" s="51"/>
      <c r="S220" s="51"/>
      <c r="T220" s="51"/>
    </row>
    <row r="221" spans="1:20" x14ac:dyDescent="0.3">
      <c r="A221" s="48">
        <v>0</v>
      </c>
      <c r="B221" s="49" t="s">
        <v>467</v>
      </c>
      <c r="C221" s="50"/>
      <c r="D221" s="50"/>
      <c r="E221" s="51"/>
      <c r="F221" s="51"/>
      <c r="G221" s="51"/>
      <c r="H221" s="51"/>
      <c r="I221" s="51"/>
      <c r="J221" s="51"/>
      <c r="K221" s="52"/>
      <c r="L221" s="52"/>
      <c r="M221" s="53"/>
      <c r="N221" s="54"/>
      <c r="P221" s="51"/>
      <c r="Q221" s="51"/>
      <c r="R221" s="51"/>
      <c r="S221" s="51"/>
      <c r="T221" s="51"/>
    </row>
    <row r="222" spans="1:20" x14ac:dyDescent="0.3">
      <c r="A222" s="48">
        <v>0</v>
      </c>
      <c r="B222" s="49" t="s">
        <v>468</v>
      </c>
      <c r="C222" s="50"/>
      <c r="D222" s="50"/>
      <c r="E222" s="51"/>
      <c r="F222" s="51"/>
      <c r="G222" s="51"/>
      <c r="H222" s="51"/>
      <c r="I222" s="51"/>
      <c r="J222" s="51"/>
      <c r="K222" s="52"/>
      <c r="L222" s="52"/>
      <c r="M222" s="53"/>
      <c r="N222" s="54"/>
      <c r="P222" s="51"/>
      <c r="Q222" s="51"/>
      <c r="R222" s="51"/>
      <c r="S222" s="51"/>
      <c r="T222" s="51"/>
    </row>
    <row r="223" spans="1:20" x14ac:dyDescent="0.3">
      <c r="A223" s="48">
        <v>0</v>
      </c>
      <c r="B223" s="49" t="s">
        <v>469</v>
      </c>
      <c r="C223" s="50"/>
      <c r="D223" s="50"/>
      <c r="E223" s="51"/>
      <c r="F223" s="51"/>
      <c r="G223" s="51"/>
      <c r="H223" s="51"/>
      <c r="I223" s="51"/>
      <c r="J223" s="51"/>
      <c r="K223" s="52"/>
      <c r="L223" s="52"/>
      <c r="M223" s="53"/>
      <c r="N223" s="54"/>
      <c r="P223" s="51"/>
      <c r="Q223" s="51"/>
      <c r="R223" s="51"/>
      <c r="S223" s="51"/>
      <c r="T223" s="51"/>
    </row>
    <row r="224" spans="1:20" x14ac:dyDescent="0.3">
      <c r="A224" s="48">
        <v>0</v>
      </c>
      <c r="B224" s="49" t="s">
        <v>470</v>
      </c>
      <c r="C224" s="50"/>
      <c r="D224" s="50"/>
      <c r="E224" s="51"/>
      <c r="F224" s="51"/>
      <c r="G224" s="51"/>
      <c r="H224" s="51"/>
      <c r="I224" s="51"/>
      <c r="J224" s="51"/>
      <c r="K224" s="52"/>
      <c r="L224" s="52"/>
      <c r="M224" s="53"/>
      <c r="N224" s="54"/>
      <c r="P224" s="51"/>
      <c r="Q224" s="51"/>
      <c r="R224" s="51"/>
      <c r="S224" s="51"/>
      <c r="T224" s="51"/>
    </row>
    <row r="225" spans="1:20" x14ac:dyDescent="0.3">
      <c r="A225" s="48">
        <v>0</v>
      </c>
      <c r="B225" s="49" t="s">
        <v>471</v>
      </c>
      <c r="C225" s="50"/>
      <c r="D225" s="50"/>
      <c r="E225" s="51"/>
      <c r="F225" s="51"/>
      <c r="G225" s="51"/>
      <c r="H225" s="51"/>
      <c r="I225" s="51"/>
      <c r="J225" s="51"/>
      <c r="K225" s="52"/>
      <c r="L225" s="52"/>
      <c r="M225" s="53"/>
      <c r="N225" s="54"/>
      <c r="P225" s="51"/>
      <c r="Q225" s="51"/>
      <c r="R225" s="51"/>
      <c r="S225" s="51"/>
      <c r="T225" s="51"/>
    </row>
    <row r="226" spans="1:20" x14ac:dyDescent="0.3">
      <c r="A226" s="48">
        <v>0</v>
      </c>
      <c r="B226" s="49" t="s">
        <v>472</v>
      </c>
      <c r="C226" s="50"/>
      <c r="D226" s="50"/>
      <c r="E226" s="51"/>
      <c r="F226" s="51"/>
      <c r="G226" s="51"/>
      <c r="H226" s="51"/>
      <c r="I226" s="51"/>
      <c r="J226" s="51"/>
      <c r="K226" s="52"/>
      <c r="L226" s="52"/>
      <c r="M226" s="53"/>
      <c r="N226" s="54"/>
      <c r="P226" s="51"/>
      <c r="Q226" s="51"/>
      <c r="R226" s="51"/>
      <c r="S226" s="51"/>
      <c r="T226" s="51"/>
    </row>
    <row r="227" spans="1:20" x14ac:dyDescent="0.3">
      <c r="A227" s="48">
        <v>0</v>
      </c>
      <c r="B227" s="49" t="s">
        <v>473</v>
      </c>
      <c r="C227" s="50"/>
      <c r="D227" s="50"/>
      <c r="E227" s="51"/>
      <c r="F227" s="51"/>
      <c r="G227" s="51"/>
      <c r="H227" s="51"/>
      <c r="I227" s="51"/>
      <c r="J227" s="51"/>
      <c r="K227" s="52"/>
      <c r="L227" s="52"/>
      <c r="M227" s="53"/>
      <c r="N227" s="54"/>
      <c r="P227" s="51"/>
      <c r="Q227" s="51"/>
      <c r="R227" s="51"/>
      <c r="S227" s="51"/>
      <c r="T227" s="51"/>
    </row>
    <row r="228" spans="1:20" x14ac:dyDescent="0.3">
      <c r="A228" s="48">
        <v>0</v>
      </c>
      <c r="B228" s="49" t="s">
        <v>474</v>
      </c>
      <c r="C228" s="50"/>
      <c r="D228" s="50"/>
      <c r="E228" s="51"/>
      <c r="F228" s="51"/>
      <c r="G228" s="51"/>
      <c r="H228" s="51"/>
      <c r="I228" s="51"/>
      <c r="J228" s="51"/>
      <c r="K228" s="52"/>
      <c r="L228" s="52"/>
      <c r="M228" s="53"/>
      <c r="N228" s="54"/>
      <c r="P228" s="51"/>
      <c r="Q228" s="51"/>
      <c r="R228" s="51"/>
      <c r="S228" s="51"/>
      <c r="T228" s="51"/>
    </row>
    <row r="229" spans="1:20" x14ac:dyDescent="0.3">
      <c r="A229" s="48">
        <v>0</v>
      </c>
      <c r="B229" s="49" t="s">
        <v>475</v>
      </c>
      <c r="C229" s="50"/>
      <c r="D229" s="50"/>
      <c r="E229" s="51"/>
      <c r="F229" s="51"/>
      <c r="G229" s="51"/>
      <c r="H229" s="51"/>
      <c r="I229" s="51"/>
      <c r="J229" s="51"/>
      <c r="K229" s="52"/>
      <c r="L229" s="52"/>
      <c r="M229" s="53"/>
      <c r="N229" s="54"/>
      <c r="P229" s="51"/>
      <c r="Q229" s="51"/>
      <c r="R229" s="51"/>
      <c r="S229" s="51"/>
      <c r="T229" s="51"/>
    </row>
    <row r="230" spans="1:20" x14ac:dyDescent="0.3">
      <c r="A230" s="48">
        <v>0</v>
      </c>
      <c r="B230" s="49" t="s">
        <v>476</v>
      </c>
      <c r="C230" s="50"/>
      <c r="D230" s="50"/>
      <c r="E230" s="51"/>
      <c r="F230" s="51"/>
      <c r="G230" s="51"/>
      <c r="H230" s="51"/>
      <c r="I230" s="51"/>
      <c r="J230" s="51"/>
      <c r="K230" s="52"/>
      <c r="L230" s="52"/>
      <c r="M230" s="53"/>
      <c r="N230" s="54"/>
      <c r="P230" s="51"/>
      <c r="Q230" s="51"/>
      <c r="R230" s="51"/>
      <c r="S230" s="51"/>
      <c r="T230" s="51"/>
    </row>
    <row r="231" spans="1:20" x14ac:dyDescent="0.3">
      <c r="A231" s="48">
        <v>0</v>
      </c>
      <c r="B231" s="49" t="s">
        <v>477</v>
      </c>
      <c r="C231" s="50"/>
      <c r="D231" s="50"/>
      <c r="E231" s="51"/>
      <c r="F231" s="51"/>
      <c r="G231" s="51"/>
      <c r="H231" s="51"/>
      <c r="I231" s="51"/>
      <c r="J231" s="51"/>
      <c r="K231" s="52"/>
      <c r="L231" s="52"/>
      <c r="M231" s="53"/>
      <c r="N231" s="54"/>
      <c r="P231" s="51"/>
      <c r="Q231" s="51"/>
      <c r="R231" s="51"/>
      <c r="S231" s="51"/>
      <c r="T231" s="51"/>
    </row>
    <row r="232" spans="1:20" x14ac:dyDescent="0.3">
      <c r="A232" s="48">
        <v>0</v>
      </c>
      <c r="B232" s="49" t="s">
        <v>422</v>
      </c>
      <c r="C232" s="50"/>
      <c r="D232" s="50"/>
      <c r="E232" s="51"/>
      <c r="F232" s="51"/>
      <c r="G232" s="51"/>
      <c r="H232" s="51"/>
      <c r="I232" s="51"/>
      <c r="J232" s="51"/>
      <c r="K232" s="52"/>
      <c r="L232" s="52"/>
      <c r="M232" s="53"/>
      <c r="N232" s="54"/>
      <c r="P232" s="51"/>
      <c r="Q232" s="51"/>
      <c r="R232" s="51"/>
      <c r="S232" s="51"/>
      <c r="T232" s="51"/>
    </row>
    <row r="233" spans="1:20" x14ac:dyDescent="0.3">
      <c r="A233" s="48">
        <v>0</v>
      </c>
      <c r="B233" s="49" t="s">
        <v>245</v>
      </c>
      <c r="C233" s="50"/>
      <c r="D233" s="50"/>
      <c r="E233" s="51"/>
      <c r="F233" s="51"/>
      <c r="G233" s="51"/>
      <c r="H233" s="51"/>
      <c r="I233" s="51"/>
      <c r="J233" s="51"/>
      <c r="K233" s="52"/>
      <c r="L233" s="52"/>
      <c r="M233" s="53"/>
      <c r="N233" s="54"/>
      <c r="P233" s="51"/>
      <c r="Q233" s="51"/>
      <c r="R233" s="51"/>
      <c r="S233" s="51"/>
      <c r="T233" s="51"/>
    </row>
    <row r="234" spans="1:20" x14ac:dyDescent="0.3">
      <c r="A234" s="48">
        <v>0</v>
      </c>
      <c r="B234" s="49" t="s">
        <v>490</v>
      </c>
      <c r="C234" s="50"/>
      <c r="D234" s="50"/>
      <c r="E234" s="51"/>
      <c r="F234" s="51"/>
      <c r="G234" s="51"/>
      <c r="H234" s="51"/>
      <c r="I234" s="51"/>
      <c r="J234" s="51"/>
      <c r="K234" s="52"/>
      <c r="L234" s="52"/>
      <c r="M234" s="53"/>
      <c r="N234" s="54"/>
      <c r="P234" s="51"/>
      <c r="Q234" s="51"/>
      <c r="R234" s="51"/>
      <c r="S234" s="51"/>
      <c r="T234" s="51"/>
    </row>
    <row r="235" spans="1:20" x14ac:dyDescent="0.3">
      <c r="A235" s="48">
        <v>0</v>
      </c>
      <c r="B235" s="49" t="s">
        <v>491</v>
      </c>
      <c r="C235" s="50"/>
      <c r="D235" s="50"/>
      <c r="E235" s="51"/>
      <c r="F235" s="51"/>
      <c r="G235" s="51"/>
      <c r="H235" s="51"/>
      <c r="I235" s="51"/>
      <c r="J235" s="51"/>
      <c r="K235" s="52"/>
      <c r="L235" s="52"/>
      <c r="M235" s="53"/>
      <c r="N235" s="54"/>
      <c r="P235" s="51"/>
      <c r="Q235" s="51"/>
      <c r="R235" s="51"/>
      <c r="S235" s="51"/>
      <c r="T235" s="51"/>
    </row>
    <row r="236" spans="1:20" x14ac:dyDescent="0.3">
      <c r="A236" s="48">
        <v>0</v>
      </c>
      <c r="B236" s="49" t="s">
        <v>492</v>
      </c>
      <c r="C236" s="50"/>
      <c r="D236" s="50"/>
      <c r="E236" s="51"/>
      <c r="F236" s="51"/>
      <c r="G236" s="51"/>
      <c r="H236" s="51"/>
      <c r="I236" s="51"/>
      <c r="J236" s="51"/>
      <c r="K236" s="52"/>
      <c r="L236" s="52"/>
      <c r="M236" s="53"/>
      <c r="N236" s="54"/>
      <c r="P236" s="51"/>
      <c r="Q236" s="51"/>
      <c r="R236" s="51"/>
      <c r="S236" s="51"/>
      <c r="T236" s="51"/>
    </row>
    <row r="237" spans="1:20" x14ac:dyDescent="0.3">
      <c r="A237" s="48">
        <v>0</v>
      </c>
      <c r="B237" s="49" t="s">
        <v>493</v>
      </c>
      <c r="C237" s="50"/>
      <c r="D237" s="50"/>
      <c r="E237" s="51"/>
      <c r="F237" s="51"/>
      <c r="G237" s="51"/>
      <c r="H237" s="51"/>
      <c r="I237" s="51"/>
      <c r="J237" s="51"/>
      <c r="K237" s="52"/>
      <c r="L237" s="52"/>
      <c r="M237" s="53"/>
      <c r="N237" s="54"/>
      <c r="P237" s="51"/>
      <c r="Q237" s="51"/>
      <c r="R237" s="51"/>
      <c r="S237" s="51"/>
      <c r="T237" s="51"/>
    </row>
    <row r="238" spans="1:20" x14ac:dyDescent="0.3">
      <c r="A238" s="48">
        <v>0</v>
      </c>
      <c r="B238" s="49" t="s">
        <v>494</v>
      </c>
      <c r="C238" s="50"/>
      <c r="D238" s="50"/>
      <c r="E238" s="51"/>
      <c r="F238" s="51"/>
      <c r="G238" s="51"/>
      <c r="H238" s="51"/>
      <c r="I238" s="51"/>
      <c r="J238" s="51"/>
      <c r="K238" s="52"/>
      <c r="L238" s="52"/>
      <c r="M238" s="53"/>
      <c r="N238" s="54"/>
      <c r="P238" s="51"/>
      <c r="Q238" s="51"/>
      <c r="R238" s="51"/>
      <c r="S238" s="51"/>
      <c r="T238" s="51"/>
    </row>
    <row r="239" spans="1:20" x14ac:dyDescent="0.3">
      <c r="A239" s="48">
        <v>0</v>
      </c>
      <c r="B239" s="49" t="s">
        <v>495</v>
      </c>
      <c r="C239" s="50"/>
      <c r="D239" s="50"/>
      <c r="E239" s="51"/>
      <c r="F239" s="51"/>
      <c r="G239" s="51"/>
      <c r="H239" s="51"/>
      <c r="I239" s="51"/>
      <c r="J239" s="51"/>
      <c r="K239" s="52"/>
      <c r="L239" s="52"/>
      <c r="M239" s="53"/>
      <c r="N239" s="54"/>
      <c r="P239" s="51"/>
      <c r="Q239" s="51"/>
      <c r="R239" s="51"/>
      <c r="S239" s="51"/>
      <c r="T239" s="51"/>
    </row>
    <row r="240" spans="1:20" x14ac:dyDescent="0.3">
      <c r="A240" s="48">
        <v>0</v>
      </c>
      <c r="B240" s="49" t="s">
        <v>496</v>
      </c>
      <c r="C240" s="50"/>
      <c r="D240" s="50"/>
      <c r="E240" s="51"/>
      <c r="F240" s="51"/>
      <c r="G240" s="51"/>
      <c r="H240" s="51"/>
      <c r="I240" s="51"/>
      <c r="J240" s="51"/>
      <c r="K240" s="52"/>
      <c r="L240" s="52"/>
      <c r="M240" s="53"/>
      <c r="N240" s="54"/>
      <c r="P240" s="51"/>
      <c r="Q240" s="51"/>
      <c r="R240" s="51"/>
      <c r="S240" s="51"/>
      <c r="T240" s="51"/>
    </row>
    <row r="241" spans="1:20" x14ac:dyDescent="0.3">
      <c r="A241" s="48">
        <v>0</v>
      </c>
      <c r="B241" s="49" t="s">
        <v>497</v>
      </c>
      <c r="C241" s="50"/>
      <c r="D241" s="50"/>
      <c r="E241" s="51"/>
      <c r="F241" s="51"/>
      <c r="G241" s="51"/>
      <c r="H241" s="51"/>
      <c r="I241" s="51"/>
      <c r="J241" s="51"/>
      <c r="K241" s="52"/>
      <c r="L241" s="52"/>
      <c r="M241" s="53"/>
      <c r="N241" s="54"/>
      <c r="P241" s="51"/>
      <c r="Q241" s="51"/>
      <c r="R241" s="51"/>
      <c r="S241" s="51"/>
      <c r="T241" s="51"/>
    </row>
    <row r="242" spans="1:20" x14ac:dyDescent="0.3">
      <c r="A242" s="48">
        <v>0</v>
      </c>
      <c r="B242" s="49" t="s">
        <v>512</v>
      </c>
      <c r="C242" s="50"/>
      <c r="D242" s="50"/>
      <c r="E242" s="51"/>
      <c r="F242" s="51"/>
      <c r="G242" s="51"/>
      <c r="H242" s="51"/>
      <c r="I242" s="51"/>
      <c r="J242" s="51"/>
      <c r="K242" s="52"/>
      <c r="L242" s="52"/>
      <c r="M242" s="53"/>
      <c r="N242" s="54"/>
      <c r="P242" s="51"/>
      <c r="Q242" s="51"/>
      <c r="R242" s="51"/>
      <c r="S242" s="51"/>
      <c r="T242" s="51"/>
    </row>
    <row r="243" spans="1:20" x14ac:dyDescent="0.3">
      <c r="A243" s="48">
        <v>0</v>
      </c>
      <c r="B243" s="49" t="s">
        <v>513</v>
      </c>
      <c r="C243" s="50"/>
      <c r="D243" s="50"/>
      <c r="E243" s="51"/>
      <c r="F243" s="51"/>
      <c r="G243" s="51"/>
      <c r="H243" s="51"/>
      <c r="I243" s="51"/>
      <c r="J243" s="51"/>
      <c r="K243" s="52"/>
      <c r="L243" s="52"/>
      <c r="M243" s="53"/>
      <c r="N243" s="54"/>
      <c r="P243" s="51"/>
      <c r="Q243" s="51"/>
      <c r="R243" s="51"/>
      <c r="S243" s="51"/>
      <c r="T243" s="51"/>
    </row>
    <row r="244" spans="1:20" x14ac:dyDescent="0.3">
      <c r="A244" s="48">
        <v>0</v>
      </c>
      <c r="B244" s="49" t="s">
        <v>514</v>
      </c>
      <c r="C244" s="50"/>
      <c r="D244" s="50"/>
      <c r="E244" s="51"/>
      <c r="F244" s="51"/>
      <c r="G244" s="51"/>
      <c r="H244" s="51"/>
      <c r="I244" s="51"/>
      <c r="J244" s="51"/>
      <c r="K244" s="52"/>
      <c r="L244" s="52"/>
      <c r="M244" s="53"/>
      <c r="N244" s="54"/>
      <c r="P244" s="51"/>
      <c r="Q244" s="51"/>
      <c r="R244" s="51"/>
      <c r="S244" s="51"/>
      <c r="T244" s="51"/>
    </row>
    <row r="245" spans="1:20" x14ac:dyDescent="0.3">
      <c r="A245" s="48">
        <v>0</v>
      </c>
      <c r="B245" s="49" t="s">
        <v>515</v>
      </c>
      <c r="C245" s="50"/>
      <c r="D245" s="50"/>
      <c r="E245" s="51"/>
      <c r="F245" s="51"/>
      <c r="G245" s="51"/>
      <c r="H245" s="51"/>
      <c r="I245" s="51"/>
      <c r="J245" s="51"/>
      <c r="K245" s="52"/>
      <c r="L245" s="52"/>
      <c r="M245" s="53"/>
      <c r="N245" s="54"/>
      <c r="P245" s="51"/>
      <c r="Q245" s="51"/>
      <c r="R245" s="51"/>
      <c r="S245" s="51"/>
      <c r="T245" s="51"/>
    </row>
    <row r="246" spans="1:20" x14ac:dyDescent="0.3">
      <c r="A246" s="48">
        <v>0</v>
      </c>
      <c r="B246" s="49" t="s">
        <v>516</v>
      </c>
      <c r="C246" s="50"/>
      <c r="D246" s="50"/>
      <c r="E246" s="51"/>
      <c r="F246" s="51"/>
      <c r="G246" s="51"/>
      <c r="H246" s="51"/>
      <c r="I246" s="51"/>
      <c r="J246" s="51"/>
      <c r="K246" s="52"/>
      <c r="L246" s="52"/>
      <c r="M246" s="53"/>
      <c r="N246" s="54"/>
      <c r="P246" s="51"/>
      <c r="Q246" s="51"/>
      <c r="R246" s="51"/>
      <c r="S246" s="51"/>
      <c r="T246" s="51"/>
    </row>
    <row r="247" spans="1:20" x14ac:dyDescent="0.3">
      <c r="A247" s="48">
        <v>0</v>
      </c>
      <c r="B247" s="49" t="s">
        <v>517</v>
      </c>
      <c r="C247" s="50"/>
      <c r="D247" s="50"/>
      <c r="E247" s="51"/>
      <c r="F247" s="51"/>
      <c r="G247" s="51"/>
      <c r="H247" s="51"/>
      <c r="I247" s="51"/>
      <c r="J247" s="51"/>
      <c r="K247" s="52"/>
      <c r="L247" s="52"/>
      <c r="M247" s="53"/>
      <c r="N247" s="54"/>
      <c r="P247" s="51"/>
      <c r="Q247" s="51"/>
      <c r="R247" s="51"/>
      <c r="S247" s="51"/>
      <c r="T247" s="51"/>
    </row>
    <row r="248" spans="1:20" x14ac:dyDescent="0.3">
      <c r="A248" s="48">
        <v>0</v>
      </c>
      <c r="B248" s="49" t="s">
        <v>518</v>
      </c>
      <c r="C248" s="50"/>
      <c r="D248" s="50"/>
      <c r="E248" s="51"/>
      <c r="F248" s="51"/>
      <c r="G248" s="51"/>
      <c r="H248" s="51"/>
      <c r="I248" s="51"/>
      <c r="J248" s="51"/>
      <c r="K248" s="52"/>
      <c r="L248" s="52"/>
      <c r="M248" s="53"/>
      <c r="N248" s="54"/>
      <c r="P248" s="51"/>
      <c r="Q248" s="51"/>
      <c r="R248" s="51"/>
      <c r="S248" s="51"/>
      <c r="T248" s="51"/>
    </row>
    <row r="249" spans="1:20" x14ac:dyDescent="0.3">
      <c r="A249" s="48">
        <v>0</v>
      </c>
      <c r="B249" s="49" t="s">
        <v>519</v>
      </c>
      <c r="C249" s="50"/>
      <c r="D249" s="50"/>
      <c r="E249" s="51"/>
      <c r="F249" s="51"/>
      <c r="G249" s="51"/>
      <c r="H249" s="51"/>
      <c r="I249" s="51"/>
      <c r="J249" s="51"/>
      <c r="K249" s="52"/>
      <c r="L249" s="52"/>
      <c r="M249" s="53"/>
      <c r="N249" s="54"/>
      <c r="P249" s="51"/>
      <c r="Q249" s="51"/>
      <c r="R249" s="51"/>
      <c r="S249" s="51"/>
      <c r="T249" s="51"/>
    </row>
    <row r="250" spans="1:20" x14ac:dyDescent="0.3">
      <c r="A250" s="48">
        <v>0</v>
      </c>
      <c r="B250" s="49" t="s">
        <v>520</v>
      </c>
      <c r="C250" s="50"/>
      <c r="D250" s="50"/>
      <c r="E250" s="51"/>
      <c r="F250" s="51"/>
      <c r="G250" s="51"/>
      <c r="H250" s="51"/>
      <c r="I250" s="51"/>
      <c r="J250" s="51"/>
      <c r="K250" s="52"/>
      <c r="L250" s="52"/>
      <c r="M250" s="53"/>
      <c r="N250" s="54"/>
      <c r="P250" s="51"/>
      <c r="Q250" s="51"/>
      <c r="R250" s="51"/>
      <c r="S250" s="51"/>
      <c r="T250" s="51"/>
    </row>
    <row r="251" spans="1:20" x14ac:dyDescent="0.3">
      <c r="A251" s="48">
        <v>0</v>
      </c>
      <c r="B251" s="49" t="s">
        <v>521</v>
      </c>
      <c r="C251" s="50"/>
      <c r="D251" s="50"/>
      <c r="E251" s="51"/>
      <c r="F251" s="51"/>
      <c r="G251" s="51"/>
      <c r="H251" s="51"/>
      <c r="I251" s="51"/>
      <c r="J251" s="51"/>
      <c r="K251" s="52"/>
      <c r="L251" s="52"/>
      <c r="M251" s="53"/>
      <c r="N251" s="54"/>
      <c r="P251" s="51"/>
      <c r="Q251" s="51"/>
      <c r="R251" s="51"/>
      <c r="S251" s="51"/>
      <c r="T251" s="51"/>
    </row>
    <row r="252" spans="1:20" x14ac:dyDescent="0.3">
      <c r="A252" s="48">
        <v>0</v>
      </c>
      <c r="B252" s="49" t="s">
        <v>522</v>
      </c>
      <c r="C252" s="50"/>
      <c r="D252" s="50"/>
      <c r="E252" s="51"/>
      <c r="F252" s="51"/>
      <c r="G252" s="51"/>
      <c r="H252" s="51"/>
      <c r="I252" s="51"/>
      <c r="J252" s="51"/>
      <c r="K252" s="52"/>
      <c r="L252" s="52"/>
      <c r="M252" s="53"/>
      <c r="N252" s="54"/>
      <c r="P252" s="51"/>
      <c r="Q252" s="51"/>
      <c r="R252" s="51"/>
      <c r="S252" s="51"/>
      <c r="T252" s="51"/>
    </row>
    <row r="253" spans="1:20" x14ac:dyDescent="0.3">
      <c r="A253" s="48">
        <v>0</v>
      </c>
      <c r="B253" s="49" t="s">
        <v>523</v>
      </c>
      <c r="C253" s="50"/>
      <c r="D253" s="50"/>
      <c r="E253" s="51"/>
      <c r="F253" s="51"/>
      <c r="G253" s="51"/>
      <c r="H253" s="51"/>
      <c r="I253" s="51"/>
      <c r="J253" s="51"/>
      <c r="K253" s="52"/>
      <c r="L253" s="52"/>
      <c r="M253" s="53"/>
      <c r="N253" s="54"/>
      <c r="P253" s="51"/>
      <c r="Q253" s="51"/>
      <c r="R253" s="51"/>
      <c r="S253" s="51"/>
      <c r="T253" s="51"/>
    </row>
    <row r="254" spans="1:20" x14ac:dyDescent="0.3">
      <c r="A254" s="48">
        <v>0</v>
      </c>
      <c r="B254" s="49" t="s">
        <v>524</v>
      </c>
      <c r="C254" s="50"/>
      <c r="D254" s="50"/>
      <c r="E254" s="51"/>
      <c r="F254" s="51"/>
      <c r="G254" s="51"/>
      <c r="H254" s="51"/>
      <c r="I254" s="51"/>
      <c r="J254" s="51"/>
      <c r="K254" s="52"/>
      <c r="L254" s="52"/>
      <c r="M254" s="53"/>
      <c r="N254" s="54"/>
      <c r="P254" s="51"/>
      <c r="Q254" s="51"/>
      <c r="R254" s="51"/>
      <c r="S254" s="51"/>
      <c r="T254" s="51"/>
    </row>
    <row r="255" spans="1:20" x14ac:dyDescent="0.3">
      <c r="A255" s="48">
        <v>0</v>
      </c>
      <c r="B255" s="49" t="s">
        <v>525</v>
      </c>
      <c r="C255" s="50"/>
      <c r="D255" s="50"/>
      <c r="E255" s="51"/>
      <c r="F255" s="51"/>
      <c r="G255" s="51"/>
      <c r="H255" s="51"/>
      <c r="I255" s="51"/>
      <c r="J255" s="51"/>
      <c r="K255" s="52"/>
      <c r="L255" s="52"/>
      <c r="M255" s="53"/>
      <c r="N255" s="54"/>
      <c r="P255" s="51"/>
      <c r="Q255" s="51"/>
      <c r="R255" s="51"/>
      <c r="S255" s="51"/>
      <c r="T255" s="51"/>
    </row>
    <row r="256" spans="1:20" x14ac:dyDescent="0.3">
      <c r="A256" s="48">
        <v>0</v>
      </c>
      <c r="B256" s="49" t="s">
        <v>526</v>
      </c>
      <c r="C256" s="50"/>
      <c r="D256" s="50"/>
      <c r="E256" s="51"/>
      <c r="F256" s="51"/>
      <c r="G256" s="51"/>
      <c r="H256" s="51"/>
      <c r="I256" s="51"/>
      <c r="J256" s="51"/>
      <c r="K256" s="52"/>
      <c r="L256" s="52"/>
      <c r="M256" s="53"/>
      <c r="N256" s="54"/>
      <c r="P256" s="51"/>
      <c r="Q256" s="51"/>
      <c r="R256" s="51"/>
      <c r="S256" s="51"/>
      <c r="T256" s="51"/>
    </row>
    <row r="257" spans="1:20" x14ac:dyDescent="0.3">
      <c r="A257" s="48">
        <v>0</v>
      </c>
      <c r="B257" s="49" t="s">
        <v>527</v>
      </c>
      <c r="C257" s="50"/>
      <c r="D257" s="50"/>
      <c r="E257" s="51"/>
      <c r="F257" s="51"/>
      <c r="G257" s="51"/>
      <c r="H257" s="51"/>
      <c r="I257" s="51"/>
      <c r="J257" s="51"/>
      <c r="K257" s="52"/>
      <c r="L257" s="52"/>
      <c r="M257" s="53"/>
      <c r="N257" s="54"/>
      <c r="P257" s="51"/>
      <c r="Q257" s="51"/>
      <c r="R257" s="51"/>
      <c r="S257" s="51"/>
      <c r="T257" s="51"/>
    </row>
    <row r="258" spans="1:20" x14ac:dyDescent="0.3">
      <c r="A258" s="48">
        <v>0</v>
      </c>
      <c r="B258" s="49" t="s">
        <v>528</v>
      </c>
      <c r="C258" s="50"/>
      <c r="D258" s="50"/>
      <c r="E258" s="51"/>
      <c r="F258" s="51"/>
      <c r="G258" s="51"/>
      <c r="H258" s="51"/>
      <c r="I258" s="51"/>
      <c r="J258" s="51"/>
      <c r="K258" s="52"/>
      <c r="L258" s="52"/>
      <c r="M258" s="53"/>
      <c r="N258" s="54"/>
      <c r="P258" s="51"/>
      <c r="Q258" s="51"/>
      <c r="R258" s="51"/>
      <c r="S258" s="51"/>
      <c r="T258" s="51"/>
    </row>
    <row r="259" spans="1:20" x14ac:dyDescent="0.3">
      <c r="A259" s="48">
        <v>0</v>
      </c>
      <c r="B259" s="49" t="s">
        <v>531</v>
      </c>
      <c r="C259" s="50"/>
      <c r="D259" s="50"/>
      <c r="E259" s="51"/>
      <c r="F259" s="51"/>
      <c r="G259" s="51"/>
      <c r="H259" s="51"/>
      <c r="I259" s="51"/>
      <c r="J259" s="51"/>
      <c r="K259" s="52"/>
      <c r="L259" s="52"/>
      <c r="M259" s="53"/>
      <c r="N259" s="54"/>
      <c r="P259" s="51"/>
      <c r="Q259" s="51"/>
      <c r="R259" s="51"/>
      <c r="S259" s="51"/>
      <c r="T259" s="51"/>
    </row>
    <row r="260" spans="1:20" x14ac:dyDescent="0.3">
      <c r="A260" s="48">
        <v>0</v>
      </c>
      <c r="B260" s="49" t="s">
        <v>532</v>
      </c>
      <c r="C260" s="50"/>
      <c r="D260" s="50"/>
      <c r="E260" s="51"/>
      <c r="F260" s="51"/>
      <c r="G260" s="51"/>
      <c r="H260" s="51"/>
      <c r="I260" s="51"/>
      <c r="J260" s="51"/>
      <c r="K260" s="52"/>
      <c r="L260" s="52"/>
      <c r="M260" s="53"/>
      <c r="N260" s="54"/>
      <c r="P260" s="51"/>
      <c r="Q260" s="51"/>
      <c r="R260" s="51"/>
      <c r="S260" s="51"/>
      <c r="T260" s="51"/>
    </row>
    <row r="261" spans="1:20" x14ac:dyDescent="0.3">
      <c r="A261" s="48">
        <v>0</v>
      </c>
      <c r="B261" s="49" t="s">
        <v>533</v>
      </c>
      <c r="C261" s="50"/>
      <c r="D261" s="50"/>
      <c r="E261" s="51"/>
      <c r="F261" s="51"/>
      <c r="G261" s="51"/>
      <c r="H261" s="51"/>
      <c r="I261" s="51"/>
      <c r="J261" s="51"/>
      <c r="K261" s="52"/>
      <c r="L261" s="52"/>
      <c r="M261" s="53"/>
      <c r="N261" s="54"/>
      <c r="P261" s="51"/>
      <c r="Q261" s="51"/>
      <c r="R261" s="51"/>
      <c r="S261" s="51"/>
      <c r="T261" s="51"/>
    </row>
    <row r="262" spans="1:20" x14ac:dyDescent="0.3">
      <c r="A262" s="48">
        <v>0</v>
      </c>
      <c r="B262" s="49" t="s">
        <v>534</v>
      </c>
      <c r="C262" s="50"/>
      <c r="D262" s="50"/>
      <c r="E262" s="51"/>
      <c r="F262" s="51"/>
      <c r="G262" s="51"/>
      <c r="H262" s="51"/>
      <c r="I262" s="51"/>
      <c r="J262" s="51"/>
      <c r="K262" s="52"/>
      <c r="L262" s="52"/>
      <c r="M262" s="53"/>
      <c r="N262" s="54"/>
      <c r="P262" s="51"/>
      <c r="Q262" s="51"/>
      <c r="R262" s="51"/>
      <c r="S262" s="51"/>
      <c r="T262" s="51"/>
    </row>
    <row r="263" spans="1:20" x14ac:dyDescent="0.3">
      <c r="A263" s="48">
        <v>0</v>
      </c>
      <c r="B263" s="49" t="s">
        <v>535</v>
      </c>
      <c r="C263" s="50"/>
      <c r="D263" s="50"/>
      <c r="E263" s="51"/>
      <c r="F263" s="51"/>
      <c r="G263" s="51"/>
      <c r="H263" s="51"/>
      <c r="I263" s="51"/>
      <c r="J263" s="51"/>
      <c r="K263" s="52"/>
      <c r="L263" s="52"/>
      <c r="M263" s="53"/>
      <c r="N263" s="54"/>
      <c r="P263" s="51"/>
      <c r="Q263" s="51"/>
      <c r="R263" s="51"/>
      <c r="S263" s="51"/>
      <c r="T263" s="51"/>
    </row>
    <row r="264" spans="1:20" x14ac:dyDescent="0.3">
      <c r="A264" s="48">
        <v>0</v>
      </c>
      <c r="B264" s="49" t="s">
        <v>536</v>
      </c>
      <c r="C264" s="50"/>
      <c r="D264" s="50"/>
      <c r="E264" s="51"/>
      <c r="F264" s="51"/>
      <c r="G264" s="51"/>
      <c r="H264" s="51"/>
      <c r="I264" s="51"/>
      <c r="J264" s="51"/>
      <c r="K264" s="52"/>
      <c r="L264" s="52"/>
      <c r="M264" s="53"/>
      <c r="N264" s="54"/>
      <c r="P264" s="51"/>
      <c r="Q264" s="51"/>
      <c r="R264" s="51"/>
      <c r="S264" s="51"/>
      <c r="T264" s="51"/>
    </row>
    <row r="265" spans="1:20" x14ac:dyDescent="0.3">
      <c r="A265" s="48">
        <v>0</v>
      </c>
      <c r="B265" s="49" t="s">
        <v>537</v>
      </c>
      <c r="C265" s="50"/>
      <c r="D265" s="50"/>
      <c r="E265" s="51"/>
      <c r="F265" s="51"/>
      <c r="G265" s="51"/>
      <c r="H265" s="51"/>
      <c r="I265" s="51"/>
      <c r="J265" s="51"/>
      <c r="K265" s="52"/>
      <c r="L265" s="52"/>
      <c r="M265" s="53"/>
      <c r="N265" s="54"/>
      <c r="P265" s="51"/>
      <c r="Q265" s="51"/>
      <c r="R265" s="51"/>
      <c r="S265" s="51"/>
      <c r="T265" s="51"/>
    </row>
    <row r="266" spans="1:20" x14ac:dyDescent="0.3">
      <c r="A266" s="48">
        <v>0</v>
      </c>
      <c r="B266" s="49" t="s">
        <v>538</v>
      </c>
      <c r="C266" s="50"/>
      <c r="D266" s="50"/>
      <c r="E266" s="51"/>
      <c r="F266" s="51"/>
      <c r="G266" s="51"/>
      <c r="H266" s="51"/>
      <c r="I266" s="51"/>
      <c r="J266" s="51"/>
      <c r="K266" s="52"/>
      <c r="L266" s="52"/>
      <c r="M266" s="53"/>
      <c r="N266" s="54"/>
      <c r="P266" s="51"/>
      <c r="Q266" s="51"/>
      <c r="R266" s="51"/>
      <c r="S266" s="51"/>
      <c r="T266" s="51"/>
    </row>
    <row r="267" spans="1:20" x14ac:dyDescent="0.3">
      <c r="A267" s="48">
        <v>0</v>
      </c>
      <c r="B267" s="49" t="s">
        <v>539</v>
      </c>
      <c r="C267" s="50"/>
      <c r="D267" s="50"/>
      <c r="E267" s="51"/>
      <c r="F267" s="51"/>
      <c r="G267" s="51"/>
      <c r="H267" s="51"/>
      <c r="I267" s="51"/>
      <c r="J267" s="51"/>
      <c r="K267" s="52"/>
      <c r="L267" s="52"/>
      <c r="M267" s="53"/>
      <c r="N267" s="54"/>
      <c r="P267" s="51"/>
      <c r="Q267" s="51"/>
      <c r="R267" s="51"/>
      <c r="S267" s="51"/>
      <c r="T267" s="51"/>
    </row>
    <row r="268" spans="1:20" x14ac:dyDescent="0.3">
      <c r="A268" s="48">
        <v>0</v>
      </c>
      <c r="B268" s="49" t="s">
        <v>540</v>
      </c>
      <c r="C268" s="50"/>
      <c r="D268" s="50"/>
      <c r="E268" s="51"/>
      <c r="F268" s="51"/>
      <c r="G268" s="51"/>
      <c r="H268" s="51"/>
      <c r="I268" s="51"/>
      <c r="J268" s="51"/>
      <c r="K268" s="52"/>
      <c r="L268" s="52"/>
      <c r="M268" s="53"/>
      <c r="N268" s="54"/>
      <c r="P268" s="51"/>
      <c r="Q268" s="51"/>
      <c r="R268" s="51"/>
      <c r="S268" s="51"/>
      <c r="T268" s="51"/>
    </row>
    <row r="269" spans="1:20" x14ac:dyDescent="0.3">
      <c r="A269" s="48">
        <v>0</v>
      </c>
      <c r="B269" s="49" t="s">
        <v>541</v>
      </c>
      <c r="C269" s="50"/>
      <c r="D269" s="50"/>
      <c r="E269" s="51"/>
      <c r="F269" s="51"/>
      <c r="G269" s="51"/>
      <c r="H269" s="51"/>
      <c r="I269" s="51"/>
      <c r="J269" s="51"/>
      <c r="K269" s="52"/>
      <c r="L269" s="52"/>
      <c r="M269" s="53"/>
      <c r="N269" s="54"/>
      <c r="P269" s="51"/>
      <c r="Q269" s="51"/>
      <c r="R269" s="51"/>
      <c r="S269" s="51"/>
      <c r="T269" s="51"/>
    </row>
    <row r="270" spans="1:20" x14ac:dyDescent="0.3">
      <c r="A270" s="48">
        <v>0</v>
      </c>
      <c r="B270" s="49" t="s">
        <v>542</v>
      </c>
      <c r="C270" s="50"/>
      <c r="D270" s="50"/>
      <c r="E270" s="51"/>
      <c r="F270" s="51"/>
      <c r="G270" s="51"/>
      <c r="H270" s="51"/>
      <c r="I270" s="51"/>
      <c r="J270" s="51"/>
      <c r="K270" s="52"/>
      <c r="L270" s="52"/>
      <c r="M270" s="53"/>
      <c r="N270" s="54"/>
      <c r="P270" s="51"/>
      <c r="Q270" s="51"/>
      <c r="R270" s="51"/>
      <c r="S270" s="51"/>
      <c r="T270" s="51"/>
    </row>
    <row r="271" spans="1:20" x14ac:dyDescent="0.3">
      <c r="A271" s="48">
        <v>0</v>
      </c>
      <c r="B271" s="49" t="s">
        <v>543</v>
      </c>
      <c r="C271" s="50"/>
      <c r="D271" s="50"/>
      <c r="E271" s="51"/>
      <c r="F271" s="51"/>
      <c r="G271" s="51"/>
      <c r="H271" s="51"/>
      <c r="I271" s="51"/>
      <c r="J271" s="51"/>
      <c r="K271" s="52"/>
      <c r="L271" s="52"/>
      <c r="M271" s="53"/>
      <c r="N271" s="54"/>
      <c r="P271" s="51"/>
      <c r="Q271" s="51"/>
      <c r="R271" s="51"/>
      <c r="S271" s="51"/>
      <c r="T271" s="51"/>
    </row>
    <row r="272" spans="1:20" x14ac:dyDescent="0.3">
      <c r="A272" s="48">
        <v>0</v>
      </c>
      <c r="B272" s="49" t="s">
        <v>544</v>
      </c>
      <c r="C272" s="50"/>
      <c r="D272" s="50"/>
      <c r="E272" s="51"/>
      <c r="F272" s="51"/>
      <c r="G272" s="51"/>
      <c r="H272" s="51"/>
      <c r="I272" s="51"/>
      <c r="J272" s="51"/>
      <c r="K272" s="52"/>
      <c r="L272" s="52"/>
      <c r="M272" s="53"/>
      <c r="N272" s="54"/>
      <c r="P272" s="51"/>
      <c r="Q272" s="51"/>
      <c r="R272" s="51"/>
      <c r="S272" s="51"/>
      <c r="T272" s="51"/>
    </row>
    <row r="273" spans="1:20" x14ac:dyDescent="0.3">
      <c r="A273" s="48">
        <v>0</v>
      </c>
      <c r="B273" s="49" t="s">
        <v>545</v>
      </c>
      <c r="C273" s="50"/>
      <c r="D273" s="50"/>
      <c r="E273" s="51"/>
      <c r="F273" s="51"/>
      <c r="G273" s="51"/>
      <c r="H273" s="51"/>
      <c r="I273" s="51"/>
      <c r="J273" s="51"/>
      <c r="K273" s="52"/>
      <c r="L273" s="52"/>
      <c r="M273" s="53"/>
      <c r="N273" s="54"/>
      <c r="P273" s="51"/>
      <c r="Q273" s="51"/>
      <c r="R273" s="51"/>
      <c r="S273" s="51"/>
      <c r="T273" s="51"/>
    </row>
    <row r="274" spans="1:20" x14ac:dyDescent="0.3">
      <c r="A274" s="48">
        <v>0</v>
      </c>
      <c r="B274" s="49" t="s">
        <v>546</v>
      </c>
      <c r="C274" s="50"/>
      <c r="D274" s="50"/>
      <c r="E274" s="51"/>
      <c r="F274" s="51"/>
      <c r="G274" s="51"/>
      <c r="H274" s="51"/>
      <c r="I274" s="51"/>
      <c r="J274" s="51"/>
      <c r="K274" s="52"/>
      <c r="L274" s="52"/>
      <c r="M274" s="53"/>
      <c r="N274" s="54"/>
      <c r="P274" s="51"/>
      <c r="Q274" s="51"/>
      <c r="R274" s="51"/>
      <c r="S274" s="51"/>
      <c r="T274" s="51"/>
    </row>
    <row r="275" spans="1:20" x14ac:dyDescent="0.3">
      <c r="A275" s="48">
        <v>0</v>
      </c>
      <c r="B275" s="49" t="s">
        <v>547</v>
      </c>
      <c r="C275" s="50"/>
      <c r="D275" s="50"/>
      <c r="E275" s="51"/>
      <c r="F275" s="51"/>
      <c r="G275" s="51"/>
      <c r="H275" s="51"/>
      <c r="I275" s="51"/>
      <c r="J275" s="51"/>
      <c r="K275" s="52"/>
      <c r="L275" s="52"/>
      <c r="M275" s="53"/>
      <c r="N275" s="54"/>
      <c r="P275" s="51"/>
      <c r="Q275" s="51"/>
      <c r="R275" s="51"/>
      <c r="S275" s="51"/>
      <c r="T275" s="51"/>
    </row>
    <row r="276" spans="1:20" x14ac:dyDescent="0.3">
      <c r="A276" s="48">
        <v>0</v>
      </c>
      <c r="B276" s="49" t="s">
        <v>548</v>
      </c>
      <c r="C276" s="50"/>
      <c r="D276" s="50"/>
      <c r="E276" s="51"/>
      <c r="F276" s="51"/>
      <c r="G276" s="51"/>
      <c r="H276" s="51"/>
      <c r="I276" s="51"/>
      <c r="J276" s="51"/>
      <c r="K276" s="52"/>
      <c r="L276" s="52"/>
      <c r="M276" s="53"/>
      <c r="N276" s="54"/>
      <c r="P276" s="51"/>
      <c r="Q276" s="51"/>
      <c r="R276" s="51"/>
      <c r="S276" s="51"/>
      <c r="T276" s="51"/>
    </row>
    <row r="277" spans="1:20" x14ac:dyDescent="0.3">
      <c r="A277" s="48">
        <v>0</v>
      </c>
      <c r="B277" s="49" t="s">
        <v>549</v>
      </c>
      <c r="C277" s="50"/>
      <c r="D277" s="50"/>
      <c r="E277" s="51"/>
      <c r="F277" s="51"/>
      <c r="G277" s="51"/>
      <c r="H277" s="51"/>
      <c r="I277" s="51"/>
      <c r="J277" s="51"/>
      <c r="K277" s="52"/>
      <c r="L277" s="52"/>
      <c r="M277" s="53"/>
      <c r="N277" s="54"/>
      <c r="P277" s="51"/>
      <c r="Q277" s="51"/>
      <c r="R277" s="51"/>
      <c r="S277" s="51"/>
      <c r="T277" s="51"/>
    </row>
    <row r="278" spans="1:20" x14ac:dyDescent="0.3">
      <c r="A278" s="48">
        <v>0</v>
      </c>
      <c r="B278" s="49" t="s">
        <v>550</v>
      </c>
      <c r="C278" s="50"/>
      <c r="D278" s="50"/>
      <c r="E278" s="51"/>
      <c r="F278" s="51"/>
      <c r="G278" s="51"/>
      <c r="H278" s="51"/>
      <c r="I278" s="51"/>
      <c r="J278" s="51"/>
      <c r="K278" s="52"/>
      <c r="L278" s="52"/>
      <c r="M278" s="53"/>
      <c r="N278" s="54"/>
      <c r="P278" s="51"/>
      <c r="Q278" s="51"/>
      <c r="R278" s="51"/>
      <c r="S278" s="51"/>
      <c r="T278" s="51"/>
    </row>
    <row r="279" spans="1:20" x14ac:dyDescent="0.3">
      <c r="A279" s="48">
        <v>0</v>
      </c>
      <c r="B279" s="49" t="s">
        <v>551</v>
      </c>
      <c r="C279" s="50"/>
      <c r="D279" s="50"/>
      <c r="E279" s="51"/>
      <c r="F279" s="51"/>
      <c r="G279" s="51"/>
      <c r="H279" s="51"/>
      <c r="I279" s="51"/>
      <c r="J279" s="51"/>
      <c r="K279" s="52"/>
      <c r="L279" s="52"/>
      <c r="M279" s="53"/>
      <c r="N279" s="54"/>
      <c r="P279" s="51"/>
      <c r="Q279" s="51"/>
      <c r="R279" s="51"/>
      <c r="S279" s="51"/>
      <c r="T279" s="51"/>
    </row>
    <row r="280" spans="1:20" x14ac:dyDescent="0.3">
      <c r="A280" s="48">
        <v>0</v>
      </c>
      <c r="B280" s="49" t="s">
        <v>552</v>
      </c>
      <c r="C280" s="50"/>
      <c r="D280" s="50"/>
      <c r="E280" s="51"/>
      <c r="F280" s="51"/>
      <c r="G280" s="51"/>
      <c r="H280" s="51"/>
      <c r="I280" s="51"/>
      <c r="J280" s="51"/>
      <c r="K280" s="52"/>
      <c r="L280" s="52"/>
      <c r="M280" s="53"/>
      <c r="N280" s="54"/>
      <c r="P280" s="51"/>
      <c r="Q280" s="51"/>
      <c r="R280" s="51"/>
      <c r="S280" s="51"/>
      <c r="T280" s="51"/>
    </row>
    <row r="281" spans="1:20" x14ac:dyDescent="0.3">
      <c r="A281" s="48">
        <v>0</v>
      </c>
      <c r="B281" s="49" t="s">
        <v>553</v>
      </c>
      <c r="C281" s="50"/>
      <c r="D281" s="50"/>
      <c r="E281" s="51"/>
      <c r="F281" s="51"/>
      <c r="G281" s="51"/>
      <c r="H281" s="51"/>
      <c r="I281" s="51"/>
      <c r="J281" s="51"/>
      <c r="K281" s="52"/>
      <c r="L281" s="52"/>
      <c r="M281" s="53"/>
      <c r="N281" s="54"/>
      <c r="P281" s="51"/>
      <c r="Q281" s="51"/>
      <c r="R281" s="51"/>
      <c r="S281" s="51"/>
      <c r="T281" s="51"/>
    </row>
    <row r="282" spans="1:20" x14ac:dyDescent="0.3">
      <c r="A282" s="48">
        <v>0</v>
      </c>
      <c r="B282" s="49" t="s">
        <v>554</v>
      </c>
      <c r="C282" s="50"/>
      <c r="D282" s="50"/>
      <c r="E282" s="51"/>
      <c r="F282" s="51"/>
      <c r="G282" s="51"/>
      <c r="H282" s="51"/>
      <c r="I282" s="51"/>
      <c r="J282" s="51"/>
      <c r="K282" s="52"/>
      <c r="L282" s="52"/>
      <c r="M282" s="53"/>
      <c r="N282" s="54"/>
      <c r="P282" s="51"/>
      <c r="Q282" s="51"/>
      <c r="R282" s="51"/>
      <c r="S282" s="51"/>
      <c r="T282" s="51"/>
    </row>
    <row r="283" spans="1:20" x14ac:dyDescent="0.3">
      <c r="A283" s="48">
        <v>0</v>
      </c>
      <c r="B283" s="49" t="s">
        <v>555</v>
      </c>
      <c r="C283" s="50"/>
      <c r="D283" s="50"/>
      <c r="E283" s="51"/>
      <c r="F283" s="51"/>
      <c r="G283" s="51"/>
      <c r="H283" s="51"/>
      <c r="I283" s="51"/>
      <c r="J283" s="51"/>
      <c r="K283" s="52"/>
      <c r="L283" s="52"/>
      <c r="M283" s="53"/>
      <c r="N283" s="54"/>
      <c r="P283" s="51"/>
      <c r="Q283" s="51"/>
      <c r="R283" s="51"/>
      <c r="S283" s="51"/>
      <c r="T283" s="51"/>
    </row>
    <row r="284" spans="1:20" x14ac:dyDescent="0.3">
      <c r="A284" s="48">
        <v>0</v>
      </c>
      <c r="B284" s="49" t="s">
        <v>556</v>
      </c>
      <c r="C284" s="50"/>
      <c r="D284" s="50"/>
      <c r="E284" s="51"/>
      <c r="F284" s="51"/>
      <c r="G284" s="51"/>
      <c r="H284" s="51"/>
      <c r="I284" s="51"/>
      <c r="J284" s="51"/>
      <c r="K284" s="52"/>
      <c r="L284" s="52"/>
      <c r="M284" s="53"/>
      <c r="N284" s="54"/>
      <c r="P284" s="51"/>
      <c r="Q284" s="51"/>
      <c r="R284" s="51"/>
      <c r="S284" s="51"/>
      <c r="T284" s="51"/>
    </row>
    <row r="285" spans="1:20" x14ac:dyDescent="0.3">
      <c r="A285" s="48">
        <v>0</v>
      </c>
      <c r="B285" s="49" t="s">
        <v>557</v>
      </c>
      <c r="C285" s="50"/>
      <c r="D285" s="50"/>
      <c r="E285" s="51"/>
      <c r="F285" s="51"/>
      <c r="G285" s="51"/>
      <c r="H285" s="51"/>
      <c r="I285" s="51"/>
      <c r="J285" s="51"/>
      <c r="K285" s="52"/>
      <c r="L285" s="52"/>
      <c r="M285" s="53"/>
      <c r="N285" s="54"/>
      <c r="P285" s="51"/>
      <c r="Q285" s="51"/>
      <c r="R285" s="51"/>
      <c r="S285" s="51"/>
      <c r="T285" s="51"/>
    </row>
    <row r="286" spans="1:20" x14ac:dyDescent="0.3">
      <c r="A286" s="48">
        <v>0</v>
      </c>
      <c r="B286" s="49" t="s">
        <v>558</v>
      </c>
      <c r="C286" s="50"/>
      <c r="D286" s="50"/>
      <c r="E286" s="51"/>
      <c r="F286" s="51"/>
      <c r="G286" s="51"/>
      <c r="H286" s="51"/>
      <c r="I286" s="51"/>
      <c r="J286" s="51"/>
      <c r="K286" s="52"/>
      <c r="L286" s="52"/>
      <c r="M286" s="53"/>
      <c r="N286" s="54"/>
      <c r="P286" s="51"/>
      <c r="Q286" s="51"/>
      <c r="R286" s="51"/>
      <c r="S286" s="51"/>
      <c r="T286" s="51"/>
    </row>
    <row r="287" spans="1:20" x14ac:dyDescent="0.3">
      <c r="A287" s="48">
        <v>0</v>
      </c>
      <c r="B287" s="49" t="s">
        <v>559</v>
      </c>
      <c r="C287" s="50"/>
      <c r="D287" s="50"/>
      <c r="E287" s="51"/>
      <c r="F287" s="51"/>
      <c r="G287" s="51"/>
      <c r="H287" s="51"/>
      <c r="I287" s="51"/>
      <c r="J287" s="51"/>
      <c r="K287" s="52"/>
      <c r="L287" s="52"/>
      <c r="M287" s="53"/>
      <c r="N287" s="54"/>
      <c r="P287" s="51"/>
      <c r="Q287" s="51"/>
      <c r="R287" s="51"/>
      <c r="S287" s="51"/>
      <c r="T287" s="51"/>
    </row>
    <row r="288" spans="1:20" ht="15" thickBot="1" x14ac:dyDescent="0.35">
      <c r="A288" s="48">
        <v>0</v>
      </c>
      <c r="B288" s="49" t="s">
        <v>560</v>
      </c>
      <c r="C288" s="50"/>
      <c r="D288" s="50"/>
      <c r="E288" s="51"/>
      <c r="F288" s="51"/>
      <c r="G288" s="51"/>
      <c r="H288" s="51"/>
      <c r="I288" s="51"/>
      <c r="J288" s="51"/>
      <c r="K288" s="52"/>
      <c r="L288" s="52"/>
      <c r="M288" s="53"/>
      <c r="N288" s="54"/>
      <c r="P288" s="51"/>
      <c r="Q288" s="51"/>
      <c r="R288" s="51"/>
      <c r="S288" s="51"/>
      <c r="T288" s="51"/>
    </row>
    <row r="289" spans="1:20" ht="15" thickBot="1" x14ac:dyDescent="0.35">
      <c r="A289" s="14"/>
      <c r="B289" s="15" t="s">
        <v>63</v>
      </c>
      <c r="C289" s="15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31"/>
      <c r="P289" s="16"/>
      <c r="Q289" s="16"/>
      <c r="R289" s="16"/>
      <c r="S289" s="16"/>
      <c r="T289" s="16">
        <f>SUM(T5:T88)</f>
        <v>0</v>
      </c>
    </row>
  </sheetData>
  <sheetProtection autoFilter="0"/>
  <sortState xmlns:xlrd2="http://schemas.microsoft.com/office/spreadsheetml/2017/richdata2" ref="A3:M288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2"/>
  <dimension ref="A1:C284"/>
  <sheetViews>
    <sheetView topLeftCell="A217" workbookViewId="0">
      <selection activeCell="H235" sqref="H235"/>
    </sheetView>
  </sheetViews>
  <sheetFormatPr baseColWidth="10" defaultRowHeight="14.4" x14ac:dyDescent="0.3"/>
  <cols>
    <col min="2" max="2" width="59.33203125" bestFit="1" customWidth="1"/>
  </cols>
  <sheetData>
    <row r="1" spans="1:3" x14ac:dyDescent="0.3">
      <c r="A1" s="9"/>
      <c r="B1" s="83" t="s">
        <v>30</v>
      </c>
      <c r="C1" s="10" t="s">
        <v>64</v>
      </c>
    </row>
    <row r="2" spans="1:3" x14ac:dyDescent="0.3">
      <c r="A2" s="11"/>
      <c r="B2" s="12" t="s">
        <v>200</v>
      </c>
      <c r="C2" s="13"/>
    </row>
    <row r="3" spans="1:3" x14ac:dyDescent="0.3">
      <c r="A3" s="11"/>
      <c r="B3" s="12" t="s">
        <v>201</v>
      </c>
      <c r="C3" s="13"/>
    </row>
    <row r="4" spans="1:3" x14ac:dyDescent="0.3">
      <c r="A4" s="11"/>
      <c r="B4" s="46" t="s">
        <v>202</v>
      </c>
      <c r="C4" s="13"/>
    </row>
    <row r="5" spans="1:3" x14ac:dyDescent="0.3">
      <c r="A5" s="11"/>
      <c r="B5" s="46" t="s">
        <v>203</v>
      </c>
      <c r="C5" s="13"/>
    </row>
    <row r="6" spans="1:3" x14ac:dyDescent="0.3">
      <c r="A6" s="11"/>
      <c r="B6" s="46" t="s">
        <v>204</v>
      </c>
      <c r="C6" s="13"/>
    </row>
    <row r="7" spans="1:3" x14ac:dyDescent="0.3">
      <c r="A7" s="11"/>
      <c r="B7" s="46" t="s">
        <v>205</v>
      </c>
      <c r="C7" s="13"/>
    </row>
    <row r="8" spans="1:3" x14ac:dyDescent="0.3">
      <c r="A8" s="11"/>
      <c r="B8" s="46" t="s">
        <v>206</v>
      </c>
      <c r="C8" s="13"/>
    </row>
    <row r="9" spans="1:3" x14ac:dyDescent="0.3">
      <c r="A9" s="11"/>
      <c r="B9" s="46" t="s">
        <v>207</v>
      </c>
      <c r="C9" s="13"/>
    </row>
    <row r="10" spans="1:3" x14ac:dyDescent="0.3">
      <c r="A10" s="11"/>
      <c r="B10" s="46" t="s">
        <v>208</v>
      </c>
      <c r="C10" s="13"/>
    </row>
    <row r="11" spans="1:3" x14ac:dyDescent="0.3">
      <c r="A11" s="11"/>
      <c r="B11" s="46" t="s">
        <v>209</v>
      </c>
      <c r="C11" s="13"/>
    </row>
    <row r="12" spans="1:3" x14ac:dyDescent="0.3">
      <c r="A12" s="11"/>
      <c r="B12" s="46" t="s">
        <v>328</v>
      </c>
      <c r="C12" s="13"/>
    </row>
    <row r="13" spans="1:3" x14ac:dyDescent="0.3">
      <c r="A13" s="11"/>
      <c r="B13" s="46" t="s">
        <v>329</v>
      </c>
      <c r="C13" s="13"/>
    </row>
    <row r="14" spans="1:3" x14ac:dyDescent="0.3">
      <c r="A14" s="11"/>
      <c r="B14" s="46" t="s">
        <v>330</v>
      </c>
      <c r="C14" s="13"/>
    </row>
    <row r="15" spans="1:3" x14ac:dyDescent="0.3">
      <c r="A15" s="11"/>
      <c r="B15" s="46" t="s">
        <v>210</v>
      </c>
      <c r="C15" s="13"/>
    </row>
    <row r="16" spans="1:3" x14ac:dyDescent="0.3">
      <c r="A16" s="11"/>
      <c r="B16" s="46" t="s">
        <v>340</v>
      </c>
      <c r="C16" s="13"/>
    </row>
    <row r="17" spans="1:3" x14ac:dyDescent="0.3">
      <c r="A17" s="11"/>
      <c r="B17" s="46" t="s">
        <v>369</v>
      </c>
      <c r="C17" s="12"/>
    </row>
    <row r="18" spans="1:3" x14ac:dyDescent="0.3">
      <c r="A18" s="12"/>
      <c r="B18" s="46" t="s">
        <v>398</v>
      </c>
      <c r="C18" s="12"/>
    </row>
    <row r="19" spans="1:3" x14ac:dyDescent="0.3">
      <c r="A19" s="12"/>
      <c r="B19" s="46" t="s">
        <v>399</v>
      </c>
      <c r="C19" s="12"/>
    </row>
    <row r="20" spans="1:3" x14ac:dyDescent="0.3">
      <c r="A20" s="11"/>
      <c r="B20" s="46" t="s">
        <v>400</v>
      </c>
      <c r="C20" s="12"/>
    </row>
    <row r="21" spans="1:3" x14ac:dyDescent="0.3">
      <c r="A21" s="12"/>
      <c r="B21" s="46" t="s">
        <v>401</v>
      </c>
      <c r="C21" s="12"/>
    </row>
    <row r="22" spans="1:3" x14ac:dyDescent="0.3">
      <c r="A22" s="11"/>
      <c r="B22" s="46" t="s">
        <v>402</v>
      </c>
      <c r="C22" s="12"/>
    </row>
    <row r="23" spans="1:3" x14ac:dyDescent="0.3">
      <c r="A23" s="11"/>
      <c r="B23" s="46" t="s">
        <v>403</v>
      </c>
      <c r="C23" s="12"/>
    </row>
    <row r="24" spans="1:3" x14ac:dyDescent="0.3">
      <c r="A24" s="11"/>
      <c r="B24" s="46" t="s">
        <v>404</v>
      </c>
      <c r="C24" s="12"/>
    </row>
    <row r="25" spans="1:3" x14ac:dyDescent="0.3">
      <c r="A25" s="11"/>
      <c r="B25" s="46" t="s">
        <v>211</v>
      </c>
      <c r="C25" s="12"/>
    </row>
    <row r="26" spans="1:3" x14ac:dyDescent="0.3">
      <c r="A26" s="11"/>
      <c r="B26" s="46" t="s">
        <v>405</v>
      </c>
      <c r="C26" s="13"/>
    </row>
    <row r="27" spans="1:3" ht="14.25" customHeight="1" x14ac:dyDescent="0.3">
      <c r="A27" s="11"/>
      <c r="B27" s="12" t="s">
        <v>489</v>
      </c>
      <c r="C27" s="12"/>
    </row>
    <row r="28" spans="1:3" x14ac:dyDescent="0.3">
      <c r="A28" s="11"/>
      <c r="B28" s="46" t="s">
        <v>212</v>
      </c>
      <c r="C28" s="12"/>
    </row>
    <row r="29" spans="1:3" x14ac:dyDescent="0.3">
      <c r="A29" s="11"/>
      <c r="B29" s="46" t="s">
        <v>213</v>
      </c>
      <c r="C29" s="12"/>
    </row>
    <row r="30" spans="1:3" x14ac:dyDescent="0.3">
      <c r="A30" s="11"/>
      <c r="B30" s="46" t="s">
        <v>214</v>
      </c>
      <c r="C30" s="13"/>
    </row>
    <row r="31" spans="1:3" x14ac:dyDescent="0.3">
      <c r="A31" s="12"/>
      <c r="B31" s="46" t="s">
        <v>215</v>
      </c>
      <c r="C31" s="12"/>
    </row>
    <row r="32" spans="1:3" x14ac:dyDescent="0.3">
      <c r="A32" s="12"/>
      <c r="B32" s="46" t="s">
        <v>216</v>
      </c>
      <c r="C32" s="13"/>
    </row>
    <row r="33" spans="1:3" x14ac:dyDescent="0.3">
      <c r="A33" s="12"/>
      <c r="B33" s="46" t="s">
        <v>217</v>
      </c>
      <c r="C33" s="13"/>
    </row>
    <row r="34" spans="1:3" x14ac:dyDescent="0.3">
      <c r="A34" s="12"/>
      <c r="B34" s="46" t="s">
        <v>218</v>
      </c>
      <c r="C34" s="13"/>
    </row>
    <row r="35" spans="1:3" x14ac:dyDescent="0.3">
      <c r="A35" s="12"/>
      <c r="B35" s="46" t="s">
        <v>219</v>
      </c>
      <c r="C35" s="13"/>
    </row>
    <row r="36" spans="1:3" x14ac:dyDescent="0.3">
      <c r="A36" s="12"/>
      <c r="B36" s="46" t="s">
        <v>220</v>
      </c>
      <c r="C36" s="13"/>
    </row>
    <row r="37" spans="1:3" x14ac:dyDescent="0.3">
      <c r="A37" s="12"/>
      <c r="B37" s="46" t="s">
        <v>221</v>
      </c>
      <c r="C37" s="13"/>
    </row>
    <row r="38" spans="1:3" x14ac:dyDescent="0.3">
      <c r="A38" s="12"/>
      <c r="B38" s="46" t="s">
        <v>222</v>
      </c>
      <c r="C38" s="13"/>
    </row>
    <row r="39" spans="1:3" x14ac:dyDescent="0.3">
      <c r="A39" s="12"/>
      <c r="B39" s="46" t="s">
        <v>223</v>
      </c>
      <c r="C39" s="13"/>
    </row>
    <row r="40" spans="1:3" x14ac:dyDescent="0.3">
      <c r="A40" s="12"/>
      <c r="B40" s="46" t="s">
        <v>354</v>
      </c>
      <c r="C40" s="12"/>
    </row>
    <row r="41" spans="1:3" x14ac:dyDescent="0.3">
      <c r="A41" s="12"/>
      <c r="B41" s="46" t="s">
        <v>342</v>
      </c>
      <c r="C41" s="12"/>
    </row>
    <row r="42" spans="1:3" x14ac:dyDescent="0.3">
      <c r="A42" s="12"/>
      <c r="B42" s="12" t="s">
        <v>464</v>
      </c>
      <c r="C42" s="13"/>
    </row>
    <row r="43" spans="1:3" x14ac:dyDescent="0.3">
      <c r="A43" s="12"/>
      <c r="B43" s="46" t="s">
        <v>224</v>
      </c>
      <c r="C43" s="12"/>
    </row>
    <row r="44" spans="1:3" x14ac:dyDescent="0.3">
      <c r="A44" s="12"/>
      <c r="B44" s="12" t="s">
        <v>495</v>
      </c>
      <c r="C44" s="12"/>
    </row>
    <row r="45" spans="1:3" x14ac:dyDescent="0.3">
      <c r="A45" s="12"/>
      <c r="B45" s="12" t="s">
        <v>496</v>
      </c>
      <c r="C45" s="12"/>
    </row>
    <row r="46" spans="1:3" x14ac:dyDescent="0.3">
      <c r="A46" s="12"/>
      <c r="B46" s="12" t="s">
        <v>497</v>
      </c>
      <c r="C46" s="12"/>
    </row>
    <row r="47" spans="1:3" x14ac:dyDescent="0.3">
      <c r="A47" s="12"/>
      <c r="B47" s="46" t="s">
        <v>225</v>
      </c>
      <c r="C47" s="12"/>
    </row>
    <row r="48" spans="1:3" x14ac:dyDescent="0.3">
      <c r="A48" s="12"/>
      <c r="B48" s="46" t="s">
        <v>226</v>
      </c>
      <c r="C48" s="12"/>
    </row>
    <row r="49" spans="1:3" x14ac:dyDescent="0.3">
      <c r="A49" s="12"/>
      <c r="B49" s="46" t="s">
        <v>227</v>
      </c>
      <c r="C49" s="12"/>
    </row>
    <row r="50" spans="1:3" x14ac:dyDescent="0.3">
      <c r="A50" s="12"/>
      <c r="B50" s="46" t="s">
        <v>228</v>
      </c>
      <c r="C50" s="12"/>
    </row>
    <row r="51" spans="1:3" x14ac:dyDescent="0.3">
      <c r="A51" s="12"/>
      <c r="B51" s="46" t="s">
        <v>229</v>
      </c>
      <c r="C51" s="12"/>
    </row>
    <row r="52" spans="1:3" x14ac:dyDescent="0.3">
      <c r="A52" s="12"/>
      <c r="B52" s="46" t="s">
        <v>347</v>
      </c>
      <c r="C52" s="12"/>
    </row>
    <row r="53" spans="1:3" ht="13.5" customHeight="1" x14ac:dyDescent="0.3">
      <c r="A53" s="12"/>
      <c r="B53" s="46" t="s">
        <v>348</v>
      </c>
      <c r="C53" s="12"/>
    </row>
    <row r="54" spans="1:3" x14ac:dyDescent="0.3">
      <c r="A54" s="12"/>
      <c r="B54" s="46" t="s">
        <v>349</v>
      </c>
      <c r="C54" s="12"/>
    </row>
    <row r="55" spans="1:3" x14ac:dyDescent="0.3">
      <c r="A55" s="12"/>
      <c r="B55" s="46" t="s">
        <v>350</v>
      </c>
      <c r="C55" s="12"/>
    </row>
    <row r="56" spans="1:3" x14ac:dyDescent="0.3">
      <c r="A56" s="12"/>
      <c r="B56" s="46" t="s">
        <v>351</v>
      </c>
      <c r="C56" s="12"/>
    </row>
    <row r="57" spans="1:3" x14ac:dyDescent="0.3">
      <c r="A57" s="12"/>
      <c r="B57" s="46" t="s">
        <v>424</v>
      </c>
      <c r="C57" s="12"/>
    </row>
    <row r="58" spans="1:3" x14ac:dyDescent="0.3">
      <c r="A58" s="12"/>
      <c r="B58" s="46" t="s">
        <v>425</v>
      </c>
      <c r="C58" s="12"/>
    </row>
    <row r="59" spans="1:3" x14ac:dyDescent="0.3">
      <c r="A59" s="12"/>
      <c r="B59" s="46" t="s">
        <v>426</v>
      </c>
      <c r="C59" s="12"/>
    </row>
    <row r="60" spans="1:3" x14ac:dyDescent="0.3">
      <c r="A60" s="12"/>
      <c r="B60" s="46" t="s">
        <v>230</v>
      </c>
      <c r="C60" s="12"/>
    </row>
    <row r="61" spans="1:3" x14ac:dyDescent="0.3">
      <c r="A61" s="12"/>
      <c r="B61" s="46" t="s">
        <v>427</v>
      </c>
      <c r="C61" s="12"/>
    </row>
    <row r="62" spans="1:3" x14ac:dyDescent="0.3">
      <c r="A62" s="12"/>
      <c r="B62" s="46" t="s">
        <v>428</v>
      </c>
      <c r="C62" s="12"/>
    </row>
    <row r="63" spans="1:3" x14ac:dyDescent="0.3">
      <c r="A63" s="12"/>
      <c r="B63" s="46" t="s">
        <v>429</v>
      </c>
      <c r="C63" s="12"/>
    </row>
    <row r="64" spans="1:3" x14ac:dyDescent="0.3">
      <c r="A64" s="12"/>
      <c r="B64" s="46" t="s">
        <v>430</v>
      </c>
      <c r="C64" s="12"/>
    </row>
    <row r="65" spans="1:3" x14ac:dyDescent="0.3">
      <c r="A65" s="12"/>
      <c r="B65" s="46" t="s">
        <v>431</v>
      </c>
      <c r="C65" s="12"/>
    </row>
    <row r="66" spans="1:3" x14ac:dyDescent="0.3">
      <c r="A66" s="12"/>
      <c r="B66" s="46" t="s">
        <v>432</v>
      </c>
      <c r="C66" s="12"/>
    </row>
    <row r="67" spans="1:3" x14ac:dyDescent="0.3">
      <c r="A67" s="12"/>
      <c r="B67" s="46" t="s">
        <v>433</v>
      </c>
      <c r="C67" s="12"/>
    </row>
    <row r="68" spans="1:3" x14ac:dyDescent="0.3">
      <c r="A68" s="12"/>
      <c r="B68" s="46" t="s">
        <v>231</v>
      </c>
      <c r="C68" s="12"/>
    </row>
    <row r="69" spans="1:3" x14ac:dyDescent="0.3">
      <c r="A69" s="12"/>
      <c r="B69" s="12" t="s">
        <v>422</v>
      </c>
      <c r="C69" s="12"/>
    </row>
    <row r="70" spans="1:3" x14ac:dyDescent="0.3">
      <c r="A70" s="12"/>
      <c r="B70" s="46" t="s">
        <v>233</v>
      </c>
      <c r="C70" s="12"/>
    </row>
    <row r="71" spans="1:3" x14ac:dyDescent="0.3">
      <c r="A71" s="12"/>
      <c r="B71" s="46" t="s">
        <v>234</v>
      </c>
      <c r="C71" s="12"/>
    </row>
    <row r="72" spans="1:3" x14ac:dyDescent="0.3">
      <c r="A72" s="12"/>
      <c r="B72" s="46" t="s">
        <v>235</v>
      </c>
      <c r="C72" s="12"/>
    </row>
    <row r="73" spans="1:3" x14ac:dyDescent="0.3">
      <c r="A73" s="12"/>
      <c r="B73" s="46" t="s">
        <v>236</v>
      </c>
      <c r="C73" s="12"/>
    </row>
    <row r="74" spans="1:3" x14ac:dyDescent="0.3">
      <c r="A74" s="12"/>
      <c r="B74" s="46" t="s">
        <v>237</v>
      </c>
      <c r="C74" s="12"/>
    </row>
    <row r="75" spans="1:3" x14ac:dyDescent="0.3">
      <c r="A75" s="12"/>
      <c r="B75" s="46" t="s">
        <v>238</v>
      </c>
      <c r="C75" s="12"/>
    </row>
    <row r="76" spans="1:3" x14ac:dyDescent="0.3">
      <c r="A76" s="12"/>
      <c r="B76" s="46" t="s">
        <v>387</v>
      </c>
      <c r="C76" s="12"/>
    </row>
    <row r="77" spans="1:3" x14ac:dyDescent="0.3">
      <c r="A77" s="12"/>
      <c r="B77" s="46" t="s">
        <v>388</v>
      </c>
      <c r="C77" s="12"/>
    </row>
    <row r="78" spans="1:3" x14ac:dyDescent="0.3">
      <c r="A78" s="12"/>
      <c r="B78" s="46" t="s">
        <v>389</v>
      </c>
      <c r="C78" s="12"/>
    </row>
    <row r="79" spans="1:3" x14ac:dyDescent="0.3">
      <c r="A79" s="12"/>
      <c r="B79" s="46" t="s">
        <v>390</v>
      </c>
      <c r="C79" s="12"/>
    </row>
    <row r="80" spans="1:3" x14ac:dyDescent="0.3">
      <c r="A80" s="12"/>
      <c r="B80" s="46" t="s">
        <v>239</v>
      </c>
      <c r="C80" s="12"/>
    </row>
    <row r="81" spans="1:3" x14ac:dyDescent="0.3">
      <c r="A81" s="12"/>
      <c r="B81" s="12" t="s">
        <v>423</v>
      </c>
      <c r="C81" s="12"/>
    </row>
    <row r="82" spans="1:3" x14ac:dyDescent="0.3">
      <c r="A82" s="12"/>
      <c r="B82" s="46" t="s">
        <v>241</v>
      </c>
      <c r="C82" s="12"/>
    </row>
    <row r="83" spans="1:3" x14ac:dyDescent="0.3">
      <c r="A83" s="12"/>
      <c r="B83" s="46" t="s">
        <v>331</v>
      </c>
      <c r="C83" s="12"/>
    </row>
    <row r="84" spans="1:3" x14ac:dyDescent="0.3">
      <c r="A84" s="12"/>
      <c r="B84" s="46" t="s">
        <v>336</v>
      </c>
      <c r="C84" s="12"/>
    </row>
    <row r="85" spans="1:3" x14ac:dyDescent="0.3">
      <c r="A85" s="12"/>
      <c r="B85" s="46" t="s">
        <v>337</v>
      </c>
      <c r="C85" s="12"/>
    </row>
    <row r="86" spans="1:3" x14ac:dyDescent="0.3">
      <c r="A86" s="12"/>
      <c r="B86" s="46" t="s">
        <v>338</v>
      </c>
      <c r="C86" s="12"/>
    </row>
    <row r="87" spans="1:3" x14ac:dyDescent="0.3">
      <c r="A87" s="12"/>
      <c r="B87" s="46" t="s">
        <v>386</v>
      </c>
      <c r="C87" s="12"/>
    </row>
    <row r="88" spans="1:3" x14ac:dyDescent="0.3">
      <c r="A88" s="12"/>
      <c r="B88" s="46" t="s">
        <v>242</v>
      </c>
      <c r="C88" s="12"/>
    </row>
    <row r="89" spans="1:3" x14ac:dyDescent="0.3">
      <c r="A89" s="12"/>
      <c r="B89" s="46" t="s">
        <v>243</v>
      </c>
      <c r="C89" s="12"/>
    </row>
    <row r="90" spans="1:3" x14ac:dyDescent="0.3">
      <c r="A90" s="12"/>
      <c r="B90" s="46" t="s">
        <v>344</v>
      </c>
      <c r="C90" s="12"/>
    </row>
    <row r="91" spans="1:3" x14ac:dyDescent="0.3">
      <c r="A91" s="12"/>
      <c r="B91" s="46" t="s">
        <v>244</v>
      </c>
      <c r="C91" s="12"/>
    </row>
    <row r="92" spans="1:3" x14ac:dyDescent="0.3">
      <c r="A92" s="12"/>
      <c r="B92" s="12" t="s">
        <v>245</v>
      </c>
      <c r="C92" s="12"/>
    </row>
    <row r="93" spans="1:3" x14ac:dyDescent="0.3">
      <c r="A93" s="12"/>
      <c r="B93" s="46" t="s">
        <v>246</v>
      </c>
      <c r="C93" s="12"/>
    </row>
    <row r="94" spans="1:3" x14ac:dyDescent="0.3">
      <c r="A94" s="12"/>
      <c r="B94" s="46" t="s">
        <v>345</v>
      </c>
      <c r="C94" s="12"/>
    </row>
    <row r="95" spans="1:3" x14ac:dyDescent="0.3">
      <c r="A95" s="12"/>
      <c r="B95" s="46" t="s">
        <v>346</v>
      </c>
      <c r="C95" s="12"/>
    </row>
    <row r="96" spans="1:3" x14ac:dyDescent="0.3">
      <c r="A96" s="12"/>
      <c r="B96" s="46" t="s">
        <v>415</v>
      </c>
      <c r="C96" s="12"/>
    </row>
    <row r="97" spans="1:3" x14ac:dyDescent="0.3">
      <c r="A97" s="12"/>
      <c r="B97" s="46" t="s">
        <v>416</v>
      </c>
      <c r="C97" s="12"/>
    </row>
    <row r="98" spans="1:3" x14ac:dyDescent="0.3">
      <c r="A98" s="12"/>
      <c r="B98" s="46" t="s">
        <v>247</v>
      </c>
      <c r="C98" s="12"/>
    </row>
    <row r="99" spans="1:3" x14ac:dyDescent="0.3">
      <c r="A99" s="12"/>
      <c r="B99" s="46" t="s">
        <v>248</v>
      </c>
      <c r="C99" s="12"/>
    </row>
    <row r="100" spans="1:3" x14ac:dyDescent="0.3">
      <c r="A100" s="12"/>
      <c r="B100" s="46" t="s">
        <v>249</v>
      </c>
      <c r="C100" s="12"/>
    </row>
    <row r="101" spans="1:3" x14ac:dyDescent="0.3">
      <c r="A101" s="12"/>
      <c r="B101" s="46" t="s">
        <v>250</v>
      </c>
      <c r="C101" s="12"/>
    </row>
    <row r="102" spans="1:3" x14ac:dyDescent="0.3">
      <c r="A102" s="12"/>
      <c r="B102" s="46" t="s">
        <v>417</v>
      </c>
      <c r="C102" s="12"/>
    </row>
    <row r="103" spans="1:3" x14ac:dyDescent="0.3">
      <c r="A103" s="12"/>
      <c r="B103" s="12" t="s">
        <v>463</v>
      </c>
      <c r="C103" s="12"/>
    </row>
    <row r="104" spans="1:3" x14ac:dyDescent="0.3">
      <c r="A104" s="12"/>
      <c r="B104" s="12" t="s">
        <v>490</v>
      </c>
      <c r="C104" s="12"/>
    </row>
    <row r="105" spans="1:3" x14ac:dyDescent="0.3">
      <c r="A105" s="12"/>
      <c r="B105" s="12" t="s">
        <v>491</v>
      </c>
      <c r="C105" s="12"/>
    </row>
    <row r="106" spans="1:3" x14ac:dyDescent="0.3">
      <c r="A106" s="12"/>
      <c r="B106" s="46" t="s">
        <v>251</v>
      </c>
      <c r="C106" s="12"/>
    </row>
    <row r="107" spans="1:3" x14ac:dyDescent="0.3">
      <c r="A107" s="12"/>
      <c r="B107" s="46" t="s">
        <v>371</v>
      </c>
      <c r="C107" s="12"/>
    </row>
    <row r="108" spans="1:3" x14ac:dyDescent="0.3">
      <c r="A108" s="12"/>
      <c r="B108" s="46" t="s">
        <v>372</v>
      </c>
      <c r="C108" s="12"/>
    </row>
    <row r="109" spans="1:3" x14ac:dyDescent="0.3">
      <c r="A109" s="12"/>
      <c r="B109" s="46" t="s">
        <v>252</v>
      </c>
      <c r="C109" s="12"/>
    </row>
    <row r="110" spans="1:3" x14ac:dyDescent="0.3">
      <c r="A110" s="12"/>
      <c r="B110" s="46" t="s">
        <v>253</v>
      </c>
      <c r="C110" s="12"/>
    </row>
    <row r="111" spans="1:3" x14ac:dyDescent="0.3">
      <c r="A111" s="12"/>
      <c r="B111" s="46" t="s">
        <v>373</v>
      </c>
      <c r="C111" s="12"/>
    </row>
    <row r="112" spans="1:3" x14ac:dyDescent="0.3">
      <c r="A112" s="12"/>
      <c r="B112" s="46" t="s">
        <v>374</v>
      </c>
      <c r="C112" s="12"/>
    </row>
    <row r="113" spans="1:3" x14ac:dyDescent="0.3">
      <c r="A113" s="12"/>
      <c r="B113" s="46" t="s">
        <v>375</v>
      </c>
      <c r="C113" s="12"/>
    </row>
    <row r="114" spans="1:3" x14ac:dyDescent="0.3">
      <c r="A114" s="12"/>
      <c r="B114" s="46" t="s">
        <v>254</v>
      </c>
      <c r="C114" s="12"/>
    </row>
    <row r="115" spans="1:3" x14ac:dyDescent="0.3">
      <c r="A115" s="12"/>
      <c r="B115" s="46" t="s">
        <v>255</v>
      </c>
      <c r="C115" s="12"/>
    </row>
    <row r="116" spans="1:3" x14ac:dyDescent="0.3">
      <c r="A116" s="12"/>
      <c r="B116" s="46" t="s">
        <v>256</v>
      </c>
      <c r="C116" s="12"/>
    </row>
    <row r="117" spans="1:3" x14ac:dyDescent="0.3">
      <c r="A117" s="12"/>
      <c r="B117" s="46" t="s">
        <v>368</v>
      </c>
      <c r="C117" s="12"/>
    </row>
    <row r="118" spans="1:3" x14ac:dyDescent="0.3">
      <c r="A118" s="12"/>
      <c r="B118" s="46" t="s">
        <v>257</v>
      </c>
      <c r="C118" s="12"/>
    </row>
    <row r="119" spans="1:3" x14ac:dyDescent="0.3">
      <c r="A119" s="12"/>
      <c r="B119" s="46" t="s">
        <v>258</v>
      </c>
      <c r="C119" s="12"/>
    </row>
    <row r="120" spans="1:3" x14ac:dyDescent="0.3">
      <c r="A120" s="12"/>
      <c r="B120" s="12" t="s">
        <v>467</v>
      </c>
      <c r="C120" s="12"/>
    </row>
    <row r="121" spans="1:3" x14ac:dyDescent="0.3">
      <c r="A121" s="12"/>
      <c r="B121" s="46" t="s">
        <v>335</v>
      </c>
      <c r="C121" s="12"/>
    </row>
    <row r="122" spans="1:3" x14ac:dyDescent="0.3">
      <c r="A122" s="12"/>
      <c r="B122" s="46" t="s">
        <v>259</v>
      </c>
      <c r="C122" s="12"/>
    </row>
    <row r="123" spans="1:3" x14ac:dyDescent="0.3">
      <c r="A123" s="12"/>
      <c r="B123" s="46" t="s">
        <v>260</v>
      </c>
      <c r="C123" s="12"/>
    </row>
    <row r="124" spans="1:3" x14ac:dyDescent="0.3">
      <c r="A124" s="12"/>
      <c r="B124" s="46" t="s">
        <v>261</v>
      </c>
      <c r="C124" s="12"/>
    </row>
    <row r="125" spans="1:3" x14ac:dyDescent="0.3">
      <c r="A125" s="12"/>
      <c r="B125" s="46" t="s">
        <v>367</v>
      </c>
      <c r="C125" s="12"/>
    </row>
    <row r="126" spans="1:3" x14ac:dyDescent="0.3">
      <c r="A126" s="12"/>
      <c r="B126" s="46" t="s">
        <v>420</v>
      </c>
      <c r="C126" s="12"/>
    </row>
    <row r="127" spans="1:3" x14ac:dyDescent="0.3">
      <c r="A127" s="12"/>
      <c r="B127" s="46" t="s">
        <v>421</v>
      </c>
      <c r="C127" s="12"/>
    </row>
    <row r="128" spans="1:3" x14ac:dyDescent="0.3">
      <c r="A128" s="12"/>
      <c r="B128" s="46" t="s">
        <v>262</v>
      </c>
      <c r="C128" s="12"/>
    </row>
    <row r="129" spans="1:3" x14ac:dyDescent="0.3">
      <c r="A129" s="12"/>
      <c r="B129" s="46" t="s">
        <v>263</v>
      </c>
      <c r="C129" s="12"/>
    </row>
    <row r="130" spans="1:3" x14ac:dyDescent="0.3">
      <c r="A130" s="12"/>
      <c r="B130" s="46" t="s">
        <v>264</v>
      </c>
      <c r="C130" s="12"/>
    </row>
    <row r="131" spans="1:3" x14ac:dyDescent="0.3">
      <c r="A131" s="12"/>
      <c r="B131" s="46" t="s">
        <v>339</v>
      </c>
      <c r="C131" s="12"/>
    </row>
    <row r="132" spans="1:3" x14ac:dyDescent="0.3">
      <c r="A132" s="12"/>
      <c r="B132" s="46" t="s">
        <v>353</v>
      </c>
      <c r="C132" s="12"/>
    </row>
    <row r="133" spans="1:3" x14ac:dyDescent="0.3">
      <c r="A133" s="12"/>
      <c r="B133" s="46" t="s">
        <v>265</v>
      </c>
      <c r="C133" s="12"/>
    </row>
    <row r="134" spans="1:3" x14ac:dyDescent="0.3">
      <c r="A134" s="12"/>
      <c r="B134" s="12" t="s">
        <v>475</v>
      </c>
      <c r="C134" s="12"/>
    </row>
    <row r="135" spans="1:3" x14ac:dyDescent="0.3">
      <c r="A135" s="12"/>
      <c r="B135" s="12" t="s">
        <v>476</v>
      </c>
      <c r="C135" s="12"/>
    </row>
    <row r="136" spans="1:3" x14ac:dyDescent="0.3">
      <c r="A136" s="12"/>
      <c r="B136" s="12" t="s">
        <v>477</v>
      </c>
      <c r="C136" s="12"/>
    </row>
    <row r="137" spans="1:3" x14ac:dyDescent="0.3">
      <c r="A137" s="12"/>
      <c r="B137" s="46" t="s">
        <v>266</v>
      </c>
      <c r="C137" s="12"/>
    </row>
    <row r="138" spans="1:3" x14ac:dyDescent="0.3">
      <c r="A138" s="12"/>
      <c r="B138" s="46" t="s">
        <v>267</v>
      </c>
      <c r="C138" s="12"/>
    </row>
    <row r="139" spans="1:3" x14ac:dyDescent="0.3">
      <c r="A139" s="12"/>
      <c r="B139" s="46" t="s">
        <v>341</v>
      </c>
      <c r="C139" s="12"/>
    </row>
    <row r="140" spans="1:3" x14ac:dyDescent="0.3">
      <c r="A140" s="12"/>
      <c r="B140" s="46" t="s">
        <v>343</v>
      </c>
      <c r="C140" s="12"/>
    </row>
    <row r="141" spans="1:3" x14ac:dyDescent="0.3">
      <c r="A141" s="12"/>
      <c r="B141" s="46" t="s">
        <v>370</v>
      </c>
      <c r="C141" s="12"/>
    </row>
    <row r="142" spans="1:3" x14ac:dyDescent="0.3">
      <c r="A142" s="12"/>
      <c r="B142" s="46" t="s">
        <v>268</v>
      </c>
      <c r="C142" s="12"/>
    </row>
    <row r="143" spans="1:3" x14ac:dyDescent="0.3">
      <c r="A143" s="12"/>
      <c r="B143" s="46" t="s">
        <v>418</v>
      </c>
      <c r="C143" s="12"/>
    </row>
    <row r="144" spans="1:3" x14ac:dyDescent="0.3">
      <c r="A144" s="12"/>
      <c r="B144" s="46" t="s">
        <v>419</v>
      </c>
      <c r="C144" s="12"/>
    </row>
    <row r="145" spans="1:3" x14ac:dyDescent="0.3">
      <c r="A145" s="12"/>
      <c r="B145" s="46" t="s">
        <v>269</v>
      </c>
      <c r="C145" s="12"/>
    </row>
    <row r="146" spans="1:3" x14ac:dyDescent="0.3">
      <c r="A146" s="12"/>
      <c r="B146" s="46" t="s">
        <v>270</v>
      </c>
      <c r="C146" s="12"/>
    </row>
    <row r="147" spans="1:3" x14ac:dyDescent="0.3">
      <c r="A147" s="12"/>
      <c r="B147" s="46" t="s">
        <v>271</v>
      </c>
      <c r="C147" s="12"/>
    </row>
    <row r="148" spans="1:3" x14ac:dyDescent="0.3">
      <c r="A148" s="12"/>
      <c r="B148" s="46" t="s">
        <v>272</v>
      </c>
      <c r="C148" s="12"/>
    </row>
    <row r="149" spans="1:3" x14ac:dyDescent="0.3">
      <c r="A149" s="12"/>
      <c r="B149" s="46" t="s">
        <v>273</v>
      </c>
      <c r="C149" s="12"/>
    </row>
    <row r="150" spans="1:3" x14ac:dyDescent="0.3">
      <c r="A150" s="12"/>
      <c r="B150" s="46" t="s">
        <v>274</v>
      </c>
      <c r="C150" s="12"/>
    </row>
    <row r="151" spans="1:3" x14ac:dyDescent="0.3">
      <c r="A151" s="12"/>
      <c r="B151" s="46" t="s">
        <v>275</v>
      </c>
      <c r="C151" s="12"/>
    </row>
    <row r="152" spans="1:3" x14ac:dyDescent="0.3">
      <c r="A152" s="12"/>
      <c r="B152" s="46" t="s">
        <v>276</v>
      </c>
      <c r="C152" s="12"/>
    </row>
    <row r="153" spans="1:3" x14ac:dyDescent="0.3">
      <c r="A153" s="12"/>
      <c r="B153" s="46" t="s">
        <v>277</v>
      </c>
      <c r="C153" s="12"/>
    </row>
    <row r="154" spans="1:3" x14ac:dyDescent="0.3">
      <c r="A154" s="12"/>
      <c r="B154" s="46" t="s">
        <v>278</v>
      </c>
      <c r="C154" s="12"/>
    </row>
    <row r="155" spans="1:3" x14ac:dyDescent="0.3">
      <c r="A155" s="12"/>
      <c r="B155" s="46" t="s">
        <v>279</v>
      </c>
      <c r="C155" s="12"/>
    </row>
    <row r="156" spans="1:3" x14ac:dyDescent="0.3">
      <c r="A156" s="12"/>
      <c r="B156" s="12" t="s">
        <v>469</v>
      </c>
      <c r="C156" s="12"/>
    </row>
    <row r="157" spans="1:3" x14ac:dyDescent="0.3">
      <c r="A157" s="12"/>
      <c r="B157" s="46" t="s">
        <v>280</v>
      </c>
      <c r="C157" s="12"/>
    </row>
    <row r="158" spans="1:3" x14ac:dyDescent="0.3">
      <c r="A158" s="12"/>
      <c r="B158" s="12" t="s">
        <v>470</v>
      </c>
      <c r="C158" s="12"/>
    </row>
    <row r="159" spans="1:3" x14ac:dyDescent="0.3">
      <c r="A159" s="12"/>
      <c r="B159" s="12" t="s">
        <v>471</v>
      </c>
      <c r="C159" s="12"/>
    </row>
    <row r="160" spans="1:3" x14ac:dyDescent="0.3">
      <c r="A160" s="12"/>
      <c r="B160" s="12" t="s">
        <v>472</v>
      </c>
      <c r="C160" s="12"/>
    </row>
    <row r="161" spans="1:3" x14ac:dyDescent="0.3">
      <c r="A161" s="12"/>
      <c r="B161" s="12" t="s">
        <v>473</v>
      </c>
      <c r="C161" s="12"/>
    </row>
    <row r="162" spans="1:3" x14ac:dyDescent="0.3">
      <c r="A162" s="12"/>
      <c r="B162" s="12" t="s">
        <v>474</v>
      </c>
      <c r="C162" s="12"/>
    </row>
    <row r="163" spans="1:3" x14ac:dyDescent="0.3">
      <c r="A163" s="12"/>
      <c r="B163" s="46" t="s">
        <v>281</v>
      </c>
      <c r="C163" s="12"/>
    </row>
    <row r="164" spans="1:3" x14ac:dyDescent="0.3">
      <c r="A164" s="12"/>
      <c r="B164" s="46" t="s">
        <v>282</v>
      </c>
      <c r="C164" s="12"/>
    </row>
    <row r="165" spans="1:3" x14ac:dyDescent="0.3">
      <c r="A165" s="12"/>
      <c r="B165" s="46" t="s">
        <v>283</v>
      </c>
      <c r="C165" s="12"/>
    </row>
    <row r="166" spans="1:3" x14ac:dyDescent="0.3">
      <c r="A166" s="12"/>
      <c r="B166" s="46" t="s">
        <v>284</v>
      </c>
      <c r="C166" s="12"/>
    </row>
    <row r="167" spans="1:3" x14ac:dyDescent="0.3">
      <c r="A167" s="12"/>
      <c r="B167" s="46" t="s">
        <v>285</v>
      </c>
      <c r="C167" s="12"/>
    </row>
    <row r="168" spans="1:3" x14ac:dyDescent="0.3">
      <c r="A168" s="12"/>
      <c r="B168" s="46" t="s">
        <v>286</v>
      </c>
      <c r="C168" s="12"/>
    </row>
    <row r="169" spans="1:3" x14ac:dyDescent="0.3">
      <c r="A169" s="12"/>
      <c r="B169" s="46" t="s">
        <v>287</v>
      </c>
      <c r="C169" s="12"/>
    </row>
    <row r="170" spans="1:3" x14ac:dyDescent="0.3">
      <c r="A170" s="12"/>
      <c r="B170" s="12" t="s">
        <v>458</v>
      </c>
      <c r="C170" s="12"/>
    </row>
    <row r="171" spans="1:3" x14ac:dyDescent="0.3">
      <c r="A171" s="12"/>
      <c r="B171" s="46" t="s">
        <v>288</v>
      </c>
      <c r="C171" s="12"/>
    </row>
    <row r="172" spans="1:3" x14ac:dyDescent="0.3">
      <c r="A172" s="12"/>
      <c r="B172" s="46" t="s">
        <v>289</v>
      </c>
      <c r="C172" s="12"/>
    </row>
    <row r="173" spans="1:3" x14ac:dyDescent="0.3">
      <c r="A173" s="12"/>
      <c r="B173" s="46" t="s">
        <v>290</v>
      </c>
      <c r="C173" s="12"/>
    </row>
    <row r="174" spans="1:3" x14ac:dyDescent="0.3">
      <c r="A174" s="12"/>
      <c r="B174" s="46" t="s">
        <v>291</v>
      </c>
      <c r="C174" s="12"/>
    </row>
    <row r="175" spans="1:3" x14ac:dyDescent="0.3">
      <c r="A175" s="12"/>
      <c r="B175" s="46" t="s">
        <v>292</v>
      </c>
      <c r="C175" s="12"/>
    </row>
    <row r="176" spans="1:3" x14ac:dyDescent="0.3">
      <c r="A176" s="12"/>
      <c r="B176" s="46" t="s">
        <v>352</v>
      </c>
      <c r="C176" s="12"/>
    </row>
    <row r="177" spans="1:3" x14ac:dyDescent="0.3">
      <c r="A177" s="12"/>
      <c r="B177" s="46" t="s">
        <v>355</v>
      </c>
      <c r="C177" s="12"/>
    </row>
    <row r="178" spans="1:3" x14ac:dyDescent="0.3">
      <c r="A178" s="12"/>
      <c r="B178" s="46" t="s">
        <v>356</v>
      </c>
      <c r="C178" s="12"/>
    </row>
    <row r="179" spans="1:3" x14ac:dyDescent="0.3">
      <c r="A179" s="12"/>
      <c r="B179" s="12" t="s">
        <v>459</v>
      </c>
      <c r="C179" s="12"/>
    </row>
    <row r="180" spans="1:3" x14ac:dyDescent="0.3">
      <c r="A180" s="12"/>
      <c r="B180" s="12" t="s">
        <v>460</v>
      </c>
      <c r="C180" s="12"/>
    </row>
    <row r="181" spans="1:3" x14ac:dyDescent="0.3">
      <c r="A181" s="12"/>
      <c r="B181" s="12" t="s">
        <v>461</v>
      </c>
      <c r="C181" s="12"/>
    </row>
    <row r="182" spans="1:3" x14ac:dyDescent="0.3">
      <c r="A182" s="12"/>
      <c r="B182" s="12" t="s">
        <v>468</v>
      </c>
      <c r="C182" s="12"/>
    </row>
    <row r="183" spans="1:3" x14ac:dyDescent="0.3">
      <c r="A183" s="12"/>
      <c r="B183" s="46" t="s">
        <v>293</v>
      </c>
      <c r="C183" s="12"/>
    </row>
    <row r="184" spans="1:3" x14ac:dyDescent="0.3">
      <c r="A184" s="12"/>
      <c r="B184" s="46" t="s">
        <v>294</v>
      </c>
      <c r="C184" s="12"/>
    </row>
    <row r="185" spans="1:3" x14ac:dyDescent="0.3">
      <c r="A185" s="12"/>
      <c r="B185" s="46" t="s">
        <v>295</v>
      </c>
      <c r="C185" s="12"/>
    </row>
    <row r="186" spans="1:3" x14ac:dyDescent="0.3">
      <c r="A186" s="12"/>
      <c r="B186" s="46" t="s">
        <v>296</v>
      </c>
      <c r="C186" s="12"/>
    </row>
    <row r="187" spans="1:3" x14ac:dyDescent="0.3">
      <c r="A187" s="12"/>
      <c r="B187" s="46" t="s">
        <v>297</v>
      </c>
      <c r="C187" s="12"/>
    </row>
    <row r="188" spans="1:3" x14ac:dyDescent="0.3">
      <c r="A188" s="12"/>
      <c r="B188" s="46" t="s">
        <v>298</v>
      </c>
      <c r="C188" s="12"/>
    </row>
    <row r="189" spans="1:3" x14ac:dyDescent="0.3">
      <c r="A189" s="12"/>
      <c r="B189" s="46" t="s">
        <v>299</v>
      </c>
      <c r="C189" s="12"/>
    </row>
    <row r="190" spans="1:3" x14ac:dyDescent="0.3">
      <c r="A190" s="12"/>
      <c r="B190" s="46" t="s">
        <v>300</v>
      </c>
      <c r="C190" s="12"/>
    </row>
    <row r="191" spans="1:3" x14ac:dyDescent="0.3">
      <c r="A191" s="12"/>
      <c r="B191" s="46" t="s">
        <v>301</v>
      </c>
      <c r="C191" s="12"/>
    </row>
    <row r="192" spans="1:3" x14ac:dyDescent="0.3">
      <c r="A192" s="12"/>
      <c r="B192" s="46" t="s">
        <v>302</v>
      </c>
      <c r="C192" s="12"/>
    </row>
    <row r="193" spans="1:3" x14ac:dyDescent="0.3">
      <c r="A193" s="12"/>
      <c r="B193" s="46" t="s">
        <v>303</v>
      </c>
      <c r="C193" s="12"/>
    </row>
    <row r="194" spans="1:3" x14ac:dyDescent="0.3">
      <c r="A194" s="12"/>
      <c r="B194" s="46" t="s">
        <v>332</v>
      </c>
      <c r="C194" s="12"/>
    </row>
    <row r="195" spans="1:3" x14ac:dyDescent="0.3">
      <c r="A195" s="12"/>
      <c r="B195" s="46" t="s">
        <v>333</v>
      </c>
      <c r="C195" s="12"/>
    </row>
    <row r="196" spans="1:3" x14ac:dyDescent="0.3">
      <c r="A196" s="12"/>
      <c r="B196" s="46" t="s">
        <v>406</v>
      </c>
      <c r="C196" s="12"/>
    </row>
    <row r="197" spans="1:3" x14ac:dyDescent="0.3">
      <c r="A197" s="12"/>
      <c r="B197" s="46" t="s">
        <v>407</v>
      </c>
      <c r="C197" s="12"/>
    </row>
    <row r="198" spans="1:3" x14ac:dyDescent="0.3">
      <c r="A198" s="12"/>
      <c r="B198" s="46" t="s">
        <v>408</v>
      </c>
      <c r="C198" s="12"/>
    </row>
    <row r="199" spans="1:3" x14ac:dyDescent="0.3">
      <c r="A199" s="12"/>
      <c r="B199" s="46" t="s">
        <v>409</v>
      </c>
      <c r="C199" s="12"/>
    </row>
    <row r="200" spans="1:3" x14ac:dyDescent="0.3">
      <c r="A200" s="12"/>
      <c r="B200" s="46" t="s">
        <v>410</v>
      </c>
      <c r="C200" s="12"/>
    </row>
    <row r="201" spans="1:3" x14ac:dyDescent="0.3">
      <c r="B201" s="46" t="s">
        <v>304</v>
      </c>
    </row>
    <row r="202" spans="1:3" x14ac:dyDescent="0.3">
      <c r="B202" s="82" t="s">
        <v>411</v>
      </c>
    </row>
    <row r="203" spans="1:3" x14ac:dyDescent="0.3">
      <c r="B203" s="82" t="s">
        <v>412</v>
      </c>
    </row>
    <row r="204" spans="1:3" x14ac:dyDescent="0.3">
      <c r="B204" s="82" t="s">
        <v>413</v>
      </c>
    </row>
    <row r="205" spans="1:3" x14ac:dyDescent="0.3">
      <c r="B205" s="82" t="s">
        <v>414</v>
      </c>
    </row>
    <row r="206" spans="1:3" x14ac:dyDescent="0.3">
      <c r="B206" t="s">
        <v>465</v>
      </c>
    </row>
    <row r="207" spans="1:3" x14ac:dyDescent="0.3">
      <c r="B207" t="s">
        <v>493</v>
      </c>
    </row>
    <row r="208" spans="1:3" x14ac:dyDescent="0.3">
      <c r="B208" s="82" t="s">
        <v>305</v>
      </c>
    </row>
    <row r="209" spans="2:2" x14ac:dyDescent="0.3">
      <c r="B209" s="82" t="s">
        <v>306</v>
      </c>
    </row>
    <row r="210" spans="2:2" x14ac:dyDescent="0.3">
      <c r="B210" s="82" t="s">
        <v>307</v>
      </c>
    </row>
    <row r="211" spans="2:2" x14ac:dyDescent="0.3">
      <c r="B211" s="82" t="s">
        <v>308</v>
      </c>
    </row>
    <row r="212" spans="2:2" x14ac:dyDescent="0.3">
      <c r="B212" s="82" t="s">
        <v>309</v>
      </c>
    </row>
    <row r="213" spans="2:2" x14ac:dyDescent="0.3">
      <c r="B213" s="82" t="s">
        <v>310</v>
      </c>
    </row>
    <row r="214" spans="2:2" x14ac:dyDescent="0.3">
      <c r="B214" t="s">
        <v>462</v>
      </c>
    </row>
    <row r="215" spans="2:2" x14ac:dyDescent="0.3">
      <c r="B215" s="82" t="s">
        <v>334</v>
      </c>
    </row>
    <row r="216" spans="2:2" x14ac:dyDescent="0.3">
      <c r="B216" t="s">
        <v>466</v>
      </c>
    </row>
    <row r="217" spans="2:2" x14ac:dyDescent="0.3">
      <c r="B217" t="s">
        <v>492</v>
      </c>
    </row>
    <row r="218" spans="2:2" x14ac:dyDescent="0.3">
      <c r="B218" t="s">
        <v>494</v>
      </c>
    </row>
    <row r="219" spans="2:2" x14ac:dyDescent="0.3">
      <c r="B219" s="82" t="s">
        <v>311</v>
      </c>
    </row>
    <row r="220" spans="2:2" x14ac:dyDescent="0.3">
      <c r="B220" s="82" t="s">
        <v>312</v>
      </c>
    </row>
    <row r="221" spans="2:2" x14ac:dyDescent="0.3">
      <c r="B221" s="82" t="s">
        <v>313</v>
      </c>
    </row>
    <row r="222" spans="2:2" x14ac:dyDescent="0.3">
      <c r="B222" s="82" t="s">
        <v>314</v>
      </c>
    </row>
    <row r="223" spans="2:2" x14ac:dyDescent="0.3">
      <c r="B223" s="82" t="s">
        <v>315</v>
      </c>
    </row>
    <row r="224" spans="2:2" x14ac:dyDescent="0.3">
      <c r="B224" s="82" t="s">
        <v>316</v>
      </c>
    </row>
    <row r="225" spans="2:2" x14ac:dyDescent="0.3">
      <c r="B225" s="82" t="s">
        <v>317</v>
      </c>
    </row>
    <row r="226" spans="2:2" x14ac:dyDescent="0.3">
      <c r="B226" s="82" t="s">
        <v>318</v>
      </c>
    </row>
    <row r="227" spans="2:2" x14ac:dyDescent="0.3">
      <c r="B227" s="82" t="s">
        <v>319</v>
      </c>
    </row>
    <row r="228" spans="2:2" x14ac:dyDescent="0.3">
      <c r="B228" s="82" t="s">
        <v>320</v>
      </c>
    </row>
    <row r="229" spans="2:2" x14ac:dyDescent="0.3">
      <c r="B229" s="82" t="s">
        <v>321</v>
      </c>
    </row>
    <row r="230" spans="2:2" x14ac:dyDescent="0.3">
      <c r="B230" s="82" t="s">
        <v>322</v>
      </c>
    </row>
    <row r="231" spans="2:2" x14ac:dyDescent="0.3">
      <c r="B231" s="82" t="s">
        <v>323</v>
      </c>
    </row>
    <row r="232" spans="2:2" x14ac:dyDescent="0.3">
      <c r="B232" t="s">
        <v>488</v>
      </c>
    </row>
    <row r="233" spans="2:2" x14ac:dyDescent="0.3">
      <c r="B233" t="s">
        <v>480</v>
      </c>
    </row>
    <row r="234" spans="2:2" x14ac:dyDescent="0.3">
      <c r="B234" t="s">
        <v>481</v>
      </c>
    </row>
    <row r="235" spans="2:2" x14ac:dyDescent="0.3">
      <c r="B235" t="s">
        <v>479</v>
      </c>
    </row>
    <row r="236" spans="2:2" x14ac:dyDescent="0.3">
      <c r="B236" s="84" t="s">
        <v>512</v>
      </c>
    </row>
    <row r="237" spans="2:2" x14ac:dyDescent="0.3">
      <c r="B237" t="s">
        <v>513</v>
      </c>
    </row>
    <row r="238" spans="2:2" x14ac:dyDescent="0.3">
      <c r="B238" t="s">
        <v>514</v>
      </c>
    </row>
    <row r="239" spans="2:2" x14ac:dyDescent="0.3">
      <c r="B239" t="s">
        <v>515</v>
      </c>
    </row>
    <row r="240" spans="2:2" x14ac:dyDescent="0.3">
      <c r="B240" t="s">
        <v>516</v>
      </c>
    </row>
    <row r="241" spans="2:2" x14ac:dyDescent="0.3">
      <c r="B241" t="s">
        <v>517</v>
      </c>
    </row>
    <row r="242" spans="2:2" x14ac:dyDescent="0.3">
      <c r="B242" t="s">
        <v>518</v>
      </c>
    </row>
    <row r="243" spans="2:2" x14ac:dyDescent="0.3">
      <c r="B243" t="s">
        <v>519</v>
      </c>
    </row>
    <row r="244" spans="2:2" x14ac:dyDescent="0.3">
      <c r="B244" t="s">
        <v>520</v>
      </c>
    </row>
    <row r="245" spans="2:2" x14ac:dyDescent="0.3">
      <c r="B245" t="s">
        <v>521</v>
      </c>
    </row>
    <row r="246" spans="2:2" x14ac:dyDescent="0.3">
      <c r="B246" t="s">
        <v>522</v>
      </c>
    </row>
    <row r="247" spans="2:2" x14ac:dyDescent="0.3">
      <c r="B247" t="s">
        <v>523</v>
      </c>
    </row>
    <row r="248" spans="2:2" x14ac:dyDescent="0.3">
      <c r="B248" t="s">
        <v>524</v>
      </c>
    </row>
    <row r="249" spans="2:2" x14ac:dyDescent="0.3">
      <c r="B249" t="s">
        <v>525</v>
      </c>
    </row>
    <row r="250" spans="2:2" x14ac:dyDescent="0.3">
      <c r="B250" t="s">
        <v>526</v>
      </c>
    </row>
    <row r="251" spans="2:2" x14ac:dyDescent="0.3">
      <c r="B251" t="s">
        <v>527</v>
      </c>
    </row>
    <row r="252" spans="2:2" x14ac:dyDescent="0.3">
      <c r="B252" t="s">
        <v>528</v>
      </c>
    </row>
    <row r="253" spans="2:2" x14ac:dyDescent="0.3">
      <c r="B253" t="s">
        <v>528</v>
      </c>
    </row>
    <row r="254" spans="2:2" x14ac:dyDescent="0.3">
      <c r="B254" t="s">
        <v>531</v>
      </c>
    </row>
    <row r="255" spans="2:2" x14ac:dyDescent="0.3">
      <c r="B255" t="s">
        <v>532</v>
      </c>
    </row>
    <row r="256" spans="2:2" x14ac:dyDescent="0.3">
      <c r="B256" t="s">
        <v>533</v>
      </c>
    </row>
    <row r="257" spans="2:2" x14ac:dyDescent="0.3">
      <c r="B257" t="s">
        <v>534</v>
      </c>
    </row>
    <row r="258" spans="2:2" x14ac:dyDescent="0.3">
      <c r="B258" t="s">
        <v>535</v>
      </c>
    </row>
    <row r="259" spans="2:2" x14ac:dyDescent="0.3">
      <c r="B259" t="s">
        <v>536</v>
      </c>
    </row>
    <row r="260" spans="2:2" x14ac:dyDescent="0.3">
      <c r="B260" t="s">
        <v>537</v>
      </c>
    </row>
    <row r="261" spans="2:2" x14ac:dyDescent="0.3">
      <c r="B261" t="s">
        <v>538</v>
      </c>
    </row>
    <row r="262" spans="2:2" x14ac:dyDescent="0.3">
      <c r="B262" t="s">
        <v>539</v>
      </c>
    </row>
    <row r="263" spans="2:2" x14ac:dyDescent="0.3">
      <c r="B263" t="s">
        <v>540</v>
      </c>
    </row>
    <row r="264" spans="2:2" x14ac:dyDescent="0.3">
      <c r="B264" t="s">
        <v>541</v>
      </c>
    </row>
    <row r="265" spans="2:2" x14ac:dyDescent="0.3">
      <c r="B265" t="s">
        <v>542</v>
      </c>
    </row>
    <row r="266" spans="2:2" x14ac:dyDescent="0.3">
      <c r="B266" t="s">
        <v>543</v>
      </c>
    </row>
    <row r="267" spans="2:2" x14ac:dyDescent="0.3">
      <c r="B267" t="s">
        <v>544</v>
      </c>
    </row>
    <row r="268" spans="2:2" x14ac:dyDescent="0.3">
      <c r="B268" t="s">
        <v>545</v>
      </c>
    </row>
    <row r="269" spans="2:2" x14ac:dyDescent="0.3">
      <c r="B269" t="s">
        <v>546</v>
      </c>
    </row>
    <row r="270" spans="2:2" x14ac:dyDescent="0.3">
      <c r="B270" t="s">
        <v>547</v>
      </c>
    </row>
    <row r="271" spans="2:2" x14ac:dyDescent="0.3">
      <c r="B271" t="s">
        <v>548</v>
      </c>
    </row>
    <row r="272" spans="2:2" x14ac:dyDescent="0.3">
      <c r="B272" t="s">
        <v>549</v>
      </c>
    </row>
    <row r="273" spans="2:2" x14ac:dyDescent="0.3">
      <c r="B273" t="s">
        <v>550</v>
      </c>
    </row>
    <row r="274" spans="2:2" x14ac:dyDescent="0.3">
      <c r="B274" t="s">
        <v>551</v>
      </c>
    </row>
    <row r="275" spans="2:2" x14ac:dyDescent="0.3">
      <c r="B275" t="s">
        <v>552</v>
      </c>
    </row>
    <row r="276" spans="2:2" x14ac:dyDescent="0.3">
      <c r="B276" t="s">
        <v>553</v>
      </c>
    </row>
    <row r="277" spans="2:2" x14ac:dyDescent="0.3">
      <c r="B277" t="s">
        <v>554</v>
      </c>
    </row>
    <row r="278" spans="2:2" x14ac:dyDescent="0.3">
      <c r="B278" t="s">
        <v>555</v>
      </c>
    </row>
    <row r="279" spans="2:2" x14ac:dyDescent="0.3">
      <c r="B279" t="s">
        <v>556</v>
      </c>
    </row>
    <row r="280" spans="2:2" x14ac:dyDescent="0.3">
      <c r="B280" t="s">
        <v>557</v>
      </c>
    </row>
    <row r="281" spans="2:2" x14ac:dyDescent="0.3">
      <c r="B281" t="s">
        <v>558</v>
      </c>
    </row>
    <row r="282" spans="2:2" x14ac:dyDescent="0.3">
      <c r="B282" t="s">
        <v>559</v>
      </c>
    </row>
    <row r="283" spans="2:2" x14ac:dyDescent="0.3">
      <c r="B283" t="s">
        <v>560</v>
      </c>
    </row>
    <row r="284" spans="2:2" x14ac:dyDescent="0.3">
      <c r="B284" t="s">
        <v>735</v>
      </c>
    </row>
  </sheetData>
  <sheetProtection autoFilter="0"/>
  <autoFilter ref="B1:C1" xr:uid="{00000000-0001-0000-0200-000000000000}"/>
  <sortState xmlns:xlrd2="http://schemas.microsoft.com/office/spreadsheetml/2017/richdata2" ref="B1:B236">
    <sortCondition ref="B181:B236"/>
  </sortState>
  <pageMargins left="0.70866141732283472" right="0.70866141732283472" top="0.19685039370078741" bottom="0.19685039370078741" header="0.11811023622047245" footer="0.1181102362204724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7"/>
  <dimension ref="A1:K142"/>
  <sheetViews>
    <sheetView topLeftCell="A89" zoomScale="115" zoomScaleNormal="115" workbookViewId="0">
      <selection activeCell="C14" sqref="C14"/>
    </sheetView>
  </sheetViews>
  <sheetFormatPr baseColWidth="10" defaultRowHeight="14.4" x14ac:dyDescent="0.3"/>
  <cols>
    <col min="1" max="1" width="24.88671875" style="3" customWidth="1"/>
    <col min="2" max="2" width="20.33203125" style="3" customWidth="1"/>
    <col min="3" max="3" width="33.44140625" style="3" customWidth="1"/>
    <col min="4" max="4" width="30.33203125" style="3" customWidth="1"/>
    <col min="5" max="5" width="21" style="3" customWidth="1"/>
    <col min="6" max="6" width="23" style="3" customWidth="1"/>
    <col min="7" max="7" width="25.33203125" style="3" customWidth="1"/>
    <col min="8" max="8" width="23.5546875" style="3" customWidth="1"/>
    <col min="9" max="9" width="20.88671875" style="3" customWidth="1"/>
    <col min="10" max="10" width="18.6640625" customWidth="1"/>
    <col min="11" max="11" width="13.88671875" customWidth="1"/>
  </cols>
  <sheetData>
    <row r="1" spans="1:11" ht="34.5" customHeight="1" x14ac:dyDescent="0.3">
      <c r="A1" s="2" t="s">
        <v>31</v>
      </c>
      <c r="B1" s="2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183</v>
      </c>
      <c r="H1" s="4" t="s">
        <v>37</v>
      </c>
      <c r="I1" s="4" t="s">
        <v>10</v>
      </c>
      <c r="J1" s="4" t="s">
        <v>45</v>
      </c>
      <c r="K1" s="4" t="s">
        <v>46</v>
      </c>
    </row>
    <row r="2" spans="1:11" x14ac:dyDescent="0.3">
      <c r="A2" s="3" t="s">
        <v>66</v>
      </c>
      <c r="B2" s="3" t="s">
        <v>66</v>
      </c>
      <c r="C2" s="3" t="s">
        <v>66</v>
      </c>
      <c r="D2" s="3" t="s">
        <v>66</v>
      </c>
      <c r="E2" s="3" t="s">
        <v>66</v>
      </c>
      <c r="F2" s="3" t="s">
        <v>66</v>
      </c>
      <c r="G2" s="3" t="s">
        <v>66</v>
      </c>
      <c r="H2" s="3" t="s">
        <v>67</v>
      </c>
      <c r="I2" s="3" t="s">
        <v>67</v>
      </c>
      <c r="J2" s="3" t="s">
        <v>91</v>
      </c>
      <c r="K2" s="3" t="s">
        <v>67</v>
      </c>
    </row>
    <row r="3" spans="1:11" x14ac:dyDescent="0.3">
      <c r="A3" s="3" t="s">
        <v>162</v>
      </c>
      <c r="B3" s="3" t="s">
        <v>122</v>
      </c>
      <c r="C3" s="3" t="s">
        <v>65</v>
      </c>
      <c r="D3" s="3" t="s">
        <v>121</v>
      </c>
      <c r="E3" s="3" t="s">
        <v>67</v>
      </c>
      <c r="F3" s="3" t="s">
        <v>67</v>
      </c>
      <c r="G3" s="3" t="s">
        <v>434</v>
      </c>
      <c r="H3" s="3" t="s">
        <v>144</v>
      </c>
      <c r="I3" s="3" t="s">
        <v>144</v>
      </c>
      <c r="J3" s="3" t="s">
        <v>92</v>
      </c>
      <c r="K3" s="3" t="s">
        <v>48</v>
      </c>
    </row>
    <row r="4" spans="1:11" x14ac:dyDescent="0.3">
      <c r="A4" s="3" t="s">
        <v>169</v>
      </c>
      <c r="B4" s="3" t="s">
        <v>38</v>
      </c>
      <c r="C4" s="3" t="s">
        <v>101</v>
      </c>
      <c r="D4" s="3" t="s">
        <v>120</v>
      </c>
      <c r="E4" s="3" t="s">
        <v>128</v>
      </c>
      <c r="F4" s="3" t="s">
        <v>84</v>
      </c>
      <c r="G4" s="3" t="s">
        <v>435</v>
      </c>
      <c r="H4" s="3" t="s">
        <v>94</v>
      </c>
      <c r="I4" s="3" t="s">
        <v>664</v>
      </c>
      <c r="J4" s="3" t="s">
        <v>393</v>
      </c>
      <c r="K4" s="3" t="s">
        <v>49</v>
      </c>
    </row>
    <row r="5" spans="1:11" x14ac:dyDescent="0.3">
      <c r="A5" s="3" t="s">
        <v>163</v>
      </c>
      <c r="B5" s="3" t="s">
        <v>39</v>
      </c>
      <c r="C5" s="3" t="s">
        <v>189</v>
      </c>
      <c r="D5" s="3" t="s">
        <v>44</v>
      </c>
      <c r="E5" s="3" t="s">
        <v>126</v>
      </c>
      <c r="F5" s="3" t="s">
        <v>85</v>
      </c>
      <c r="G5" s="3" t="s">
        <v>436</v>
      </c>
      <c r="H5" s="3" t="s">
        <v>95</v>
      </c>
      <c r="I5" s="3" t="s">
        <v>665</v>
      </c>
      <c r="J5" s="3" t="s">
        <v>184</v>
      </c>
      <c r="K5" s="3" t="s">
        <v>47</v>
      </c>
    </row>
    <row r="6" spans="1:11" x14ac:dyDescent="0.3">
      <c r="A6" s="3" t="s">
        <v>170</v>
      </c>
      <c r="B6" s="3" t="s">
        <v>69</v>
      </c>
      <c r="C6" s="3" t="s">
        <v>72</v>
      </c>
      <c r="D6" s="3" t="s">
        <v>77</v>
      </c>
      <c r="E6" s="3" t="s">
        <v>129</v>
      </c>
      <c r="F6" s="3" t="s">
        <v>143</v>
      </c>
      <c r="G6" s="3" t="s">
        <v>437</v>
      </c>
      <c r="H6" s="3" t="s">
        <v>40</v>
      </c>
      <c r="I6" s="3" t="s">
        <v>666</v>
      </c>
      <c r="J6" s="3" t="s">
        <v>93</v>
      </c>
      <c r="K6" s="3" t="s">
        <v>97</v>
      </c>
    </row>
    <row r="7" spans="1:11" x14ac:dyDescent="0.3">
      <c r="A7" s="3" t="s">
        <v>164</v>
      </c>
      <c r="B7" s="3" t="s">
        <v>68</v>
      </c>
      <c r="C7" s="3" t="s">
        <v>43</v>
      </c>
      <c r="D7" s="3" t="s">
        <v>78</v>
      </c>
      <c r="E7" s="3" t="s">
        <v>130</v>
      </c>
      <c r="F7" s="3" t="s">
        <v>113</v>
      </c>
      <c r="G7" s="3" t="s">
        <v>438</v>
      </c>
      <c r="H7" s="3" t="s">
        <v>103</v>
      </c>
      <c r="I7" s="3" t="s">
        <v>96</v>
      </c>
      <c r="J7" t="s">
        <v>199</v>
      </c>
      <c r="K7" s="3" t="s">
        <v>98</v>
      </c>
    </row>
    <row r="8" spans="1:11" x14ac:dyDescent="0.3">
      <c r="A8" s="3" t="s">
        <v>172</v>
      </c>
      <c r="B8" s="3" t="s">
        <v>70</v>
      </c>
      <c r="C8" s="3" t="s">
        <v>100</v>
      </c>
      <c r="D8" s="3" t="s">
        <v>79</v>
      </c>
      <c r="E8" s="3" t="s">
        <v>137</v>
      </c>
      <c r="F8" s="3" t="s">
        <v>112</v>
      </c>
      <c r="G8" s="3" t="s">
        <v>439</v>
      </c>
      <c r="H8" s="3" t="s">
        <v>102</v>
      </c>
      <c r="I8" t="s">
        <v>194</v>
      </c>
      <c r="J8" s="3" t="s">
        <v>364</v>
      </c>
      <c r="K8" s="3" t="s">
        <v>99</v>
      </c>
    </row>
    <row r="9" spans="1:11" x14ac:dyDescent="0.3">
      <c r="A9" s="3" t="s">
        <v>165</v>
      </c>
      <c r="B9" s="3" t="s">
        <v>71</v>
      </c>
      <c r="C9" s="3" t="s">
        <v>73</v>
      </c>
      <c r="D9" s="3" t="s">
        <v>80</v>
      </c>
      <c r="E9" s="3" t="s">
        <v>178</v>
      </c>
      <c r="F9" s="3" t="s">
        <v>111</v>
      </c>
      <c r="G9" s="3" t="s">
        <v>440</v>
      </c>
      <c r="J9" s="3" t="s">
        <v>391</v>
      </c>
      <c r="K9" s="3" t="s">
        <v>104</v>
      </c>
    </row>
    <row r="10" spans="1:11" x14ac:dyDescent="0.3">
      <c r="A10" s="3" t="s">
        <v>171</v>
      </c>
      <c r="B10" s="3" t="s">
        <v>360</v>
      </c>
      <c r="C10" s="3" t="s">
        <v>174</v>
      </c>
      <c r="D10" s="3" t="s">
        <v>81</v>
      </c>
      <c r="E10" s="3" t="s">
        <v>136</v>
      </c>
      <c r="F10" s="3" t="s">
        <v>110</v>
      </c>
      <c r="G10" s="3" t="s">
        <v>441</v>
      </c>
      <c r="J10" s="3" t="s">
        <v>392</v>
      </c>
      <c r="K10" s="3" t="s">
        <v>105</v>
      </c>
    </row>
    <row r="11" spans="1:11" x14ac:dyDescent="0.3">
      <c r="A11" s="3" t="s">
        <v>166</v>
      </c>
      <c r="B11" s="3" t="s">
        <v>361</v>
      </c>
      <c r="C11" s="3" t="s">
        <v>75</v>
      </c>
      <c r="D11" s="3" t="s">
        <v>82</v>
      </c>
      <c r="E11" s="3" t="s">
        <v>127</v>
      </c>
      <c r="F11" s="3" t="s">
        <v>109</v>
      </c>
      <c r="G11" s="3" t="s">
        <v>442</v>
      </c>
      <c r="J11" s="3" t="s">
        <v>395</v>
      </c>
    </row>
    <row r="12" spans="1:11" x14ac:dyDescent="0.3">
      <c r="A12" s="3" t="s">
        <v>173</v>
      </c>
      <c r="C12" s="3" t="s">
        <v>76</v>
      </c>
      <c r="D12" s="3" t="s">
        <v>83</v>
      </c>
      <c r="E12" s="3" t="s">
        <v>124</v>
      </c>
      <c r="F12" s="3" t="s">
        <v>108</v>
      </c>
      <c r="G12" s="3" t="s">
        <v>443</v>
      </c>
      <c r="J12" s="3" t="s">
        <v>394</v>
      </c>
    </row>
    <row r="13" spans="1:11" x14ac:dyDescent="0.3">
      <c r="A13" s="3" t="s">
        <v>167</v>
      </c>
      <c r="C13" s="3" t="s">
        <v>74</v>
      </c>
      <c r="E13" s="3" t="s">
        <v>131</v>
      </c>
      <c r="F13" s="3" t="s">
        <v>86</v>
      </c>
      <c r="G13" s="3" t="s">
        <v>444</v>
      </c>
    </row>
    <row r="14" spans="1:11" x14ac:dyDescent="0.3">
      <c r="A14" s="3" t="s">
        <v>168</v>
      </c>
      <c r="C14" s="3" t="s">
        <v>151</v>
      </c>
      <c r="E14" s="3" t="s">
        <v>132</v>
      </c>
      <c r="F14" s="3" t="s">
        <v>106</v>
      </c>
      <c r="G14" s="3" t="s">
        <v>445</v>
      </c>
    </row>
    <row r="15" spans="1:11" x14ac:dyDescent="0.3">
      <c r="A15" s="3" t="s">
        <v>185</v>
      </c>
      <c r="C15" s="3" t="s">
        <v>175</v>
      </c>
      <c r="E15" s="3" t="s">
        <v>133</v>
      </c>
      <c r="F15" s="3" t="s">
        <v>107</v>
      </c>
      <c r="G15" s="3" t="s">
        <v>446</v>
      </c>
    </row>
    <row r="16" spans="1:11" x14ac:dyDescent="0.3">
      <c r="A16" s="3" t="s">
        <v>187</v>
      </c>
      <c r="C16" s="3" t="s">
        <v>154</v>
      </c>
      <c r="E16" s="3" t="s">
        <v>134</v>
      </c>
      <c r="F16" s="3" t="s">
        <v>87</v>
      </c>
      <c r="G16" s="3" t="s">
        <v>447</v>
      </c>
    </row>
    <row r="17" spans="1:7" x14ac:dyDescent="0.3">
      <c r="A17" s="3" t="s">
        <v>186</v>
      </c>
      <c r="C17" s="3" t="s">
        <v>176</v>
      </c>
      <c r="E17" s="3" t="s">
        <v>135</v>
      </c>
      <c r="F17" s="3" t="s">
        <v>88</v>
      </c>
      <c r="G17" s="3" t="s">
        <v>448</v>
      </c>
    </row>
    <row r="18" spans="1:7" x14ac:dyDescent="0.3">
      <c r="A18" s="3" t="s">
        <v>188</v>
      </c>
      <c r="C18" s="3" t="s">
        <v>177</v>
      </c>
      <c r="E18" s="3" t="s">
        <v>179</v>
      </c>
      <c r="F18" s="3" t="s">
        <v>89</v>
      </c>
      <c r="G18" s="3" t="s">
        <v>449</v>
      </c>
    </row>
    <row r="19" spans="1:7" x14ac:dyDescent="0.3">
      <c r="A19" s="3" t="s">
        <v>358</v>
      </c>
      <c r="C19" s="3" t="s">
        <v>197</v>
      </c>
      <c r="E19" s="3" t="s">
        <v>180</v>
      </c>
      <c r="F19" s="3" t="s">
        <v>90</v>
      </c>
      <c r="G19" s="3" t="s">
        <v>450</v>
      </c>
    </row>
    <row r="20" spans="1:7" x14ac:dyDescent="0.3">
      <c r="A20" s="3" t="s">
        <v>359</v>
      </c>
      <c r="C20" s="3" t="s">
        <v>198</v>
      </c>
      <c r="E20" s="3" t="s">
        <v>153</v>
      </c>
      <c r="F20" s="3" t="s">
        <v>106</v>
      </c>
      <c r="G20" s="3" t="s">
        <v>451</v>
      </c>
    </row>
    <row r="21" spans="1:7" x14ac:dyDescent="0.3">
      <c r="A21" s="3" t="s">
        <v>365</v>
      </c>
      <c r="C21" s="3" t="s">
        <v>40</v>
      </c>
      <c r="E21" s="3" t="s">
        <v>138</v>
      </c>
      <c r="F21" s="3" t="s">
        <v>107</v>
      </c>
      <c r="G21" s="3" t="s">
        <v>452</v>
      </c>
    </row>
    <row r="22" spans="1:7" x14ac:dyDescent="0.3">
      <c r="A22" s="3" t="s">
        <v>366</v>
      </c>
      <c r="C22" s="3" t="s">
        <v>103</v>
      </c>
      <c r="E22" s="3" t="s">
        <v>139</v>
      </c>
      <c r="F22" s="3" t="s">
        <v>114</v>
      </c>
      <c r="G22" s="3" t="s">
        <v>453</v>
      </c>
    </row>
    <row r="23" spans="1:7" x14ac:dyDescent="0.3">
      <c r="A23" s="3" t="s">
        <v>604</v>
      </c>
      <c r="C23" s="3" t="s">
        <v>633</v>
      </c>
      <c r="E23" s="3" t="s">
        <v>140</v>
      </c>
      <c r="F23" s="3" t="s">
        <v>115</v>
      </c>
      <c r="G23" s="3" t="s">
        <v>454</v>
      </c>
    </row>
    <row r="24" spans="1:7" x14ac:dyDescent="0.3">
      <c r="E24" s="3" t="s">
        <v>141</v>
      </c>
      <c r="F24" s="3" t="s">
        <v>116</v>
      </c>
      <c r="G24" s="3" t="s">
        <v>455</v>
      </c>
    </row>
    <row r="25" spans="1:7" x14ac:dyDescent="0.3">
      <c r="E25" s="3" t="s">
        <v>142</v>
      </c>
      <c r="F25" s="3" t="s">
        <v>117</v>
      </c>
      <c r="G25" s="3" t="s">
        <v>456</v>
      </c>
    </row>
    <row r="26" spans="1:7" x14ac:dyDescent="0.3">
      <c r="E26" s="3" t="s">
        <v>181</v>
      </c>
      <c r="F26" s="3" t="s">
        <v>118</v>
      </c>
      <c r="G26" s="3" t="s">
        <v>196</v>
      </c>
    </row>
    <row r="27" spans="1:7" x14ac:dyDescent="0.3">
      <c r="E27" s="3" t="s">
        <v>182</v>
      </c>
      <c r="F27" s="3" t="s">
        <v>119</v>
      </c>
      <c r="G27" s="3" t="s">
        <v>457</v>
      </c>
    </row>
    <row r="28" spans="1:7" x14ac:dyDescent="0.3">
      <c r="E28" s="3" t="s">
        <v>155</v>
      </c>
      <c r="F28" s="3" t="s">
        <v>49</v>
      </c>
      <c r="G28" s="3" t="s">
        <v>192</v>
      </c>
    </row>
    <row r="29" spans="1:7" x14ac:dyDescent="0.3">
      <c r="E29" s="3" t="s">
        <v>125</v>
      </c>
      <c r="F29" s="3" t="s">
        <v>145</v>
      </c>
      <c r="G29" s="3" t="s">
        <v>623</v>
      </c>
    </row>
    <row r="30" spans="1:7" x14ac:dyDescent="0.3">
      <c r="E30" s="3" t="s">
        <v>190</v>
      </c>
      <c r="F30" s="3" t="s">
        <v>146</v>
      </c>
      <c r="G30" s="3" t="s">
        <v>615</v>
      </c>
    </row>
    <row r="31" spans="1:7" x14ac:dyDescent="0.3">
      <c r="E31" s="3" t="s">
        <v>195</v>
      </c>
      <c r="F31" s="3" t="s">
        <v>147</v>
      </c>
      <c r="G31" s="3" t="s">
        <v>642</v>
      </c>
    </row>
    <row r="32" spans="1:7" x14ac:dyDescent="0.3">
      <c r="E32" s="3" t="s">
        <v>362</v>
      </c>
      <c r="F32" s="3" t="s">
        <v>148</v>
      </c>
    </row>
    <row r="33" spans="5:6" x14ac:dyDescent="0.3">
      <c r="E33" s="3" t="s">
        <v>363</v>
      </c>
      <c r="F33" s="3" t="s">
        <v>149</v>
      </c>
    </row>
    <row r="34" spans="5:6" x14ac:dyDescent="0.3">
      <c r="F34" s="3" t="s">
        <v>150</v>
      </c>
    </row>
    <row r="35" spans="5:6" x14ac:dyDescent="0.3">
      <c r="F35" s="3" t="s">
        <v>152</v>
      </c>
    </row>
    <row r="36" spans="5:6" x14ac:dyDescent="0.3">
      <c r="F36" s="3" t="s">
        <v>191</v>
      </c>
    </row>
    <row r="37" spans="5:6" x14ac:dyDescent="0.3">
      <c r="F37" s="3" t="s">
        <v>324</v>
      </c>
    </row>
    <row r="38" spans="5:6" x14ac:dyDescent="0.3">
      <c r="F38" s="3" t="s">
        <v>325</v>
      </c>
    </row>
    <row r="39" spans="5:6" x14ac:dyDescent="0.3">
      <c r="F39" s="3" t="s">
        <v>326</v>
      </c>
    </row>
    <row r="40" spans="5:6" x14ac:dyDescent="0.3">
      <c r="F40" s="3" t="s">
        <v>327</v>
      </c>
    </row>
    <row r="41" spans="5:6" x14ac:dyDescent="0.3">
      <c r="F41" s="3" t="s">
        <v>102</v>
      </c>
    </row>
    <row r="42" spans="5:6" x14ac:dyDescent="0.3">
      <c r="F42" s="3" t="s">
        <v>396</v>
      </c>
    </row>
    <row r="43" spans="5:6" x14ac:dyDescent="0.3">
      <c r="F43" s="3" t="s">
        <v>397</v>
      </c>
    </row>
    <row r="44" spans="5:6" x14ac:dyDescent="0.3">
      <c r="F44" s="3" t="s">
        <v>600</v>
      </c>
    </row>
    <row r="101" spans="1:11" x14ac:dyDescent="0.3">
      <c r="A101" s="3" t="s">
        <v>66</v>
      </c>
      <c r="B101" s="3" t="s">
        <v>66</v>
      </c>
      <c r="C101" s="3" t="s">
        <v>66</v>
      </c>
      <c r="D101" s="3" t="s">
        <v>66</v>
      </c>
      <c r="E101" s="3" t="s">
        <v>66</v>
      </c>
      <c r="F101" s="3" t="s">
        <v>66</v>
      </c>
      <c r="G101" s="3" t="s">
        <v>66</v>
      </c>
      <c r="H101" s="3" t="s">
        <v>67</v>
      </c>
      <c r="I101" s="3" t="s">
        <v>67</v>
      </c>
      <c r="J101" s="3" t="s">
        <v>91</v>
      </c>
      <c r="K101" s="3" t="s">
        <v>67</v>
      </c>
    </row>
    <row r="102" spans="1:11" x14ac:dyDescent="0.3">
      <c r="A102" s="3" t="s">
        <v>162</v>
      </c>
      <c r="B102" s="3" t="s">
        <v>122</v>
      </c>
      <c r="C102" s="3" t="s">
        <v>65</v>
      </c>
      <c r="D102" s="3" t="s">
        <v>121</v>
      </c>
      <c r="E102" s="3" t="s">
        <v>67</v>
      </c>
      <c r="F102" s="3" t="s">
        <v>67</v>
      </c>
      <c r="G102" s="3" t="s">
        <v>434</v>
      </c>
      <c r="H102" s="3" t="s">
        <v>144</v>
      </c>
      <c r="I102" s="3" t="s">
        <v>144</v>
      </c>
      <c r="J102" s="3" t="s">
        <v>92</v>
      </c>
      <c r="K102" s="3" t="s">
        <v>48</v>
      </c>
    </row>
    <row r="103" spans="1:11" x14ac:dyDescent="0.3">
      <c r="A103" s="3" t="s">
        <v>169</v>
      </c>
      <c r="B103" s="3" t="s">
        <v>38</v>
      </c>
      <c r="C103" s="3" t="s">
        <v>101</v>
      </c>
      <c r="D103" s="3" t="s">
        <v>120</v>
      </c>
      <c r="E103" s="3" t="s">
        <v>128</v>
      </c>
      <c r="F103" s="3" t="s">
        <v>84</v>
      </c>
      <c r="G103" s="3" t="s">
        <v>435</v>
      </c>
      <c r="H103" s="3" t="s">
        <v>94</v>
      </c>
      <c r="I103" s="3" t="s">
        <v>96</v>
      </c>
      <c r="J103" s="3" t="s">
        <v>393</v>
      </c>
      <c r="K103" s="3" t="s">
        <v>49</v>
      </c>
    </row>
    <row r="104" spans="1:11" x14ac:dyDescent="0.3">
      <c r="A104" s="3" t="s">
        <v>163</v>
      </c>
      <c r="B104" s="3" t="s">
        <v>39</v>
      </c>
      <c r="C104" s="3" t="s">
        <v>189</v>
      </c>
      <c r="D104" s="3" t="s">
        <v>44</v>
      </c>
      <c r="E104" s="3" t="s">
        <v>126</v>
      </c>
      <c r="F104" s="3" t="s">
        <v>85</v>
      </c>
      <c r="G104" s="3" t="s">
        <v>436</v>
      </c>
      <c r="H104" s="3" t="s">
        <v>95</v>
      </c>
      <c r="I104" t="s">
        <v>194</v>
      </c>
      <c r="J104" s="3" t="s">
        <v>184</v>
      </c>
      <c r="K104" s="3" t="s">
        <v>47</v>
      </c>
    </row>
    <row r="105" spans="1:11" x14ac:dyDescent="0.3">
      <c r="A105" s="3" t="s">
        <v>170</v>
      </c>
      <c r="B105" s="3" t="s">
        <v>69</v>
      </c>
      <c r="C105" s="3" t="s">
        <v>72</v>
      </c>
      <c r="D105" s="3" t="s">
        <v>77</v>
      </c>
      <c r="E105" s="3" t="s">
        <v>129</v>
      </c>
      <c r="F105" s="3" t="s">
        <v>143</v>
      </c>
      <c r="G105" s="3" t="s">
        <v>437</v>
      </c>
      <c r="H105" s="3" t="s">
        <v>40</v>
      </c>
      <c r="I105" s="3" t="s">
        <v>501</v>
      </c>
      <c r="J105" s="3" t="s">
        <v>93</v>
      </c>
      <c r="K105" s="3" t="s">
        <v>97</v>
      </c>
    </row>
    <row r="106" spans="1:11" x14ac:dyDescent="0.3">
      <c r="A106" s="3" t="s">
        <v>164</v>
      </c>
      <c r="B106" s="3" t="s">
        <v>68</v>
      </c>
      <c r="C106" s="3" t="s">
        <v>43</v>
      </c>
      <c r="D106" s="3" t="s">
        <v>78</v>
      </c>
      <c r="E106" s="3" t="s">
        <v>130</v>
      </c>
      <c r="F106" s="3" t="s">
        <v>113</v>
      </c>
      <c r="G106" s="3" t="s">
        <v>438</v>
      </c>
      <c r="H106" s="3" t="s">
        <v>103</v>
      </c>
      <c r="I106" s="3" t="s">
        <v>511</v>
      </c>
      <c r="J106" t="s">
        <v>199</v>
      </c>
      <c r="K106" s="3" t="s">
        <v>98</v>
      </c>
    </row>
    <row r="107" spans="1:11" x14ac:dyDescent="0.3">
      <c r="A107" s="3" t="s">
        <v>172</v>
      </c>
      <c r="B107" s="3" t="s">
        <v>70</v>
      </c>
      <c r="C107" s="3" t="s">
        <v>100</v>
      </c>
      <c r="D107" s="3" t="s">
        <v>79</v>
      </c>
      <c r="E107" s="3" t="s">
        <v>137</v>
      </c>
      <c r="F107" s="3" t="s">
        <v>112</v>
      </c>
      <c r="G107" s="3" t="s">
        <v>439</v>
      </c>
      <c r="H107" s="3" t="s">
        <v>102</v>
      </c>
      <c r="I107" s="3" t="s">
        <v>502</v>
      </c>
      <c r="J107" s="3" t="s">
        <v>364</v>
      </c>
      <c r="K107" s="3" t="s">
        <v>99</v>
      </c>
    </row>
    <row r="108" spans="1:11" x14ac:dyDescent="0.3">
      <c r="A108" s="3" t="s">
        <v>165</v>
      </c>
      <c r="B108" s="3" t="s">
        <v>71</v>
      </c>
      <c r="C108" s="3" t="s">
        <v>73</v>
      </c>
      <c r="D108" s="3" t="s">
        <v>80</v>
      </c>
      <c r="E108" s="3" t="s">
        <v>178</v>
      </c>
      <c r="F108" s="3" t="s">
        <v>111</v>
      </c>
      <c r="G108" s="3" t="s">
        <v>440</v>
      </c>
      <c r="I108" s="3" t="s">
        <v>500</v>
      </c>
      <c r="J108" s="3" t="s">
        <v>391</v>
      </c>
      <c r="K108" s="3" t="s">
        <v>104</v>
      </c>
    </row>
    <row r="109" spans="1:11" x14ac:dyDescent="0.3">
      <c r="A109" s="3" t="s">
        <v>171</v>
      </c>
      <c r="B109" s="3" t="s">
        <v>360</v>
      </c>
      <c r="C109" s="3" t="s">
        <v>174</v>
      </c>
      <c r="D109" s="3" t="s">
        <v>81</v>
      </c>
      <c r="E109" s="3" t="s">
        <v>136</v>
      </c>
      <c r="F109" s="3" t="s">
        <v>110</v>
      </c>
      <c r="G109" s="3" t="s">
        <v>441</v>
      </c>
      <c r="I109" s="3" t="s">
        <v>500</v>
      </c>
      <c r="J109" s="3" t="s">
        <v>392</v>
      </c>
      <c r="K109" s="3" t="s">
        <v>105</v>
      </c>
    </row>
    <row r="110" spans="1:11" x14ac:dyDescent="0.3">
      <c r="A110" s="3" t="s">
        <v>166</v>
      </c>
      <c r="B110" s="3" t="s">
        <v>361</v>
      </c>
      <c r="C110" s="3" t="s">
        <v>75</v>
      </c>
      <c r="D110" s="3" t="s">
        <v>82</v>
      </c>
      <c r="E110" s="3" t="s">
        <v>127</v>
      </c>
      <c r="F110" s="3" t="s">
        <v>109</v>
      </c>
      <c r="G110" s="3" t="s">
        <v>442</v>
      </c>
      <c r="I110" s="3" t="s">
        <v>503</v>
      </c>
      <c r="J110" s="3" t="s">
        <v>395</v>
      </c>
    </row>
    <row r="111" spans="1:11" x14ac:dyDescent="0.3">
      <c r="A111" s="3" t="s">
        <v>173</v>
      </c>
      <c r="C111" s="3" t="s">
        <v>76</v>
      </c>
      <c r="D111" s="3" t="s">
        <v>83</v>
      </c>
      <c r="E111" s="3" t="s">
        <v>124</v>
      </c>
      <c r="F111" s="3" t="s">
        <v>108</v>
      </c>
      <c r="G111" s="3" t="s">
        <v>443</v>
      </c>
      <c r="I111" s="3" t="s">
        <v>504</v>
      </c>
      <c r="J111" s="3" t="s">
        <v>394</v>
      </c>
    </row>
    <row r="112" spans="1:11" x14ac:dyDescent="0.3">
      <c r="A112" s="3" t="s">
        <v>167</v>
      </c>
      <c r="C112" s="3" t="s">
        <v>74</v>
      </c>
      <c r="E112" s="3" t="s">
        <v>131</v>
      </c>
      <c r="F112" s="3" t="s">
        <v>86</v>
      </c>
      <c r="G112" s="3" t="s">
        <v>444</v>
      </c>
      <c r="I112" s="3" t="s">
        <v>510</v>
      </c>
    </row>
    <row r="113" spans="1:9" x14ac:dyDescent="0.3">
      <c r="A113" s="3" t="s">
        <v>168</v>
      </c>
      <c r="C113" s="3" t="s">
        <v>151</v>
      </c>
      <c r="E113" s="3" t="s">
        <v>132</v>
      </c>
      <c r="F113" s="3" t="s">
        <v>106</v>
      </c>
      <c r="G113" s="3" t="s">
        <v>445</v>
      </c>
      <c r="I113" s="3" t="s">
        <v>505</v>
      </c>
    </row>
    <row r="114" spans="1:9" x14ac:dyDescent="0.3">
      <c r="A114" s="3" t="s">
        <v>185</v>
      </c>
      <c r="C114" s="3" t="s">
        <v>175</v>
      </c>
      <c r="E114" s="3" t="s">
        <v>133</v>
      </c>
      <c r="F114" s="3" t="s">
        <v>107</v>
      </c>
      <c r="G114" s="3" t="s">
        <v>446</v>
      </c>
      <c r="I114" s="3" t="s">
        <v>506</v>
      </c>
    </row>
    <row r="115" spans="1:9" x14ac:dyDescent="0.3">
      <c r="A115" s="3" t="s">
        <v>187</v>
      </c>
      <c r="C115" s="3" t="s">
        <v>154</v>
      </c>
      <c r="E115" s="3" t="s">
        <v>134</v>
      </c>
      <c r="F115" s="3" t="s">
        <v>87</v>
      </c>
      <c r="G115" s="3" t="s">
        <v>447</v>
      </c>
      <c r="I115" s="3" t="s">
        <v>506</v>
      </c>
    </row>
    <row r="116" spans="1:9" x14ac:dyDescent="0.3">
      <c r="A116" s="3" t="s">
        <v>186</v>
      </c>
      <c r="C116" s="3" t="s">
        <v>176</v>
      </c>
      <c r="E116" s="3" t="s">
        <v>135</v>
      </c>
      <c r="F116" s="3" t="s">
        <v>88</v>
      </c>
      <c r="G116" s="3" t="s">
        <v>448</v>
      </c>
      <c r="I116" s="3" t="s">
        <v>507</v>
      </c>
    </row>
    <row r="117" spans="1:9" x14ac:dyDescent="0.3">
      <c r="A117" s="3" t="s">
        <v>188</v>
      </c>
      <c r="C117" s="3" t="s">
        <v>177</v>
      </c>
      <c r="E117" s="3" t="s">
        <v>179</v>
      </c>
      <c r="F117" s="3" t="s">
        <v>89</v>
      </c>
      <c r="G117" s="3" t="s">
        <v>449</v>
      </c>
      <c r="I117" s="3" t="s">
        <v>509</v>
      </c>
    </row>
    <row r="118" spans="1:9" x14ac:dyDescent="0.3">
      <c r="A118" s="3" t="s">
        <v>358</v>
      </c>
      <c r="C118" s="3" t="s">
        <v>197</v>
      </c>
      <c r="E118" s="3" t="s">
        <v>180</v>
      </c>
      <c r="F118" s="3" t="s">
        <v>90</v>
      </c>
      <c r="G118" s="3" t="s">
        <v>450</v>
      </c>
      <c r="I118" s="3" t="s">
        <v>508</v>
      </c>
    </row>
    <row r="119" spans="1:9" x14ac:dyDescent="0.3">
      <c r="A119" s="3" t="s">
        <v>359</v>
      </c>
      <c r="C119" s="3" t="s">
        <v>198</v>
      </c>
      <c r="E119" s="3" t="s">
        <v>153</v>
      </c>
      <c r="F119" s="3" t="s">
        <v>106</v>
      </c>
      <c r="G119" s="3" t="s">
        <v>451</v>
      </c>
    </row>
    <row r="120" spans="1:9" x14ac:dyDescent="0.3">
      <c r="A120" s="3" t="s">
        <v>365</v>
      </c>
      <c r="C120" s="3" t="s">
        <v>40</v>
      </c>
      <c r="E120" s="3" t="s">
        <v>138</v>
      </c>
      <c r="F120" s="3" t="s">
        <v>107</v>
      </c>
      <c r="G120" s="3" t="s">
        <v>452</v>
      </c>
    </row>
    <row r="121" spans="1:9" x14ac:dyDescent="0.3">
      <c r="A121" s="3" t="s">
        <v>366</v>
      </c>
      <c r="C121" s="3" t="s">
        <v>103</v>
      </c>
      <c r="E121" s="3" t="s">
        <v>139</v>
      </c>
      <c r="F121" s="3" t="s">
        <v>114</v>
      </c>
      <c r="G121" s="3" t="s">
        <v>453</v>
      </c>
    </row>
    <row r="122" spans="1:9" x14ac:dyDescent="0.3">
      <c r="A122" s="3" t="s">
        <v>483</v>
      </c>
      <c r="C122" s="3" t="s">
        <v>478</v>
      </c>
      <c r="E122" s="3" t="s">
        <v>140</v>
      </c>
      <c r="F122" s="3" t="s">
        <v>115</v>
      </c>
      <c r="G122" s="3" t="s">
        <v>454</v>
      </c>
    </row>
    <row r="123" spans="1:9" x14ac:dyDescent="0.3">
      <c r="A123" s="3" t="s">
        <v>484</v>
      </c>
      <c r="C123" s="3" t="s">
        <v>482</v>
      </c>
      <c r="E123" s="3" t="s">
        <v>141</v>
      </c>
      <c r="F123" s="3" t="s">
        <v>116</v>
      </c>
      <c r="G123" s="3" t="s">
        <v>455</v>
      </c>
    </row>
    <row r="124" spans="1:9" x14ac:dyDescent="0.3">
      <c r="C124" s="3" t="s">
        <v>483</v>
      </c>
      <c r="E124" s="3" t="s">
        <v>142</v>
      </c>
      <c r="F124" s="3" t="s">
        <v>117</v>
      </c>
      <c r="G124" s="3" t="s">
        <v>456</v>
      </c>
    </row>
    <row r="125" spans="1:9" x14ac:dyDescent="0.3">
      <c r="C125" s="3" t="s">
        <v>485</v>
      </c>
      <c r="E125" s="3" t="s">
        <v>181</v>
      </c>
      <c r="F125" s="3" t="s">
        <v>118</v>
      </c>
      <c r="G125" s="3" t="s">
        <v>196</v>
      </c>
    </row>
    <row r="126" spans="1:9" x14ac:dyDescent="0.3">
      <c r="C126" s="3" t="s">
        <v>486</v>
      </c>
      <c r="E126" s="3" t="s">
        <v>182</v>
      </c>
      <c r="F126" s="3" t="s">
        <v>119</v>
      </c>
      <c r="G126" s="3" t="s">
        <v>457</v>
      </c>
    </row>
    <row r="127" spans="1:9" x14ac:dyDescent="0.3">
      <c r="C127" s="3" t="s">
        <v>487</v>
      </c>
      <c r="E127" s="3" t="s">
        <v>155</v>
      </c>
      <c r="F127" s="3" t="s">
        <v>49</v>
      </c>
      <c r="G127" s="3" t="s">
        <v>192</v>
      </c>
    </row>
    <row r="128" spans="1:9" x14ac:dyDescent="0.3">
      <c r="C128" s="3" t="s">
        <v>498</v>
      </c>
      <c r="E128" s="3" t="s">
        <v>125</v>
      </c>
      <c r="F128" s="3" t="s">
        <v>145</v>
      </c>
      <c r="G128" s="3" t="s">
        <v>739</v>
      </c>
    </row>
    <row r="129" spans="3:6" x14ac:dyDescent="0.3">
      <c r="C129" s="3" t="s">
        <v>363</v>
      </c>
      <c r="E129" s="3" t="s">
        <v>190</v>
      </c>
      <c r="F129" s="3" t="s">
        <v>146</v>
      </c>
    </row>
    <row r="130" spans="3:6" x14ac:dyDescent="0.3">
      <c r="C130" s="3" t="s">
        <v>499</v>
      </c>
      <c r="E130" s="3" t="s">
        <v>195</v>
      </c>
      <c r="F130" s="3" t="s">
        <v>147</v>
      </c>
    </row>
    <row r="131" spans="3:6" x14ac:dyDescent="0.3">
      <c r="C131" s="3" t="s">
        <v>740</v>
      </c>
      <c r="E131" s="3" t="s">
        <v>362</v>
      </c>
      <c r="F131" s="3" t="s">
        <v>148</v>
      </c>
    </row>
    <row r="132" spans="3:6" x14ac:dyDescent="0.3">
      <c r="C132" s="3" t="s">
        <v>746</v>
      </c>
      <c r="E132" s="3" t="s">
        <v>498</v>
      </c>
      <c r="F132" s="3" t="s">
        <v>149</v>
      </c>
    </row>
    <row r="133" spans="3:6" x14ac:dyDescent="0.3">
      <c r="E133" s="3" t="s">
        <v>363</v>
      </c>
      <c r="F133" s="3" t="s">
        <v>150</v>
      </c>
    </row>
    <row r="134" spans="3:6" x14ac:dyDescent="0.3">
      <c r="E134" s="3" t="s">
        <v>499</v>
      </c>
      <c r="F134" s="3" t="s">
        <v>152</v>
      </c>
    </row>
    <row r="135" spans="3:6" x14ac:dyDescent="0.3">
      <c r="E135" s="3" t="s">
        <v>738</v>
      </c>
      <c r="F135" s="3" t="s">
        <v>191</v>
      </c>
    </row>
    <row r="136" spans="3:6" x14ac:dyDescent="0.3">
      <c r="E136" s="3" t="s">
        <v>740</v>
      </c>
      <c r="F136" s="3" t="s">
        <v>324</v>
      </c>
    </row>
    <row r="137" spans="3:6" x14ac:dyDescent="0.3">
      <c r="F137" s="3" t="s">
        <v>325</v>
      </c>
    </row>
    <row r="138" spans="3:6" x14ac:dyDescent="0.3">
      <c r="F138" s="3" t="s">
        <v>326</v>
      </c>
    </row>
    <row r="139" spans="3:6" x14ac:dyDescent="0.3">
      <c r="F139" s="3" t="s">
        <v>327</v>
      </c>
    </row>
    <row r="140" spans="3:6" x14ac:dyDescent="0.3">
      <c r="F140" s="3" t="s">
        <v>102</v>
      </c>
    </row>
    <row r="141" spans="3:6" x14ac:dyDescent="0.3">
      <c r="F141" s="3" t="s">
        <v>396</v>
      </c>
    </row>
    <row r="142" spans="3:6" x14ac:dyDescent="0.3">
      <c r="F142" s="3" t="s">
        <v>397</v>
      </c>
    </row>
  </sheetData>
  <sheetProtection autoFilter="0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11</vt:i4>
      </vt:variant>
    </vt:vector>
  </HeadingPairs>
  <TitlesOfParts>
    <vt:vector size="23" baseType="lpstr">
      <vt:lpstr>Türlisten 26.01.2026</vt:lpstr>
      <vt:lpstr>Türlisten 27.11.2025</vt:lpstr>
      <vt:lpstr>Türlisten 19.12.2023</vt:lpstr>
      <vt:lpstr>Türlisten 11.07.2023</vt:lpstr>
      <vt:lpstr>Türlisten 07.05.2021</vt:lpstr>
      <vt:lpstr>Kalkulation 07.05.2021</vt:lpstr>
      <vt:lpstr>Türenlisten 2018</vt:lpstr>
      <vt:lpstr>Kalkulation 11.07.2023</vt:lpstr>
      <vt:lpstr>Kalkulation 27.11.2025</vt:lpstr>
      <vt:lpstr>Kalkulation 26.01.2026</vt:lpstr>
      <vt:lpstr>Fehlercode</vt:lpstr>
      <vt:lpstr>ComBoxData</vt:lpstr>
      <vt:lpstr>'Türenlisten 2018'!Druckbereich</vt:lpstr>
      <vt:lpstr>'Türlisten 07.05.2021'!Druckbereich</vt:lpstr>
      <vt:lpstr>'Türlisten 11.07.2023'!Druckbereich</vt:lpstr>
      <vt:lpstr>'Türlisten 19.12.2023'!Druckbereich</vt:lpstr>
      <vt:lpstr>'Türlisten 26.01.2026'!Druckbereich</vt:lpstr>
      <vt:lpstr>'Türlisten 27.11.2025'!Druckbereich</vt:lpstr>
      <vt:lpstr>'Türenlisten 2018'!Drucktitel</vt:lpstr>
      <vt:lpstr>'Türlisten 11.07.2023'!Drucktitel</vt:lpstr>
      <vt:lpstr>'Türlisten 19.12.2023'!Drucktitel</vt:lpstr>
      <vt:lpstr>'Türlisten 26.01.2026'!Drucktitel</vt:lpstr>
      <vt:lpstr>'Türlisten 27.11.2025'!Drucktitel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Cabarcas</dc:creator>
  <cp:lastModifiedBy>Johan Cabarcas</cp:lastModifiedBy>
  <cp:lastPrinted>2026-06-16T10:26:47Z</cp:lastPrinted>
  <dcterms:created xsi:type="dcterms:W3CDTF">2018-01-08T11:34:50Z</dcterms:created>
  <dcterms:modified xsi:type="dcterms:W3CDTF">2026-08-18T10:37:10Z</dcterms:modified>
</cp:coreProperties>
</file>