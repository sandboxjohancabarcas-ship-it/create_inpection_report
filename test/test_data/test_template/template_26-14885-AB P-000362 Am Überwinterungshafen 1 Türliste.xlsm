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hansgottsberg-my.sharepoint.com/personal/cabarcas_gottsberg_de/Documents/Dokumente/SharedFolder/Listen für kommende Wartungen und Mängelbeseitigungen/"/>
    </mc:Choice>
  </mc:AlternateContent>
  <xr:revisionPtr revIDLastSave="1" documentId="13_ncr:1_{666F9175-B263-4AC9-8985-B1D44F952C43}" xr6:coauthVersionLast="47" xr6:coauthVersionMax="47" xr10:uidLastSave="{914A2C47-DEC3-42C9-B01B-2D428BB9295E}"/>
  <bookViews>
    <workbookView xWindow="-110" yWindow="-110" windowWidth="25820" windowHeight="15500" xr2:uid="{00000000-000D-0000-FFFF-FFFF00000000}"/>
  </bookViews>
  <sheets>
    <sheet name="Türlisten 29.09.2026" sheetId="55" r:id="rId1"/>
    <sheet name="Türlisten 15.04.2026" sheetId="53" r:id="rId2"/>
    <sheet name="Kalkulation 15.04.2026" sheetId="54" state="hidden" r:id="rId3"/>
    <sheet name="Kalkulation 29.09.2026" sheetId="56" state="hidden" r:id="rId4"/>
    <sheet name="Fehlercode" sheetId="20" state="hidden" r:id="rId5"/>
    <sheet name="ComBoxData" sheetId="29" r:id="rId6"/>
  </sheets>
  <definedNames>
    <definedName name="_xlnm._FilterDatabase" localSheetId="1" hidden="1">'Türlisten 15.04.2026'!$A$3:$AF$43</definedName>
    <definedName name="_xlnm._FilterDatabase" localSheetId="0" hidden="1">'Türlisten 29.09.2026'!$A$3:$AC$43</definedName>
    <definedName name="_xlnm.Print_Area" localSheetId="1">'Türlisten 15.04.2026'!$A$1:$AF$43</definedName>
    <definedName name="_xlnm.Print_Area" localSheetId="0">'Türlisten 29.09.2026'!$A$1:$AC$43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4" i="56" l="1"/>
  <c r="F94" i="56"/>
  <c r="G94" i="56" s="1"/>
  <c r="L93" i="56"/>
  <c r="F93" i="56"/>
  <c r="G93" i="56" s="1"/>
  <c r="M93" i="56" s="1"/>
  <c r="K92" i="56"/>
  <c r="L92" i="56" s="1"/>
  <c r="M92" i="56" s="1"/>
  <c r="K91" i="56"/>
  <c r="K90" i="56"/>
  <c r="K89" i="56"/>
  <c r="L89" i="56" s="1"/>
  <c r="L88" i="56"/>
  <c r="K88" i="56"/>
  <c r="M88" i="56" s="1"/>
  <c r="N88" i="56" s="1"/>
  <c r="K87" i="56"/>
  <c r="L87" i="56" s="1"/>
  <c r="M87" i="56" s="1"/>
  <c r="N87" i="56" s="1"/>
  <c r="R86" i="56"/>
  <c r="L86" i="56"/>
  <c r="M86" i="56" s="1"/>
  <c r="K86" i="56"/>
  <c r="R85" i="56"/>
  <c r="K85" i="56"/>
  <c r="L85" i="56" s="1"/>
  <c r="M85" i="56" s="1"/>
  <c r="S85" i="56" s="1"/>
  <c r="T85" i="56" s="1"/>
  <c r="R84" i="56"/>
  <c r="S84" i="56" s="1"/>
  <c r="T84" i="56" s="1"/>
  <c r="L84" i="56"/>
  <c r="M84" i="56" s="1"/>
  <c r="K84" i="56"/>
  <c r="R83" i="56"/>
  <c r="S83" i="56" s="1"/>
  <c r="T83" i="56" s="1"/>
  <c r="K83" i="56"/>
  <c r="L83" i="56" s="1"/>
  <c r="M83" i="56" s="1"/>
  <c r="R82" i="56"/>
  <c r="S82" i="56" s="1"/>
  <c r="T82" i="56" s="1"/>
  <c r="L82" i="56"/>
  <c r="M82" i="56" s="1"/>
  <c r="K82" i="56"/>
  <c r="R81" i="56"/>
  <c r="K81" i="56"/>
  <c r="L81" i="56" s="1"/>
  <c r="M81" i="56" s="1"/>
  <c r="R80" i="56"/>
  <c r="S80" i="56" s="1"/>
  <c r="T80" i="56" s="1"/>
  <c r="L80" i="56"/>
  <c r="M80" i="56" s="1"/>
  <c r="K80" i="56"/>
  <c r="R79" i="56"/>
  <c r="S79" i="56" s="1"/>
  <c r="T79" i="56" s="1"/>
  <c r="K79" i="56"/>
  <c r="L79" i="56" s="1"/>
  <c r="M79" i="56" s="1"/>
  <c r="R78" i="56"/>
  <c r="S78" i="56" s="1"/>
  <c r="T78" i="56" s="1"/>
  <c r="L78" i="56"/>
  <c r="M78" i="56" s="1"/>
  <c r="K78" i="56"/>
  <c r="R77" i="56"/>
  <c r="K77" i="56"/>
  <c r="L77" i="56" s="1"/>
  <c r="M77" i="56" s="1"/>
  <c r="R76" i="56"/>
  <c r="L76" i="56"/>
  <c r="M76" i="56" s="1"/>
  <c r="K76" i="56"/>
  <c r="R75" i="56"/>
  <c r="K75" i="56"/>
  <c r="R74" i="56"/>
  <c r="S74" i="56" s="1"/>
  <c r="T74" i="56" s="1"/>
  <c r="L74" i="56"/>
  <c r="M74" i="56" s="1"/>
  <c r="K74" i="56"/>
  <c r="R73" i="56"/>
  <c r="K73" i="56"/>
  <c r="R72" i="56"/>
  <c r="L72" i="56"/>
  <c r="M72" i="56" s="1"/>
  <c r="K72" i="56"/>
  <c r="R71" i="56"/>
  <c r="K71" i="56"/>
  <c r="R70" i="56"/>
  <c r="L70" i="56"/>
  <c r="M70" i="56" s="1"/>
  <c r="K70" i="56"/>
  <c r="R69" i="56"/>
  <c r="K69" i="56"/>
  <c r="R68" i="56"/>
  <c r="L68" i="56"/>
  <c r="M68" i="56" s="1"/>
  <c r="K68" i="56"/>
  <c r="R67" i="56"/>
  <c r="K67" i="56"/>
  <c r="R66" i="56"/>
  <c r="L66" i="56"/>
  <c r="M66" i="56" s="1"/>
  <c r="K66" i="56"/>
  <c r="R65" i="56"/>
  <c r="K65" i="56"/>
  <c r="R64" i="56"/>
  <c r="L64" i="56"/>
  <c r="M64" i="56" s="1"/>
  <c r="K64" i="56"/>
  <c r="R63" i="56"/>
  <c r="K63" i="56"/>
  <c r="R62" i="56"/>
  <c r="L62" i="56"/>
  <c r="M62" i="56" s="1"/>
  <c r="K62" i="56"/>
  <c r="R61" i="56"/>
  <c r="K61" i="56"/>
  <c r="R60" i="56"/>
  <c r="S60" i="56" s="1"/>
  <c r="T60" i="56" s="1"/>
  <c r="L60" i="56"/>
  <c r="M60" i="56" s="1"/>
  <c r="K60" i="56"/>
  <c r="R59" i="56"/>
  <c r="K59" i="56"/>
  <c r="R58" i="56"/>
  <c r="S58" i="56" s="1"/>
  <c r="T58" i="56" s="1"/>
  <c r="L58" i="56"/>
  <c r="M58" i="56" s="1"/>
  <c r="K58" i="56"/>
  <c r="R57" i="56"/>
  <c r="K57" i="56"/>
  <c r="R56" i="56"/>
  <c r="S56" i="56" s="1"/>
  <c r="T56" i="56" s="1"/>
  <c r="L56" i="56"/>
  <c r="M56" i="56" s="1"/>
  <c r="K56" i="56"/>
  <c r="R55" i="56"/>
  <c r="K55" i="56"/>
  <c r="R54" i="56"/>
  <c r="S54" i="56" s="1"/>
  <c r="T54" i="56" s="1"/>
  <c r="L54" i="56"/>
  <c r="M54" i="56" s="1"/>
  <c r="K54" i="56"/>
  <c r="R53" i="56"/>
  <c r="K53" i="56"/>
  <c r="R52" i="56"/>
  <c r="L52" i="56"/>
  <c r="M52" i="56" s="1"/>
  <c r="K52" i="56"/>
  <c r="R51" i="56"/>
  <c r="K51" i="56"/>
  <c r="R50" i="56"/>
  <c r="S50" i="56" s="1"/>
  <c r="T50" i="56" s="1"/>
  <c r="L50" i="56"/>
  <c r="M50" i="56" s="1"/>
  <c r="K50" i="56"/>
  <c r="R49" i="56"/>
  <c r="K49" i="56"/>
  <c r="R48" i="56"/>
  <c r="L48" i="56"/>
  <c r="M48" i="56" s="1"/>
  <c r="K48" i="56"/>
  <c r="R47" i="56"/>
  <c r="K47" i="56"/>
  <c r="R46" i="56"/>
  <c r="L46" i="56"/>
  <c r="M46" i="56" s="1"/>
  <c r="K46" i="56"/>
  <c r="R45" i="56"/>
  <c r="K45" i="56"/>
  <c r="R44" i="56"/>
  <c r="L44" i="56"/>
  <c r="M44" i="56" s="1"/>
  <c r="K44" i="56"/>
  <c r="R43" i="56"/>
  <c r="K43" i="56"/>
  <c r="R42" i="56"/>
  <c r="L42" i="56"/>
  <c r="M42" i="56" s="1"/>
  <c r="K42" i="56"/>
  <c r="R41" i="56"/>
  <c r="K41" i="56"/>
  <c r="R40" i="56"/>
  <c r="L40" i="56"/>
  <c r="M40" i="56" s="1"/>
  <c r="K40" i="56"/>
  <c r="R39" i="56"/>
  <c r="K39" i="56"/>
  <c r="R38" i="56"/>
  <c r="L38" i="56"/>
  <c r="M38" i="56" s="1"/>
  <c r="K38" i="56"/>
  <c r="R37" i="56"/>
  <c r="K37" i="56"/>
  <c r="R36" i="56"/>
  <c r="S36" i="56" s="1"/>
  <c r="T36" i="56" s="1"/>
  <c r="L36" i="56"/>
  <c r="M36" i="56" s="1"/>
  <c r="K36" i="56"/>
  <c r="R35" i="56"/>
  <c r="K35" i="56"/>
  <c r="R34" i="56"/>
  <c r="S34" i="56" s="1"/>
  <c r="T34" i="56" s="1"/>
  <c r="L34" i="56"/>
  <c r="M34" i="56" s="1"/>
  <c r="K34" i="56"/>
  <c r="R33" i="56"/>
  <c r="K33" i="56"/>
  <c r="R32" i="56"/>
  <c r="L32" i="56"/>
  <c r="M32" i="56" s="1"/>
  <c r="K32" i="56"/>
  <c r="R31" i="56"/>
  <c r="K31" i="56"/>
  <c r="R30" i="56"/>
  <c r="S30" i="56" s="1"/>
  <c r="T30" i="56" s="1"/>
  <c r="L30" i="56"/>
  <c r="M30" i="56" s="1"/>
  <c r="K30" i="56"/>
  <c r="R29" i="56"/>
  <c r="S29" i="56" s="1"/>
  <c r="T29" i="56" s="1"/>
  <c r="M29" i="56"/>
  <c r="L29" i="56"/>
  <c r="R28" i="56"/>
  <c r="K28" i="56"/>
  <c r="R27" i="56"/>
  <c r="L27" i="56"/>
  <c r="M27" i="56" s="1"/>
  <c r="S27" i="56" s="1"/>
  <c r="T27" i="56" s="1"/>
  <c r="K27" i="56"/>
  <c r="R26" i="56"/>
  <c r="K26" i="56"/>
  <c r="L26" i="56" s="1"/>
  <c r="R25" i="56"/>
  <c r="L25" i="56"/>
  <c r="M25" i="56" s="1"/>
  <c r="S25" i="56" s="1"/>
  <c r="T25" i="56" s="1"/>
  <c r="K25" i="56"/>
  <c r="R24" i="56"/>
  <c r="K24" i="56"/>
  <c r="L24" i="56" s="1"/>
  <c r="R23" i="56"/>
  <c r="L23" i="56"/>
  <c r="M23" i="56" s="1"/>
  <c r="S23" i="56" s="1"/>
  <c r="T23" i="56" s="1"/>
  <c r="K23" i="56"/>
  <c r="R22" i="56"/>
  <c r="K22" i="56"/>
  <c r="L22" i="56" s="1"/>
  <c r="R21" i="56"/>
  <c r="L21" i="56"/>
  <c r="M21" i="56" s="1"/>
  <c r="S21" i="56" s="1"/>
  <c r="T21" i="56" s="1"/>
  <c r="K21" i="56"/>
  <c r="R20" i="56"/>
  <c r="K20" i="56"/>
  <c r="R19" i="56"/>
  <c r="L19" i="56"/>
  <c r="M19" i="56" s="1"/>
  <c r="S19" i="56" s="1"/>
  <c r="T19" i="56" s="1"/>
  <c r="K19" i="56"/>
  <c r="R18" i="56"/>
  <c r="K18" i="56"/>
  <c r="L18" i="56" s="1"/>
  <c r="R17" i="56"/>
  <c r="L17" i="56"/>
  <c r="M17" i="56" s="1"/>
  <c r="S17" i="56" s="1"/>
  <c r="T17" i="56" s="1"/>
  <c r="K17" i="56"/>
  <c r="T16" i="56"/>
  <c r="S16" i="56"/>
  <c r="R16" i="56"/>
  <c r="R15" i="56"/>
  <c r="S15" i="56" s="1"/>
  <c r="T15" i="56" s="1"/>
  <c r="S13" i="56"/>
  <c r="T13" i="56" s="1"/>
  <c r="R13" i="56"/>
  <c r="R12" i="56"/>
  <c r="K12" i="56"/>
  <c r="L12" i="56" s="1"/>
  <c r="M12" i="56" s="1"/>
  <c r="S12" i="56" s="1"/>
  <c r="T12" i="56" s="1"/>
  <c r="R11" i="56"/>
  <c r="S11" i="56" s="1"/>
  <c r="T11" i="56" s="1"/>
  <c r="R10" i="56"/>
  <c r="L10" i="56"/>
  <c r="M10" i="56" s="1"/>
  <c r="S10" i="56" s="1"/>
  <c r="T10" i="56" s="1"/>
  <c r="K10" i="56"/>
  <c r="R9" i="56"/>
  <c r="S9" i="56" s="1"/>
  <c r="T9" i="56" s="1"/>
  <c r="R8" i="56"/>
  <c r="S8" i="56" s="1"/>
  <c r="T8" i="56" s="1"/>
  <c r="R7" i="56"/>
  <c r="L7" i="56"/>
  <c r="M7" i="56" s="1"/>
  <c r="S7" i="56" s="1"/>
  <c r="T7" i="56" s="1"/>
  <c r="K7" i="56"/>
  <c r="R6" i="56"/>
  <c r="K6" i="56"/>
  <c r="S5" i="56"/>
  <c r="T5" i="56" s="1"/>
  <c r="R5" i="56"/>
  <c r="S4" i="56"/>
  <c r="T4" i="56" s="1"/>
  <c r="R4" i="56"/>
  <c r="K3" i="56"/>
  <c r="L3" i="56" s="1"/>
  <c r="M3" i="56" s="1"/>
  <c r="K21" i="54"/>
  <c r="L21" i="54" s="1"/>
  <c r="R13" i="54"/>
  <c r="K17" i="54"/>
  <c r="L17" i="54" s="1"/>
  <c r="R11" i="54"/>
  <c r="K20" i="54"/>
  <c r="L20" i="54" s="1"/>
  <c r="R12" i="54"/>
  <c r="R10" i="54"/>
  <c r="K28" i="54"/>
  <c r="L28" i="54" s="1"/>
  <c r="R4" i="54"/>
  <c r="K26" i="54"/>
  <c r="L26" i="54" s="1"/>
  <c r="M26" i="54" s="1"/>
  <c r="R7" i="54"/>
  <c r="K19" i="54"/>
  <c r="L19" i="54" s="1"/>
  <c r="R8" i="54"/>
  <c r="K27" i="54"/>
  <c r="L27" i="54" s="1"/>
  <c r="M27" i="54" s="1"/>
  <c r="R9" i="54"/>
  <c r="K18" i="54"/>
  <c r="R6" i="54"/>
  <c r="K25" i="54"/>
  <c r="L25" i="54" s="1"/>
  <c r="R5" i="54"/>
  <c r="AB43" i="55"/>
  <c r="AB43" i="53"/>
  <c r="AC43" i="53"/>
  <c r="AE43" i="53"/>
  <c r="AD43" i="53"/>
  <c r="S76" i="56" l="1"/>
  <c r="T76" i="56" s="1"/>
  <c r="S38" i="56"/>
  <c r="T38" i="56" s="1"/>
  <c r="S62" i="56"/>
  <c r="T62" i="56" s="1"/>
  <c r="S86" i="56"/>
  <c r="T86" i="56" s="1"/>
  <c r="S48" i="56"/>
  <c r="T48" i="56" s="1"/>
  <c r="S72" i="56"/>
  <c r="T72" i="56" s="1"/>
  <c r="S77" i="56"/>
  <c r="T77" i="56" s="1"/>
  <c r="S32" i="56"/>
  <c r="T32" i="56" s="1"/>
  <c r="M6" i="56"/>
  <c r="M71" i="56"/>
  <c r="S71" i="56" s="1"/>
  <c r="T71" i="56" s="1"/>
  <c r="M33" i="56"/>
  <c r="S33" i="56" s="1"/>
  <c r="T33" i="56" s="1"/>
  <c r="M43" i="56"/>
  <c r="S43" i="56" s="1"/>
  <c r="T43" i="56" s="1"/>
  <c r="M67" i="56"/>
  <c r="S67" i="56" s="1"/>
  <c r="T67" i="56" s="1"/>
  <c r="M49" i="56"/>
  <c r="S49" i="56" s="1"/>
  <c r="T49" i="56" s="1"/>
  <c r="S44" i="56"/>
  <c r="T44" i="56" s="1"/>
  <c r="S68" i="56"/>
  <c r="T68" i="56" s="1"/>
  <c r="M47" i="56"/>
  <c r="S47" i="56" s="1"/>
  <c r="T47" i="56" s="1"/>
  <c r="M57" i="56"/>
  <c r="S57" i="56" s="1"/>
  <c r="T57" i="56" s="1"/>
  <c r="S6" i="56"/>
  <c r="T6" i="56" s="1"/>
  <c r="S81" i="56"/>
  <c r="T81" i="56" s="1"/>
  <c r="M45" i="56"/>
  <c r="M69" i="56"/>
  <c r="S69" i="56" s="1"/>
  <c r="T69" i="56" s="1"/>
  <c r="S40" i="56"/>
  <c r="T40" i="56" s="1"/>
  <c r="S45" i="56"/>
  <c r="T45" i="56" s="1"/>
  <c r="M55" i="56"/>
  <c r="S55" i="56" s="1"/>
  <c r="T55" i="56" s="1"/>
  <c r="S64" i="56"/>
  <c r="T64" i="56" s="1"/>
  <c r="S46" i="56"/>
  <c r="T46" i="56" s="1"/>
  <c r="S70" i="56"/>
  <c r="T70" i="56" s="1"/>
  <c r="S42" i="56"/>
  <c r="T42" i="56" s="1"/>
  <c r="S66" i="56"/>
  <c r="T66" i="56" s="1"/>
  <c r="S52" i="56"/>
  <c r="T52" i="56" s="1"/>
  <c r="M94" i="56"/>
  <c r="L28" i="56"/>
  <c r="M28" i="56" s="1"/>
  <c r="S28" i="56" s="1"/>
  <c r="T28" i="56" s="1"/>
  <c r="M22" i="56"/>
  <c r="S22" i="56" s="1"/>
  <c r="T22" i="56" s="1"/>
  <c r="M89" i="56"/>
  <c r="L6" i="56"/>
  <c r="M18" i="56"/>
  <c r="S18" i="56" s="1"/>
  <c r="T18" i="56" s="1"/>
  <c r="M26" i="56"/>
  <c r="S26" i="56" s="1"/>
  <c r="T26" i="56" s="1"/>
  <c r="L90" i="56"/>
  <c r="M90" i="56" s="1"/>
  <c r="M24" i="56"/>
  <c r="S24" i="56" s="1"/>
  <c r="T24" i="56" s="1"/>
  <c r="L31" i="56"/>
  <c r="M31" i="56" s="1"/>
  <c r="S31" i="56" s="1"/>
  <c r="T31" i="56" s="1"/>
  <c r="L33" i="56"/>
  <c r="L35" i="56"/>
  <c r="M35" i="56" s="1"/>
  <c r="S35" i="56" s="1"/>
  <c r="T35" i="56" s="1"/>
  <c r="L37" i="56"/>
  <c r="M37" i="56" s="1"/>
  <c r="S37" i="56" s="1"/>
  <c r="T37" i="56" s="1"/>
  <c r="L39" i="56"/>
  <c r="M39" i="56" s="1"/>
  <c r="S39" i="56" s="1"/>
  <c r="T39" i="56" s="1"/>
  <c r="L41" i="56"/>
  <c r="M41" i="56" s="1"/>
  <c r="S41" i="56" s="1"/>
  <c r="T41" i="56" s="1"/>
  <c r="L43" i="56"/>
  <c r="L45" i="56"/>
  <c r="L47" i="56"/>
  <c r="L49" i="56"/>
  <c r="L51" i="56"/>
  <c r="M51" i="56" s="1"/>
  <c r="S51" i="56" s="1"/>
  <c r="T51" i="56" s="1"/>
  <c r="L53" i="56"/>
  <c r="M53" i="56" s="1"/>
  <c r="S53" i="56" s="1"/>
  <c r="T53" i="56" s="1"/>
  <c r="L55" i="56"/>
  <c r="L57" i="56"/>
  <c r="L59" i="56"/>
  <c r="M59" i="56" s="1"/>
  <c r="S59" i="56" s="1"/>
  <c r="T59" i="56" s="1"/>
  <c r="L61" i="56"/>
  <c r="M61" i="56" s="1"/>
  <c r="S61" i="56" s="1"/>
  <c r="T61" i="56" s="1"/>
  <c r="L63" i="56"/>
  <c r="M63" i="56" s="1"/>
  <c r="S63" i="56" s="1"/>
  <c r="T63" i="56" s="1"/>
  <c r="L65" i="56"/>
  <c r="M65" i="56" s="1"/>
  <c r="S65" i="56" s="1"/>
  <c r="T65" i="56" s="1"/>
  <c r="L67" i="56"/>
  <c r="L69" i="56"/>
  <c r="L71" i="56"/>
  <c r="L73" i="56"/>
  <c r="M73" i="56" s="1"/>
  <c r="S73" i="56" s="1"/>
  <c r="T73" i="56" s="1"/>
  <c r="L75" i="56"/>
  <c r="M75" i="56" s="1"/>
  <c r="S75" i="56" s="1"/>
  <c r="T75" i="56" s="1"/>
  <c r="L91" i="56"/>
  <c r="M91" i="56" s="1"/>
  <c r="L20" i="56"/>
  <c r="M20" i="56" s="1"/>
  <c r="S20" i="56" s="1"/>
  <c r="T20" i="56" s="1"/>
  <c r="M21" i="54"/>
  <c r="M28" i="54"/>
  <c r="M20" i="54"/>
  <c r="M17" i="54"/>
  <c r="M19" i="54"/>
  <c r="L18" i="54"/>
  <c r="M18" i="54" s="1"/>
  <c r="M25" i="54"/>
  <c r="R86" i="54"/>
  <c r="K92" i="54"/>
  <c r="L92" i="54" s="1"/>
  <c r="M92" i="54" s="1"/>
  <c r="R85" i="54"/>
  <c r="K91" i="54"/>
  <c r="R84" i="54"/>
  <c r="K90" i="54"/>
  <c r="L90" i="54" s="1"/>
  <c r="M90" i="54" s="1"/>
  <c r="R83" i="54"/>
  <c r="K89" i="54"/>
  <c r="R82" i="54"/>
  <c r="K88" i="54"/>
  <c r="L88" i="54" s="1"/>
  <c r="M88" i="54" s="1"/>
  <c r="R81" i="54"/>
  <c r="K87" i="54"/>
  <c r="R80" i="54"/>
  <c r="K86" i="54"/>
  <c r="L86" i="54" s="1"/>
  <c r="M86" i="54" s="1"/>
  <c r="R79" i="54"/>
  <c r="K85" i="54"/>
  <c r="R78" i="54"/>
  <c r="K84" i="54"/>
  <c r="L84" i="54" s="1"/>
  <c r="M84" i="54" s="1"/>
  <c r="R77" i="54"/>
  <c r="K83" i="54"/>
  <c r="R76" i="54"/>
  <c r="K7" i="54"/>
  <c r="L7" i="54" s="1"/>
  <c r="M7" i="54" s="1"/>
  <c r="R75" i="54"/>
  <c r="K82" i="54"/>
  <c r="R74" i="54"/>
  <c r="K10" i="54"/>
  <c r="L10" i="54" s="1"/>
  <c r="R73" i="54"/>
  <c r="K81" i="54"/>
  <c r="L81" i="54" s="1"/>
  <c r="M81" i="54" s="1"/>
  <c r="R72" i="54"/>
  <c r="K80" i="54"/>
  <c r="L80" i="54" s="1"/>
  <c r="R71" i="54"/>
  <c r="K24" i="54"/>
  <c r="R70" i="54"/>
  <c r="K79" i="54"/>
  <c r="L79" i="54" s="1"/>
  <c r="R69" i="54"/>
  <c r="K78" i="54"/>
  <c r="L78" i="54" s="1"/>
  <c r="M78" i="54" s="1"/>
  <c r="R68" i="54"/>
  <c r="K77" i="54"/>
  <c r="L77" i="54" s="1"/>
  <c r="R67" i="54"/>
  <c r="K23" i="54"/>
  <c r="R66" i="54"/>
  <c r="K76" i="54"/>
  <c r="L76" i="54" s="1"/>
  <c r="R65" i="54"/>
  <c r="K75" i="54"/>
  <c r="L75" i="54" s="1"/>
  <c r="M75" i="54" s="1"/>
  <c r="R64" i="54"/>
  <c r="K74" i="54"/>
  <c r="L74" i="54" s="1"/>
  <c r="R63" i="54"/>
  <c r="K73" i="54"/>
  <c r="R62" i="54"/>
  <c r="K72" i="54"/>
  <c r="L72" i="54" s="1"/>
  <c r="R61" i="54"/>
  <c r="K22" i="54"/>
  <c r="L22" i="54" s="1"/>
  <c r="M22" i="54" s="1"/>
  <c r="R60" i="54"/>
  <c r="K71" i="54"/>
  <c r="L71" i="54" s="1"/>
  <c r="R59" i="54"/>
  <c r="K70" i="54"/>
  <c r="R58" i="54"/>
  <c r="K69" i="54"/>
  <c r="L69" i="54" s="1"/>
  <c r="R57" i="54"/>
  <c r="K68" i="54"/>
  <c r="L68" i="54" s="1"/>
  <c r="M68" i="54" s="1"/>
  <c r="R56" i="54"/>
  <c r="K67" i="54"/>
  <c r="L67" i="54" s="1"/>
  <c r="R55" i="54"/>
  <c r="K41" i="54"/>
  <c r="R54" i="54"/>
  <c r="K40" i="54"/>
  <c r="L40" i="54" s="1"/>
  <c r="R53" i="54"/>
  <c r="K39" i="54"/>
  <c r="L39" i="54" s="1"/>
  <c r="M39" i="54" s="1"/>
  <c r="R52" i="54"/>
  <c r="K38" i="54"/>
  <c r="L38" i="54" s="1"/>
  <c r="R51" i="54"/>
  <c r="K37" i="54"/>
  <c r="R50" i="54"/>
  <c r="K6" i="54"/>
  <c r="L6" i="54" s="1"/>
  <c r="R49" i="54"/>
  <c r="K32" i="54"/>
  <c r="L32" i="54" s="1"/>
  <c r="M32" i="54" s="1"/>
  <c r="R48" i="54"/>
  <c r="K66" i="54"/>
  <c r="L66" i="54" s="1"/>
  <c r="R47" i="54"/>
  <c r="K65" i="54"/>
  <c r="R46" i="54"/>
  <c r="K36" i="54"/>
  <c r="L36" i="54" s="1"/>
  <c r="R45" i="54"/>
  <c r="K64" i="54"/>
  <c r="L64" i="54" s="1"/>
  <c r="M64" i="54" s="1"/>
  <c r="R44" i="54"/>
  <c r="K63" i="54"/>
  <c r="L63" i="54" s="1"/>
  <c r="R43" i="54"/>
  <c r="K62" i="54"/>
  <c r="R42" i="54"/>
  <c r="K30" i="54"/>
  <c r="L30" i="54" s="1"/>
  <c r="R41" i="54"/>
  <c r="K61" i="54"/>
  <c r="L61" i="54" s="1"/>
  <c r="M61" i="54" s="1"/>
  <c r="R40" i="54"/>
  <c r="K60" i="54"/>
  <c r="L60" i="54" s="1"/>
  <c r="R39" i="54"/>
  <c r="K35" i="54"/>
  <c r="R38" i="54"/>
  <c r="K34" i="54"/>
  <c r="L34" i="54" s="1"/>
  <c r="R37" i="54"/>
  <c r="K59" i="54"/>
  <c r="L59" i="54" s="1"/>
  <c r="M59" i="54" s="1"/>
  <c r="R36" i="54"/>
  <c r="L29" i="54"/>
  <c r="R35" i="54"/>
  <c r="K33" i="54"/>
  <c r="R34" i="54"/>
  <c r="K58" i="54"/>
  <c r="L58" i="54" s="1"/>
  <c r="R33" i="54"/>
  <c r="K57" i="54"/>
  <c r="L57" i="54" s="1"/>
  <c r="M57" i="54" s="1"/>
  <c r="R32" i="54"/>
  <c r="K56" i="54"/>
  <c r="L56" i="54" s="1"/>
  <c r="R31" i="54"/>
  <c r="K55" i="54"/>
  <c r="R30" i="54"/>
  <c r="K54" i="54"/>
  <c r="L54" i="54" s="1"/>
  <c r="R29" i="54"/>
  <c r="K53" i="54"/>
  <c r="L53" i="54" s="1"/>
  <c r="M53" i="54" s="1"/>
  <c r="R28" i="54"/>
  <c r="K52" i="54"/>
  <c r="L52" i="54" s="1"/>
  <c r="R27" i="54"/>
  <c r="K51" i="54"/>
  <c r="R26" i="54"/>
  <c r="K50" i="54"/>
  <c r="L50" i="54" s="1"/>
  <c r="R25" i="54"/>
  <c r="K49" i="54"/>
  <c r="L49" i="54" s="1"/>
  <c r="M49" i="54" s="1"/>
  <c r="R24" i="54"/>
  <c r="K48" i="54"/>
  <c r="L48" i="54" s="1"/>
  <c r="R23" i="54"/>
  <c r="K12" i="54"/>
  <c r="R22" i="54"/>
  <c r="K3" i="54"/>
  <c r="L3" i="54" s="1"/>
  <c r="R21" i="54"/>
  <c r="K47" i="54"/>
  <c r="L47" i="54" s="1"/>
  <c r="M47" i="54" s="1"/>
  <c r="R20" i="54"/>
  <c r="K46" i="54"/>
  <c r="L46" i="54" s="1"/>
  <c r="R19" i="54"/>
  <c r="K45" i="54"/>
  <c r="R18" i="54"/>
  <c r="K44" i="54"/>
  <c r="L44" i="54" s="1"/>
  <c r="R17" i="54"/>
  <c r="K43" i="54"/>
  <c r="L43" i="54" s="1"/>
  <c r="M43" i="54" s="1"/>
  <c r="R16" i="54"/>
  <c r="K42" i="54"/>
  <c r="L42" i="54" s="1"/>
  <c r="R15" i="54"/>
  <c r="K31" i="54"/>
  <c r="T96" i="56" l="1"/>
  <c r="M42" i="54"/>
  <c r="M56" i="54"/>
  <c r="M60" i="54"/>
  <c r="M67" i="54"/>
  <c r="M74" i="54"/>
  <c r="M80" i="54"/>
  <c r="M48" i="54"/>
  <c r="M66" i="54"/>
  <c r="M46" i="54"/>
  <c r="M52" i="54"/>
  <c r="M29" i="54"/>
  <c r="M63" i="54"/>
  <c r="M38" i="54"/>
  <c r="M71" i="54"/>
  <c r="M77" i="54"/>
  <c r="L82" i="54"/>
  <c r="M82" i="54" s="1"/>
  <c r="L83" i="54"/>
  <c r="M83" i="54" s="1"/>
  <c r="L85" i="54"/>
  <c r="M85" i="54" s="1"/>
  <c r="S84" i="54" s="1"/>
  <c r="T84" i="54" s="1"/>
  <c r="L87" i="54"/>
  <c r="M87" i="54" s="1"/>
  <c r="S86" i="54" s="1"/>
  <c r="T86" i="54" s="1"/>
  <c r="L89" i="54"/>
  <c r="M89" i="54" s="1"/>
  <c r="L91" i="54"/>
  <c r="M91" i="54" s="1"/>
  <c r="L31" i="54"/>
  <c r="M31" i="54" s="1"/>
  <c r="M44" i="54"/>
  <c r="L45" i="54"/>
  <c r="M45" i="54" s="1"/>
  <c r="M3" i="54"/>
  <c r="L12" i="54"/>
  <c r="M12" i="54" s="1"/>
  <c r="M50" i="54"/>
  <c r="L51" i="54"/>
  <c r="M51" i="54" s="1"/>
  <c r="M54" i="54"/>
  <c r="L55" i="54"/>
  <c r="M55" i="54" s="1"/>
  <c r="M58" i="54"/>
  <c r="L33" i="54"/>
  <c r="M33" i="54" s="1"/>
  <c r="M34" i="54"/>
  <c r="L35" i="54"/>
  <c r="M35" i="54" s="1"/>
  <c r="M30" i="54"/>
  <c r="L62" i="54"/>
  <c r="M62" i="54" s="1"/>
  <c r="M36" i="54"/>
  <c r="L65" i="54"/>
  <c r="M65" i="54" s="1"/>
  <c r="M6" i="54"/>
  <c r="L37" i="54"/>
  <c r="M37" i="54" s="1"/>
  <c r="M40" i="54"/>
  <c r="L41" i="54"/>
  <c r="M41" i="54" s="1"/>
  <c r="M69" i="54"/>
  <c r="L70" i="54"/>
  <c r="M70" i="54" s="1"/>
  <c r="M72" i="54"/>
  <c r="L73" i="54"/>
  <c r="M73" i="54" s="1"/>
  <c r="M76" i="54"/>
  <c r="L23" i="54"/>
  <c r="M23" i="54" s="1"/>
  <c r="M79" i="54"/>
  <c r="L24" i="54"/>
  <c r="M24" i="54" s="1"/>
  <c r="S13" i="54" s="1"/>
  <c r="T13" i="54" s="1"/>
  <c r="M10" i="54"/>
  <c r="L94" i="54"/>
  <c r="F94" i="54"/>
  <c r="G94" i="54" s="1"/>
  <c r="L93" i="54"/>
  <c r="F93" i="54"/>
  <c r="G93" i="54" s="1"/>
  <c r="S82" i="54" l="1"/>
  <c r="T82" i="54" s="1"/>
  <c r="S76" i="54"/>
  <c r="T76" i="54" s="1"/>
  <c r="S59" i="54"/>
  <c r="T59" i="54" s="1"/>
  <c r="S47" i="54"/>
  <c r="T47" i="54" s="1"/>
  <c r="S8" i="54"/>
  <c r="T8" i="54" s="1"/>
  <c r="S51" i="54"/>
  <c r="T51" i="54" s="1"/>
  <c r="S10" i="54"/>
  <c r="T10" i="54" s="1"/>
  <c r="S63" i="54"/>
  <c r="T63" i="54" s="1"/>
  <c r="S9" i="54"/>
  <c r="T9" i="54" s="1"/>
  <c r="S83" i="54"/>
  <c r="T83" i="54" s="1"/>
  <c r="S78" i="54"/>
  <c r="T78" i="54" s="1"/>
  <c r="S40" i="54"/>
  <c r="T40" i="54" s="1"/>
  <c r="S74" i="54"/>
  <c r="T74" i="54" s="1"/>
  <c r="S80" i="54"/>
  <c r="T80" i="54" s="1"/>
  <c r="S67" i="54"/>
  <c r="T67" i="54" s="1"/>
  <c r="S70" i="54"/>
  <c r="T70" i="54" s="1"/>
  <c r="S4" i="54"/>
  <c r="T4" i="54" s="1"/>
  <c r="S53" i="54"/>
  <c r="T53" i="54" s="1"/>
  <c r="S7" i="54"/>
  <c r="T7" i="54" s="1"/>
  <c r="S5" i="54"/>
  <c r="T5" i="54" s="1"/>
  <c r="S79" i="54"/>
  <c r="T79" i="54" s="1"/>
  <c r="S60" i="54"/>
  <c r="T60" i="54" s="1"/>
  <c r="S50" i="54"/>
  <c r="T50" i="54" s="1"/>
  <c r="S36" i="54"/>
  <c r="T36" i="54" s="1"/>
  <c r="S85" i="54"/>
  <c r="T85" i="54" s="1"/>
  <c r="S81" i="54"/>
  <c r="T81" i="54" s="1"/>
  <c r="S77" i="54"/>
  <c r="T77" i="54" s="1"/>
  <c r="S16" i="54"/>
  <c r="T16" i="54" s="1"/>
  <c r="S6" i="54"/>
  <c r="T6" i="54" s="1"/>
  <c r="S44" i="54"/>
  <c r="T44" i="54" s="1"/>
  <c r="S15" i="54"/>
  <c r="T15" i="54" s="1"/>
  <c r="S75" i="54"/>
  <c r="T75" i="54" s="1"/>
  <c r="S72" i="54"/>
  <c r="T72" i="54" s="1"/>
  <c r="S56" i="54"/>
  <c r="T56" i="54" s="1"/>
  <c r="S38" i="54"/>
  <c r="T38" i="54" s="1"/>
  <c r="S69" i="54"/>
  <c r="T69" i="54" s="1"/>
  <c r="S73" i="54"/>
  <c r="T73" i="54" s="1"/>
  <c r="S66" i="54"/>
  <c r="T66" i="54" s="1"/>
  <c r="S58" i="54"/>
  <c r="T58" i="54" s="1"/>
  <c r="S52" i="54"/>
  <c r="T52" i="54" s="1"/>
  <c r="S62" i="54"/>
  <c r="T62" i="54" s="1"/>
  <c r="S11" i="54"/>
  <c r="T11" i="54" s="1"/>
  <c r="S64" i="54"/>
  <c r="T64" i="54" s="1"/>
  <c r="S65" i="54"/>
  <c r="T65" i="54" s="1"/>
  <c r="S57" i="54"/>
  <c r="T57" i="54" s="1"/>
  <c r="S61" i="54"/>
  <c r="T61" i="54" s="1"/>
  <c r="S71" i="54"/>
  <c r="T71" i="54" s="1"/>
  <c r="S68" i="54"/>
  <c r="T68" i="54" s="1"/>
  <c r="S48" i="54"/>
  <c r="T48" i="54" s="1"/>
  <c r="S12" i="54"/>
  <c r="T12" i="54" s="1"/>
  <c r="S49" i="54"/>
  <c r="T49" i="54" s="1"/>
  <c r="S33" i="54"/>
  <c r="T33" i="54" s="1"/>
  <c r="S25" i="54"/>
  <c r="T25" i="54" s="1"/>
  <c r="S29" i="54"/>
  <c r="T29" i="54" s="1"/>
  <c r="S30" i="54"/>
  <c r="T30" i="54" s="1"/>
  <c r="S34" i="54"/>
  <c r="T34" i="54" s="1"/>
  <c r="S26" i="54"/>
  <c r="T26" i="54" s="1"/>
  <c r="S17" i="54"/>
  <c r="T17" i="54" s="1"/>
  <c r="S39" i="54"/>
  <c r="T39" i="54" s="1"/>
  <c r="S31" i="54"/>
  <c r="T31" i="54" s="1"/>
  <c r="S46" i="54"/>
  <c r="T46" i="54" s="1"/>
  <c r="S35" i="54"/>
  <c r="T35" i="54" s="1"/>
  <c r="S19" i="54"/>
  <c r="T19" i="54" s="1"/>
  <c r="S24" i="54"/>
  <c r="T24" i="54" s="1"/>
  <c r="S55" i="54"/>
  <c r="T55" i="54" s="1"/>
  <c r="S28" i="54"/>
  <c r="T28" i="54" s="1"/>
  <c r="S23" i="54"/>
  <c r="T23" i="54" s="1"/>
  <c r="S20" i="54"/>
  <c r="T20" i="54" s="1"/>
  <c r="S41" i="54"/>
  <c r="T41" i="54" s="1"/>
  <c r="S43" i="54"/>
  <c r="T43" i="54" s="1"/>
  <c r="S27" i="54"/>
  <c r="T27" i="54" s="1"/>
  <c r="S32" i="54"/>
  <c r="T32" i="54" s="1"/>
  <c r="S21" i="54"/>
  <c r="T21" i="54" s="1"/>
  <c r="S54" i="54"/>
  <c r="T54" i="54" s="1"/>
  <c r="S22" i="54"/>
  <c r="T22" i="54" s="1"/>
  <c r="S42" i="54"/>
  <c r="T42" i="54" s="1"/>
  <c r="S18" i="54"/>
  <c r="T18" i="54" s="1"/>
  <c r="S37" i="54"/>
  <c r="T37" i="54" s="1"/>
  <c r="S45" i="54"/>
  <c r="T45" i="54" s="1"/>
  <c r="M93" i="54"/>
  <c r="N87" i="54" s="1"/>
  <c r="M94" i="54"/>
  <c r="N88" i="54" l="1"/>
  <c r="T96" i="54"/>
</calcChain>
</file>

<file path=xl/sharedStrings.xml><?xml version="1.0" encoding="utf-8"?>
<sst xmlns="http://schemas.openxmlformats.org/spreadsheetml/2006/main" count="2094" uniqueCount="444">
  <si>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</si>
  <si>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</si>
  <si>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</si>
  <si>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</si>
  <si>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</si>
  <si>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</si>
  <si>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</si>
  <si>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</si>
  <si>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</si>
  <si>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</si>
  <si>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</si>
  <si>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</si>
  <si>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</si>
  <si>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</si>
  <si>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</si>
  <si>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</si>
  <si>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</si>
  <si>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</si>
  <si>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</si>
  <si>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</si>
  <si>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</si>
  <si>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</si>
  <si>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</si>
  <si>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</si>
  <si>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</si>
  <si>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</si>
  <si>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</si>
  <si>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</si>
  <si>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</si>
  <si>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</si>
  <si>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</si>
  <si>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</si>
  <si>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</si>
  <si>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</si>
  <si>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</si>
  <si>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</si>
  <si>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</si>
  <si>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</si>
  <si>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</si>
  <si>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</si>
  <si>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</si>
  <si>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</si>
  <si>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</si>
  <si>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</si>
  <si>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</si>
  <si>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KABA Evolo</t>
  </si>
  <si>
    <t>CES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</si>
  <si>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</si>
  <si>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</si>
  <si>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</si>
  <si>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</si>
  <si>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</si>
  <si>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</si>
  <si>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</si>
  <si>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</si>
  <si>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</si>
  <si>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</si>
  <si>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</si>
  <si>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</si>
  <si>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</si>
  <si>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</si>
  <si>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</si>
  <si>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</si>
  <si>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</si>
  <si>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</si>
  <si>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Auto-Bodendichtung (2 Mann)</t>
  </si>
  <si>
    <t>Auto-Bodendichtung</t>
  </si>
  <si>
    <t>Schließfolgeregeler SR 390 Hebel</t>
  </si>
  <si>
    <t>DO G-GSR Schließfolgeregelung</t>
  </si>
  <si>
    <t>GE ISM Schließfolgeregelung BS</t>
  </si>
  <si>
    <t>GE ISM Schließfolgeregelung BGS</t>
  </si>
  <si>
    <t>Standflügelverriegelung (2 Mann)</t>
  </si>
  <si>
    <t>FH-Anti-Panikschloss</t>
  </si>
  <si>
    <t>FH-Fallen-Riegelschloss</t>
  </si>
  <si>
    <t>Türflügel richten  (2 Mann)</t>
  </si>
  <si>
    <t>Schließblech /Beschlag</t>
  </si>
  <si>
    <t>FH-Drücker-Garnitur KS schwarz</t>
  </si>
  <si>
    <t>FH-Wechsel-Garnitur KS schwarz</t>
  </si>
  <si>
    <t>FH-Drücker-Garnitur Alu</t>
  </si>
  <si>
    <t>FH-Drücker-Garnitur Edelstahl</t>
  </si>
  <si>
    <t>Türwächter</t>
  </si>
  <si>
    <t>Einhand-Türwächter Neu</t>
  </si>
  <si>
    <t>FSA - EMR 1 flgl. + Abnahme</t>
  </si>
  <si>
    <t>FSA - GSR-EMR 2 flgl. + Abnahme</t>
  </si>
  <si>
    <t>FSA - OTS, GSR-EMR 2flgl.+Abnahme</t>
  </si>
  <si>
    <t>Rauchmelder ORS 142</t>
  </si>
  <si>
    <t>RMZ</t>
  </si>
  <si>
    <t>OTS ohne Gleitschiene</t>
  </si>
  <si>
    <t>OTS + Gleitschiene 1 flgl.</t>
  </si>
  <si>
    <t>E-Öffner BS Stahlblech</t>
  </si>
  <si>
    <t>E-Öffner BS Rohrahmen</t>
  </si>
  <si>
    <t>PZ-Rosetten Paar Al oval</t>
  </si>
  <si>
    <t>PZ-Rosetten Paar VA matt oval</t>
  </si>
  <si>
    <t>Blindzylinder variabel 52-94mm</t>
  </si>
  <si>
    <t>Bodenbüchse MS silber für 10mm</t>
  </si>
  <si>
    <t>Gesamtpreis Netto</t>
  </si>
  <si>
    <t>Türflügel richten,rep, abdichten (2 Mann)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</si>
  <si>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</si>
  <si>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</si>
  <si>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</si>
  <si>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</si>
  <si>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</si>
  <si>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</si>
  <si>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</si>
  <si>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</si>
  <si>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</si>
  <si>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</si>
  <si>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</si>
  <si>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</si>
  <si>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</si>
  <si>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</si>
  <si>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</si>
  <si>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</si>
  <si>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</si>
  <si>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</si>
  <si>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</si>
  <si>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</si>
  <si>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</si>
  <si>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</si>
  <si>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</si>
  <si>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</si>
  <si>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</si>
  <si>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</si>
  <si>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</si>
  <si>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</si>
  <si>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</si>
  <si>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</si>
  <si>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</si>
  <si>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</si>
  <si>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FSB</t>
  </si>
  <si>
    <t>U&amp;Z</t>
  </si>
  <si>
    <t>nein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</si>
  <si>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</si>
  <si>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</si>
  <si>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</si>
  <si>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</si>
  <si>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</si>
  <si>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</si>
  <si>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</si>
  <si>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</si>
  <si>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</si>
  <si>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</si>
  <si>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</si>
  <si>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</si>
  <si>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</si>
  <si>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</si>
  <si>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</si>
  <si>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</si>
  <si>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</si>
  <si>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</si>
  <si>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</si>
  <si>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</si>
  <si>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</si>
  <si>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</si>
  <si>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</si>
  <si>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</si>
  <si>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</si>
  <si>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Standflügel richten</t>
  </si>
  <si>
    <t>Dichtungen erneuern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</si>
  <si>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</si>
  <si>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</si>
  <si>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</si>
  <si>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</si>
  <si>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</si>
  <si>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</si>
  <si>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</si>
  <si>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</si>
  <si>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</si>
  <si>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</si>
  <si>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</si>
  <si>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</si>
  <si>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</si>
  <si>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</si>
  <si>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</si>
  <si>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</si>
  <si>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</si>
  <si>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</si>
  <si>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</si>
  <si>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</si>
  <si>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</si>
  <si>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</si>
  <si>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</si>
  <si>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65/92/9</t>
  </si>
  <si>
    <t>EFS</t>
  </si>
  <si>
    <t>RFS</t>
  </si>
  <si>
    <t>E-ISM</t>
  </si>
  <si>
    <t>L-E-ISM</t>
  </si>
  <si>
    <t>R-ISM</t>
  </si>
  <si>
    <t>L-R-ISM</t>
  </si>
  <si>
    <t>Kein Schlüssel</t>
  </si>
  <si>
    <t>Tür Justieren</t>
  </si>
  <si>
    <t>OTS Do TS 93 Neumontage</t>
  </si>
  <si>
    <t>Schörghuber</t>
  </si>
  <si>
    <t>Luftspalt &gt; 10mm</t>
  </si>
  <si>
    <t>SR mech.</t>
  </si>
  <si>
    <t>SR defekt</t>
  </si>
  <si>
    <t xml:space="preserve">Boden steigt an </t>
  </si>
  <si>
    <t>EMR erneuern</t>
  </si>
  <si>
    <t>FH-Anti-Panikschloss einarbeiten</t>
  </si>
  <si>
    <t xml:space="preserve">Bodenspalt &gt;10mm </t>
  </si>
  <si>
    <t>Türbeschlag erneuern</t>
  </si>
  <si>
    <t>Ge TS 3000</t>
  </si>
  <si>
    <t>Ge TS 5000 erneuern</t>
  </si>
  <si>
    <t>Specht</t>
  </si>
  <si>
    <t>BKS</t>
  </si>
  <si>
    <t>Ge TS 5000 Neumontage</t>
  </si>
  <si>
    <t>FH-Anti-Panik nicht vorhanden</t>
  </si>
  <si>
    <t>Lohn Gesamt</t>
  </si>
  <si>
    <t>Stand</t>
  </si>
  <si>
    <t>Korrosion</t>
  </si>
  <si>
    <t>Fluchtrichtung prüfen</t>
  </si>
  <si>
    <t>Türflügel justieren</t>
  </si>
  <si>
    <t>Brandabschnitt</t>
  </si>
  <si>
    <t>Bänder defekt</t>
  </si>
  <si>
    <t>PZ-Rosette erneuern</t>
  </si>
  <si>
    <t>Ge TS 4000 erneuern</t>
  </si>
  <si>
    <t>Ge TS 4000 Neumontage</t>
  </si>
  <si>
    <t>Tür richten (2Mann)</t>
  </si>
  <si>
    <t>Do TS 83 erneuern</t>
  </si>
  <si>
    <t>Unzulässige Feststellung</t>
  </si>
  <si>
    <t>Do TS 83 Neumontage</t>
  </si>
  <si>
    <t>Grundschloss erneuern</t>
  </si>
  <si>
    <t>Deckenmelder Neumontage</t>
  </si>
  <si>
    <t>SFR mech. erneuern</t>
  </si>
  <si>
    <t>Türband schweißen</t>
  </si>
  <si>
    <t>Türbänder erneuern</t>
  </si>
  <si>
    <t>Ge Ts 5000R-ISM erneuern</t>
  </si>
  <si>
    <t>Ge TS5000 R-ISM erneuern</t>
  </si>
  <si>
    <t>Raumelder erneuern</t>
  </si>
  <si>
    <t>Tür erneuern</t>
  </si>
  <si>
    <t>SFR erneuern</t>
  </si>
  <si>
    <t>Feuerschutzklasse bauseits zu prüfen.</t>
  </si>
  <si>
    <t>Ge TS 5000 R-ISM erneuern</t>
  </si>
  <si>
    <t xml:space="preserve">Beschreibung Neu </t>
  </si>
  <si>
    <t>Fehlernr.</t>
  </si>
  <si>
    <t>Artikelnr.</t>
  </si>
  <si>
    <t>LAN Nr.</t>
  </si>
  <si>
    <t>65/72/24/9mm RUS Fkt. D  DIN L</t>
  </si>
  <si>
    <t>BMH1013PZ.0039</t>
  </si>
  <si>
    <t xml:space="preserve">DORPR120FS.60 </t>
  </si>
  <si>
    <t>65/72/24/9mm RUS Fkt.D DIN R</t>
  </si>
  <si>
    <t>BMH1013PZ.0040</t>
  </si>
  <si>
    <t xml:space="preserve">55/72/24/9mm RUS Fkt.D DIN L </t>
  </si>
  <si>
    <t xml:space="preserve">BMH1013PZ.0013 </t>
  </si>
  <si>
    <t>D/D Nylon</t>
  </si>
  <si>
    <t>DOR301418</t>
  </si>
  <si>
    <t>IKO1539MV.3880</t>
  </si>
  <si>
    <t>SR390</t>
  </si>
  <si>
    <t>DORSR390.VERZ</t>
  </si>
  <si>
    <t>GEZTS3000V.SILB</t>
  </si>
  <si>
    <t>GEZTS5000.SILB</t>
  </si>
  <si>
    <t>DOR302743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</si>
  <si>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</si>
  <si>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</si>
  <si>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</si>
  <si>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</si>
  <si>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</si>
  <si>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</si>
  <si>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</si>
  <si>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</si>
  <si>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</si>
  <si>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</si>
  <si>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</si>
  <si>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</si>
  <si>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</si>
  <si>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</si>
  <si>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</si>
  <si>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</si>
  <si>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</si>
  <si>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</si>
  <si>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</si>
  <si>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</si>
  <si>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</si>
  <si>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30/92/9-20 U</t>
  </si>
  <si>
    <t>35/92/9-20 U</t>
  </si>
  <si>
    <t>40/92/9-20 U</t>
  </si>
  <si>
    <t>30/92/9-20 F</t>
  </si>
  <si>
    <t>35/72/9-20 U</t>
  </si>
  <si>
    <t>40/72/9</t>
  </si>
  <si>
    <t>45/72/9-24 FR</t>
  </si>
  <si>
    <t>45/92/9-24 F</t>
  </si>
  <si>
    <t>35/92/9-20 F</t>
  </si>
  <si>
    <t>40/92/9-20 F</t>
  </si>
  <si>
    <t>50/72/9-24 FR</t>
  </si>
  <si>
    <t>55/72/9-24 FR</t>
  </si>
  <si>
    <t>60/72/9-24 FR</t>
  </si>
  <si>
    <t>65/72/9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</si>
  <si>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</si>
  <si>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</si>
  <si>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</si>
  <si>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</si>
  <si>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</si>
  <si>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</si>
  <si>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</si>
  <si>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34/92/9-24 U</t>
  </si>
  <si>
    <t>35/92/9-28 F</t>
  </si>
  <si>
    <t>Kein Zugang/Keine Prüfung</t>
  </si>
  <si>
    <t>Auto-Bodendichtung (1 Mann)</t>
  </si>
  <si>
    <t>Mitnehmerklappe (Vollpanik)</t>
  </si>
  <si>
    <t>Fallen-Riegelschloss Stahlblechtür</t>
  </si>
  <si>
    <t>FH-Fallen-Riegelschloss Stahlblechtür</t>
  </si>
  <si>
    <t>FH-Anti-Panikschloss Stahlblechtür</t>
  </si>
  <si>
    <t>FH-Antipanik Fallen-Riegelschloss RR Tür</t>
  </si>
  <si>
    <t>Drückerstift 9mm geteilt 120mm</t>
  </si>
  <si>
    <t>Türbeschlag rep./befestigen</t>
  </si>
  <si>
    <t>Türwächter befestigen</t>
  </si>
  <si>
    <t>Hinweis</t>
  </si>
  <si>
    <t>Schließfolgeregelung SR 390 Hebel</t>
  </si>
  <si>
    <t>Ge ISM Schliefolgeregelung BS</t>
  </si>
  <si>
    <t>Ge ISM Schliefolgeregelung BGS</t>
  </si>
  <si>
    <t>CWM</t>
  </si>
  <si>
    <t>Rollenschloß</t>
  </si>
  <si>
    <t>OTS ölt</t>
  </si>
  <si>
    <t>EG</t>
  </si>
  <si>
    <t>-</t>
  </si>
  <si>
    <t>Haupteingang</t>
  </si>
  <si>
    <t>X</t>
  </si>
  <si>
    <t>N</t>
  </si>
  <si>
    <t>Beidseitiger Stoßgriff</t>
  </si>
  <si>
    <t>OTS Kraft nicht einstellbar</t>
  </si>
  <si>
    <t>Windfang</t>
  </si>
  <si>
    <t>Wachraum</t>
  </si>
  <si>
    <t>235/24 - 72/65/50/9 FSR</t>
  </si>
  <si>
    <t>Garage</t>
  </si>
  <si>
    <t>OTS + Schließarm 1 flgl.</t>
  </si>
  <si>
    <t>0.16</t>
  </si>
  <si>
    <t>Asservate</t>
  </si>
  <si>
    <t>0.1</t>
  </si>
  <si>
    <t>Tankraum</t>
  </si>
  <si>
    <t>Schüco Royal S 65 N</t>
  </si>
  <si>
    <t>Flur</t>
  </si>
  <si>
    <t>Nicht prüfbar - kein Schlüssel</t>
  </si>
  <si>
    <t>Notausgang</t>
  </si>
  <si>
    <t>270/24 - 92/35/65/9 FSE</t>
  </si>
  <si>
    <t>0.11</t>
  </si>
  <si>
    <t>Bereitschaftsraum</t>
  </si>
  <si>
    <t>245/24 - 72/35/60 U</t>
  </si>
  <si>
    <t>Gang</t>
  </si>
  <si>
    <t>Hinterausgang</t>
  </si>
  <si>
    <t>0.36</t>
  </si>
  <si>
    <t>Sperrige Asservate</t>
  </si>
  <si>
    <t>0.37</t>
  </si>
  <si>
    <t>Katastrophengeräte</t>
  </si>
  <si>
    <t>effeff Zahlenfeld</t>
  </si>
  <si>
    <t>E-Öffner mit Tagesfalle</t>
  </si>
  <si>
    <t>Einziehmuttern Drücker ausgerissen</t>
  </si>
  <si>
    <t>4.OG</t>
  </si>
  <si>
    <t>Treppenhaus</t>
  </si>
  <si>
    <t>4.13</t>
  </si>
  <si>
    <t>Heizungsraum</t>
  </si>
  <si>
    <t>4.12</t>
  </si>
  <si>
    <t>Notstromgenerator</t>
  </si>
  <si>
    <t>4.1</t>
  </si>
  <si>
    <t>Sportraum</t>
  </si>
  <si>
    <t>Wirus</t>
  </si>
  <si>
    <t>235/20 - 72/65/50/9 FSR</t>
  </si>
  <si>
    <t>4.4</t>
  </si>
  <si>
    <t>Herrenumkleide 2</t>
  </si>
  <si>
    <t xml:space="preserve">3.OG	</t>
  </si>
  <si>
    <t>3.11</t>
  </si>
  <si>
    <t>Unterrichtsraum</t>
  </si>
  <si>
    <t>3.1</t>
  </si>
  <si>
    <t>Sozialraum</t>
  </si>
  <si>
    <t>2.OG</t>
  </si>
  <si>
    <t>2.1</t>
  </si>
  <si>
    <t>Alarmraum</t>
  </si>
  <si>
    <t>1.OG</t>
  </si>
  <si>
    <t>0.38</t>
  </si>
  <si>
    <t>Fahrradraum</t>
  </si>
  <si>
    <t>0.39</t>
  </si>
  <si>
    <t>Bootsraum</t>
  </si>
  <si>
    <t>1.12</t>
  </si>
  <si>
    <t>1.1</t>
  </si>
  <si>
    <t>LAN</t>
  </si>
  <si>
    <t>1.2</t>
  </si>
  <si>
    <t>Elektroverteilung</t>
  </si>
  <si>
    <t>30/92/9/24-245U</t>
  </si>
  <si>
    <t>13-</t>
  </si>
  <si>
    <t>J</t>
  </si>
  <si>
    <t>ECO TS62</t>
  </si>
  <si>
    <t>65/72/8/24-235FR</t>
  </si>
  <si>
    <t>15-</t>
  </si>
  <si>
    <t>14-</t>
  </si>
  <si>
    <t>16-</t>
  </si>
  <si>
    <t>65/72/9/24-235FR</t>
  </si>
  <si>
    <t>17-</t>
  </si>
  <si>
    <t>35/92/9/28-270F</t>
  </si>
  <si>
    <t>12-</t>
  </si>
  <si>
    <t>11-</t>
  </si>
  <si>
    <t>30/72/9/24-245U</t>
  </si>
  <si>
    <t>10-</t>
  </si>
  <si>
    <t>30/92/9/24-270Ff</t>
  </si>
  <si>
    <t>Brandschutzkonzept sollte geprüft werdeen</t>
  </si>
  <si>
    <t>9-</t>
  </si>
  <si>
    <t>Küche im Raum inklusive E-Geräte</t>
  </si>
  <si>
    <t>8-</t>
  </si>
  <si>
    <t>7-</t>
  </si>
  <si>
    <t>6-</t>
  </si>
  <si>
    <t>Fluchtwegsituation sollte geklärt werden</t>
  </si>
  <si>
    <t>5-</t>
  </si>
  <si>
    <t xml:space="preserve">Beidseitiger Stoßgriff_x000D_
Kein Panik Schloss vorhanden wenn die Tür abgeschlossen ist kommt keiner raus!_x000D_
</t>
  </si>
  <si>
    <t>4-</t>
  </si>
  <si>
    <t>3-</t>
  </si>
  <si>
    <t>2-</t>
  </si>
  <si>
    <t>1-</t>
  </si>
  <si>
    <t>35/92/9/24-270F</t>
  </si>
  <si>
    <t>18-</t>
  </si>
  <si>
    <t>19-</t>
  </si>
  <si>
    <t>20-</t>
  </si>
  <si>
    <t>22-</t>
  </si>
  <si>
    <t>65/72/9/20-235FR</t>
  </si>
  <si>
    <t>21-</t>
  </si>
  <si>
    <t>23-</t>
  </si>
  <si>
    <t>24-</t>
  </si>
  <si>
    <t>25-</t>
  </si>
  <si>
    <t>26-</t>
  </si>
  <si>
    <t>27-</t>
  </si>
  <si>
    <t>28-</t>
  </si>
  <si>
    <t>29-</t>
  </si>
  <si>
    <t>30-</t>
  </si>
  <si>
    <t>32-</t>
  </si>
  <si>
    <t>30/92/9/28-270F</t>
  </si>
  <si>
    <t>34-</t>
  </si>
  <si>
    <t>Buntbart Schloss verbaut!</t>
  </si>
  <si>
    <t>35-</t>
  </si>
  <si>
    <t>3.8</t>
  </si>
  <si>
    <t>Dienststellenleiter</t>
  </si>
  <si>
    <t>36-</t>
  </si>
  <si>
    <t>2.9</t>
  </si>
  <si>
    <t>37-</t>
  </si>
  <si>
    <t>38-</t>
  </si>
  <si>
    <t>0.29</t>
  </si>
  <si>
    <t>Hausanshluss</t>
  </si>
  <si>
    <t>39-</t>
  </si>
  <si>
    <t>0.28</t>
  </si>
  <si>
    <t>Aufzugstechnik</t>
  </si>
  <si>
    <t>Hinweis: Türspalt unten größer als 10 mm</t>
  </si>
  <si>
    <t>Hinweis: Das Brand- und Rauchschutzkonzept sollte überprüft werden.</t>
  </si>
  <si>
    <t>Hinweis: Fluchtwegsituation sollte überprüft werden</t>
  </si>
  <si>
    <t>TS GEZE 5000 mit Gleitschiene Neumontage</t>
  </si>
  <si>
    <t>Mängelbeseitigung 26-14662-AB, Position:</t>
  </si>
  <si>
    <r>
      <t>Kunde:</t>
    </r>
    <r>
      <rPr>
        <sz val="10"/>
        <rFont val="Arial"/>
        <family val="2"/>
      </rPr>
      <t xml:space="preserve"> Sprinkenhof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WSPK 3 - Am Überwinterungshafen 1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15.04.2026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Rohde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Taskan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26-14662-AB</t>
    </r>
  </si>
  <si>
    <r>
      <t>Kunde:</t>
    </r>
    <r>
      <rPr>
        <sz val="10"/>
        <rFont val="Arial"/>
        <family val="2"/>
      </rPr>
      <t xml:space="preserve"> Sprinkenhof GmbH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WSPK 3 - Am Überwinterungshafen 1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29.09.2026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Rohde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26-14885-AB</t>
    </r>
  </si>
  <si>
    <t>Angebot,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</si>
</sst>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€&quot;;[Red]\-#,##0.00\ &quot;€&quot;"/>
    <numFmt numFmtId="164" formatCode="d/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34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0" fontId="2" fillId="0" borderId="3" xfId="0" applyFont="1" applyBorder="1" applyAlignment="1">
      <alignment vertical="center" wrapText="1"/>
    </xf>
    <xf numFmtId="0" fontId="1" fillId="3" borderId="7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right" vertical="center"/>
    </xf>
    <xf numFmtId="0" fontId="1" fillId="0" borderId="7" xfId="0" applyFont="1" applyBorder="1" applyAlignment="1">
      <alignment horizontal="center" vertical="center"/>
    </xf>
    <xf numFmtId="0" fontId="0" fillId="0" borderId="7" xfId="0" applyBorder="1"/>
    <xf numFmtId="0" fontId="1" fillId="0" borderId="7" xfId="0" applyFont="1" applyBorder="1" applyAlignment="1">
      <alignment horizontal="right" vertical="center"/>
    </xf>
    <xf numFmtId="0" fontId="0" fillId="0" borderId="1" xfId="0" applyBorder="1"/>
    <xf numFmtId="0" fontId="0" fillId="0" borderId="6" xfId="0" applyBorder="1"/>
    <xf numFmtId="8" fontId="0" fillId="0" borderId="8" xfId="0" applyNumberFormat="1" applyBorder="1"/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10" xfId="0" applyFont="1" applyBorder="1" applyAlignment="1">
      <alignment horizontal="left" textRotation="90" wrapText="1"/>
    </xf>
    <xf numFmtId="0" fontId="3" fillId="2" borderId="10" xfId="0" applyFont="1" applyFill="1" applyBorder="1" applyAlignment="1">
      <alignment horizontal="left" textRotation="90" wrapText="1"/>
    </xf>
    <xf numFmtId="0" fontId="3" fillId="3" borderId="10" xfId="0" applyFont="1" applyFill="1" applyBorder="1" applyAlignment="1">
      <alignment horizontal="left" textRotation="90" wrapText="1"/>
    </xf>
    <xf numFmtId="0" fontId="3" fillId="2" borderId="12" xfId="0" applyFont="1" applyFill="1" applyBorder="1" applyAlignment="1">
      <alignment horizontal="left" textRotation="90" wrapText="1"/>
    </xf>
    <xf numFmtId="0" fontId="3" fillId="0" borderId="12" xfId="0" applyFont="1" applyBorder="1" applyAlignment="1">
      <alignment horizontal="left" textRotation="90" wrapText="1"/>
    </xf>
    <xf numFmtId="0" fontId="3" fillId="2" borderId="9" xfId="0" applyFont="1" applyFill="1" applyBorder="1" applyAlignment="1">
      <alignment horizontal="left" textRotation="90" wrapText="1"/>
    </xf>
    <xf numFmtId="0" fontId="3" fillId="0" borderId="11" xfId="0" applyFont="1" applyBorder="1" applyAlignment="1">
      <alignment horizontal="left" textRotation="90" wrapText="1"/>
    </xf>
    <xf numFmtId="0" fontId="3" fillId="3" borderId="4" xfId="0" applyFont="1" applyFill="1" applyBorder="1" applyAlignment="1">
      <alignment horizontal="left" textRotation="90" wrapText="1"/>
    </xf>
    <xf numFmtId="0" fontId="1" fillId="0" borderId="13" xfId="0" applyFont="1" applyBorder="1"/>
    <xf numFmtId="0" fontId="3" fillId="3" borderId="14" xfId="0" applyFont="1" applyFill="1" applyBorder="1" applyAlignment="1">
      <alignment horizontal="left" textRotation="90" wrapText="1"/>
    </xf>
    <xf numFmtId="0" fontId="0" fillId="5" borderId="0" xfId="0" applyFill="1"/>
    <xf numFmtId="0" fontId="1" fillId="5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left" vertical="center"/>
    </xf>
    <xf numFmtId="0" fontId="0" fillId="5" borderId="7" xfId="0" applyFill="1" applyBorder="1"/>
    <xf numFmtId="0" fontId="0" fillId="6" borderId="7" xfId="0" applyFill="1" applyBorder="1"/>
    <xf numFmtId="0" fontId="0" fillId="0" borderId="7" xfId="0" applyBorder="1" applyAlignment="1">
      <alignment vertical="center" wrapText="1"/>
    </xf>
    <xf numFmtId="8" fontId="0" fillId="7" borderId="7" xfId="0" applyNumberFormat="1" applyFill="1" applyBorder="1"/>
    <xf numFmtId="8" fontId="0" fillId="8" borderId="7" xfId="0" applyNumberFormat="1" applyFill="1" applyBorder="1"/>
    <xf numFmtId="0" fontId="0" fillId="0" borderId="15" xfId="0" applyBorder="1"/>
    <xf numFmtId="0" fontId="0" fillId="5" borderId="15" xfId="0" applyFill="1" applyBorder="1"/>
    <xf numFmtId="0" fontId="0" fillId="6" borderId="15" xfId="0" applyFill="1" applyBorder="1"/>
    <xf numFmtId="8" fontId="0" fillId="8" borderId="15" xfId="0" applyNumberFormat="1" applyFill="1" applyBorder="1"/>
    <xf numFmtId="3" fontId="0" fillId="0" borderId="7" xfId="0" applyNumberFormat="1" applyBorder="1"/>
    <xf numFmtId="0" fontId="3" fillId="0" borderId="14" xfId="0" applyFont="1" applyBorder="1" applyAlignment="1">
      <alignment horizontal="left" textRotation="90" wrapText="1"/>
    </xf>
    <xf numFmtId="164" fontId="0" fillId="0" borderId="0" xfId="0" applyNumberFormat="1"/>
    <xf numFmtId="164" fontId="0" fillId="0" borderId="7" xfId="0" applyNumberFormat="1" applyBorder="1"/>
    <xf numFmtId="8" fontId="0" fillId="0" borderId="16" xfId="0" applyNumberFormat="1" applyBorder="1"/>
    <xf numFmtId="0" fontId="1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vertical="center"/>
    </xf>
    <xf numFmtId="0" fontId="5" fillId="0" borderId="7" xfId="0" applyFont="1" applyBorder="1" applyAlignment="1">
      <alignment vertical="center" wrapText="1"/>
    </xf>
    <xf numFmtId="164" fontId="5" fillId="0" borderId="7" xfId="0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5" fillId="0" borderId="17" xfId="0" applyFont="1" applyBorder="1" applyAlignment="1">
      <alignment vertical="center"/>
    </xf>
    <xf numFmtId="0" fontId="5" fillId="0" borderId="17" xfId="0" applyFont="1" applyBorder="1" applyAlignment="1">
      <alignment vertical="center" wrapText="1"/>
    </xf>
    <xf numFmtId="164" fontId="5" fillId="0" borderId="17" xfId="0" applyNumberFormat="1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6" xfId="0" applyNumberFormat="1" applyFont="1" applyBorder="1" applyAlignment="1">
      <alignment vertical="center"/>
    </xf>
    <xf numFmtId="164" fontId="0" fillId="0" borderId="7" xfId="0" applyNumberFormat="1" applyBorder="1" applyAlignment="1">
      <alignment vertical="center"/>
    </xf>
    <xf numFmtId="0" fontId="0" fillId="5" borderId="17" xfId="0" applyFill="1" applyBorder="1"/>
    <xf numFmtId="0" fontId="0" fillId="6" borderId="17" xfId="0" applyFill="1" applyBorder="1"/>
    <xf numFmtId="0" fontId="0" fillId="0" borderId="17" xfId="0" applyBorder="1" applyAlignment="1">
      <alignment horizontal="center" vertical="center"/>
    </xf>
    <xf numFmtId="0" fontId="1" fillId="0" borderId="17" xfId="0" applyFont="1" applyBorder="1" applyAlignment="1">
      <alignment horizontal="center" vertical="center" wrapText="1"/>
    </xf>
    <xf numFmtId="49" fontId="1" fillId="0" borderId="17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 wrapText="1"/>
    </xf>
    <xf numFmtId="0" fontId="3" fillId="0" borderId="18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5" borderId="23" xfId="0" applyFill="1" applyBorder="1"/>
    <xf numFmtId="0" fontId="0" fillId="6" borderId="23" xfId="0" applyFill="1" applyBorder="1"/>
    <xf numFmtId="0" fontId="0" fillId="0" borderId="23" xfId="0" applyBorder="1"/>
    <xf numFmtId="8" fontId="0" fillId="7" borderId="23" xfId="0" applyNumberFormat="1" applyFill="1" applyBorder="1"/>
    <xf numFmtId="8" fontId="0" fillId="8" borderId="23" xfId="0" applyNumberFormat="1" applyFill="1" applyBorder="1"/>
    <xf numFmtId="0" fontId="0" fillId="0" borderId="17" xfId="0" applyBorder="1"/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9" fontId="1" fillId="0" borderId="25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4" borderId="2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9" xfId="0" applyFont="1" applyFill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2" fillId="9" borderId="16" xfId="0" applyFont="1" applyFill="1" applyBorder="1" applyAlignment="1">
      <alignment horizontal="center" vertical="center" wrapText="1"/>
    </xf>
    <xf numFmtId="0" fontId="3" fillId="10" borderId="37" xfId="0" applyFont="1" applyFill="1" applyBorder="1" applyAlignment="1">
      <alignment horizontal="center" textRotation="90" wrapText="1"/>
    </xf>
    <xf numFmtId="0" fontId="3" fillId="10" borderId="38" xfId="0" applyFont="1" applyFill="1" applyBorder="1" applyAlignment="1">
      <alignment horizontal="center" textRotation="90" wrapText="1"/>
    </xf>
    <xf numFmtId="0" fontId="3" fillId="10" borderId="39" xfId="0" applyFont="1" applyFill="1" applyBorder="1" applyAlignment="1">
      <alignment horizontal="center" textRotation="90" wrapText="1"/>
    </xf>
    <xf numFmtId="0" fontId="2" fillId="0" borderId="45" xfId="0" applyFont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 wrapText="1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44450</xdr:colOff>
          <xdr:row>1</xdr:row>
          <xdr:rowOff>69850</xdr:rowOff>
        </xdr:from>
        <xdr:to>
          <xdr:col>0</xdr:col>
          <xdr:colOff>711200</xdr:colOff>
          <xdr:row>1</xdr:row>
          <xdr:rowOff>577850</xdr:rowOff>
        </xdr:to>
        <xdr:sp macro="" textlink="">
          <xdr:nvSpPr>
            <xdr:cNvPr id="21505" name="Button 5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69850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1506" name="Button 7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755650</xdr:colOff>
          <xdr:row>1</xdr:row>
          <xdr:rowOff>603250</xdr:rowOff>
        </xdr:to>
        <xdr:sp macro="" textlink="">
          <xdr:nvSpPr>
            <xdr:cNvPr id="21507" name="Button 8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0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69850</xdr:rowOff>
        </xdr:from>
        <xdr:to>
          <xdr:col>1</xdr:col>
          <xdr:colOff>730250</xdr:colOff>
          <xdr:row>1</xdr:row>
          <xdr:rowOff>577850</xdr:rowOff>
        </xdr:to>
        <xdr:sp macro="" textlink="">
          <xdr:nvSpPr>
            <xdr:cNvPr id="21508" name="Button 9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0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69850</xdr:rowOff>
        </xdr:from>
        <xdr:to>
          <xdr:col>4</xdr:col>
          <xdr:colOff>755650</xdr:colOff>
          <xdr:row>1</xdr:row>
          <xdr:rowOff>577850</xdr:rowOff>
        </xdr:to>
        <xdr:sp macro="" textlink="">
          <xdr:nvSpPr>
            <xdr:cNvPr id="21509" name="Button 10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0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63500</xdr:rowOff>
        </xdr:from>
        <xdr:to>
          <xdr:col>0</xdr:col>
          <xdr:colOff>711200</xdr:colOff>
          <xdr:row>1</xdr:row>
          <xdr:rowOff>571500</xdr:rowOff>
        </xdr:to>
        <xdr:sp macro="" textlink="">
          <xdr:nvSpPr>
            <xdr:cNvPr id="20481" name="Button 5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69850</xdr:colOff>
          <xdr:row>1</xdr:row>
          <xdr:rowOff>63500</xdr:rowOff>
        </xdr:from>
        <xdr:to>
          <xdr:col>2</xdr:col>
          <xdr:colOff>755650</xdr:colOff>
          <xdr:row>1</xdr:row>
          <xdr:rowOff>596900</xdr:rowOff>
        </xdr:to>
        <xdr:sp macro="" textlink="">
          <xdr:nvSpPr>
            <xdr:cNvPr id="20482" name="Button 7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63500</xdr:colOff>
          <xdr:row>1</xdr:row>
          <xdr:rowOff>63500</xdr:rowOff>
        </xdr:from>
        <xdr:to>
          <xdr:col>3</xdr:col>
          <xdr:colOff>755650</xdr:colOff>
          <xdr:row>1</xdr:row>
          <xdr:rowOff>596900</xdr:rowOff>
        </xdr:to>
        <xdr:sp macro="" textlink="">
          <xdr:nvSpPr>
            <xdr:cNvPr id="20483" name="Button 8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</xdr:row>
          <xdr:rowOff>69850</xdr:rowOff>
        </xdr:from>
        <xdr:to>
          <xdr:col>1</xdr:col>
          <xdr:colOff>723900</xdr:colOff>
          <xdr:row>1</xdr:row>
          <xdr:rowOff>571500</xdr:rowOff>
        </xdr:to>
        <xdr:sp macro="" textlink="">
          <xdr:nvSpPr>
            <xdr:cNvPr id="20484" name="Button 9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63500</xdr:colOff>
          <xdr:row>1</xdr:row>
          <xdr:rowOff>69850</xdr:rowOff>
        </xdr:from>
        <xdr:to>
          <xdr:col>4</xdr:col>
          <xdr:colOff>755650</xdr:colOff>
          <xdr:row>1</xdr:row>
          <xdr:rowOff>571500</xdr:rowOff>
        </xdr:to>
        <xdr:sp macro="" textlink="">
          <xdr:nvSpPr>
            <xdr:cNvPr id="20485" name="Button 10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E4A2E-D7F4-43A6-B256-61223F56B5AB}">
  <sheetPr codeName="Tabelle10">
    <pageSetUpPr fitToPage="1"/>
  </sheetPr>
  <dimension ref="A1:FY43"/>
  <sheetViews>
    <sheetView tabSelected="1" zoomScale="70" zoomScaleNormal="70" workbookViewId="0">
      <pane ySplit="3" topLeftCell="A4" activePane="bottomLeft" state="frozen"/>
      <selection pane="bottomLeft" activeCell="K1" sqref="K1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36328125" customWidth="1"/>
    <col min="12" max="12" width="13.3632812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36328125" customWidth="1"/>
    <col min="28" max="28" width="5.81640625" customWidth="1"/>
    <col min="29" max="29" width="52.36328125" customWidth="1"/>
  </cols>
  <sheetData>
    <row r="1" spans="1:29" ht="18.75" customHeight="1" thickBot="1" x14ac:dyDescent="0.4">
      <c r="A1" s="6" t="s">
        <v>442</v>
      </c>
      <c r="B1" s="7"/>
      <c r="C1" s="8"/>
      <c r="D1" s="8"/>
      <c r="E1" s="8"/>
      <c r="F1" s="8"/>
      <c r="G1" s="20"/>
      <c r="H1" s="20"/>
      <c r="I1" s="20"/>
      <c r="J1" s="7"/>
      <c r="K1" s="20"/>
      <c r="L1" s="20"/>
      <c r="M1" s="20"/>
      <c r="N1" s="20"/>
      <c r="O1" s="20"/>
      <c r="P1" s="20"/>
      <c r="Q1" s="20"/>
      <c r="R1" s="21"/>
      <c r="S1" s="127" t="s">
        <v>443</v>
      </c>
      <c r="T1" s="128"/>
      <c r="U1" s="128"/>
      <c r="V1" s="128"/>
      <c r="W1" s="128"/>
      <c r="X1" s="128"/>
      <c r="Y1" s="128"/>
      <c r="Z1" s="128"/>
      <c r="AA1" s="129"/>
      <c r="AB1" s="122">
        <v>1</v>
      </c>
      <c r="AC1" s="30"/>
    </row>
    <row r="2" spans="1:29" ht="52.5" customHeight="1" thickBot="1" x14ac:dyDescent="0.4">
      <c r="A2" s="9"/>
      <c r="B2" s="10"/>
      <c r="C2" s="8"/>
      <c r="D2" s="20"/>
      <c r="E2" s="21"/>
      <c r="F2" s="130" t="s">
        <v>26</v>
      </c>
      <c r="G2" s="131"/>
      <c r="H2" s="131"/>
      <c r="I2" s="131"/>
      <c r="J2" s="132"/>
      <c r="K2" s="130" t="s">
        <v>25</v>
      </c>
      <c r="L2" s="131"/>
      <c r="M2" s="131"/>
      <c r="N2" s="131"/>
      <c r="O2" s="131"/>
      <c r="P2" s="131"/>
      <c r="Q2" s="131"/>
      <c r="R2" s="131"/>
      <c r="S2" s="130" t="s">
        <v>24</v>
      </c>
      <c r="T2" s="131"/>
      <c r="U2" s="131"/>
      <c r="V2" s="131"/>
      <c r="W2" s="131"/>
      <c r="X2" s="131"/>
      <c r="Y2" s="131"/>
      <c r="Z2" s="132"/>
      <c r="AA2" s="11" t="s">
        <v>23</v>
      </c>
      <c r="AB2" s="126"/>
      <c r="AC2" s="1" t="s">
        <v>41</v>
      </c>
    </row>
    <row r="3" spans="1:29" ht="201.75" customHeight="1" thickBot="1" x14ac:dyDescent="0.4">
      <c r="A3" s="45" t="s">
        <v>22</v>
      </c>
      <c r="B3" s="22" t="s">
        <v>21</v>
      </c>
      <c r="C3" s="22" t="s">
        <v>20</v>
      </c>
      <c r="D3" s="22" t="s">
        <v>19</v>
      </c>
      <c r="E3" s="27" t="s">
        <v>18</v>
      </c>
      <c r="F3" s="25" t="s">
        <v>27</v>
      </c>
      <c r="G3" s="23" t="s">
        <v>17</v>
      </c>
      <c r="H3" s="23" t="s">
        <v>160</v>
      </c>
      <c r="I3" s="23" t="s">
        <v>16</v>
      </c>
      <c r="J3" s="27" t="s">
        <v>15</v>
      </c>
      <c r="K3" s="26" t="s">
        <v>28</v>
      </c>
      <c r="L3" s="22" t="s">
        <v>29</v>
      </c>
      <c r="M3" s="22" t="s">
        <v>42</v>
      </c>
      <c r="N3" s="22" t="s">
        <v>14</v>
      </c>
      <c r="O3" s="22" t="s">
        <v>13</v>
      </c>
      <c r="P3" s="22" t="s">
        <v>12</v>
      </c>
      <c r="Q3" s="22" t="s">
        <v>11</v>
      </c>
      <c r="R3" s="28" t="s">
        <v>10</v>
      </c>
      <c r="S3" s="31" t="s">
        <v>9</v>
      </c>
      <c r="T3" s="22" t="s">
        <v>8</v>
      </c>
      <c r="U3" s="24" t="s">
        <v>7</v>
      </c>
      <c r="V3" s="22" t="s">
        <v>6</v>
      </c>
      <c r="W3" s="24" t="s">
        <v>5</v>
      </c>
      <c r="X3" s="22" t="s">
        <v>4</v>
      </c>
      <c r="Y3" s="24" t="s">
        <v>3</v>
      </c>
      <c r="Z3" s="28" t="s">
        <v>2</v>
      </c>
      <c r="AA3" s="29" t="s">
        <v>1</v>
      </c>
      <c r="AB3" s="123"/>
      <c r="AC3" s="69"/>
    </row>
    <row r="4" spans="1:29" s="2" customFormat="1" ht="24.75" customHeight="1" x14ac:dyDescent="0.3">
      <c r="A4" s="88">
        <v>1</v>
      </c>
      <c r="B4" s="89" t="s">
        <v>404</v>
      </c>
      <c r="C4" s="81" t="s">
        <v>313</v>
      </c>
      <c r="D4" s="90" t="s">
        <v>325</v>
      </c>
      <c r="E4" s="83" t="s">
        <v>326</v>
      </c>
      <c r="F4" s="98" t="s">
        <v>252</v>
      </c>
      <c r="G4" s="81">
        <v>1</v>
      </c>
      <c r="H4" s="80" t="s">
        <v>101</v>
      </c>
      <c r="I4" s="81" t="s">
        <v>99</v>
      </c>
      <c r="J4" s="99" t="s">
        <v>155</v>
      </c>
      <c r="K4" s="95" t="s">
        <v>176</v>
      </c>
      <c r="L4" s="80" t="s">
        <v>100</v>
      </c>
      <c r="M4" s="81" t="s">
        <v>384</v>
      </c>
      <c r="N4" s="82" t="s">
        <v>316</v>
      </c>
      <c r="O4" s="81"/>
      <c r="P4" s="82"/>
      <c r="Q4" s="81" t="s">
        <v>100</v>
      </c>
      <c r="R4" s="83" t="s">
        <v>100</v>
      </c>
      <c r="S4" s="104"/>
      <c r="T4" s="81"/>
      <c r="U4" s="82"/>
      <c r="V4" s="81" t="s">
        <v>316</v>
      </c>
      <c r="W4" s="82" t="s">
        <v>124</v>
      </c>
      <c r="X4" s="81" t="s">
        <v>100</v>
      </c>
      <c r="Y4" s="82"/>
      <c r="Z4" s="105"/>
      <c r="AA4" s="114"/>
      <c r="AB4" s="79"/>
      <c r="AC4" s="110"/>
    </row>
    <row r="5" spans="1:29" s="2" customFormat="1" ht="24.75" customHeight="1" x14ac:dyDescent="0.3">
      <c r="A5" s="91">
        <v>2</v>
      </c>
      <c r="B5" s="64" t="s">
        <v>403</v>
      </c>
      <c r="C5" s="65" t="s">
        <v>313</v>
      </c>
      <c r="D5" s="66" t="s">
        <v>327</v>
      </c>
      <c r="E5" s="70" t="s">
        <v>328</v>
      </c>
      <c r="F5" s="100" t="s">
        <v>253</v>
      </c>
      <c r="G5" s="65">
        <v>1</v>
      </c>
      <c r="H5" s="67" t="s">
        <v>101</v>
      </c>
      <c r="I5" s="65" t="s">
        <v>108</v>
      </c>
      <c r="J5" s="101" t="s">
        <v>44</v>
      </c>
      <c r="K5" s="96" t="s">
        <v>175</v>
      </c>
      <c r="L5" s="67" t="s">
        <v>100</v>
      </c>
      <c r="M5" s="65" t="s">
        <v>384</v>
      </c>
      <c r="N5" s="68" t="s">
        <v>316</v>
      </c>
      <c r="O5" s="65"/>
      <c r="P5" s="68"/>
      <c r="Q5" s="65" t="s">
        <v>100</v>
      </c>
      <c r="R5" s="70" t="s">
        <v>100</v>
      </c>
      <c r="S5" s="106"/>
      <c r="T5" s="65"/>
      <c r="U5" s="68"/>
      <c r="V5" s="65" t="s">
        <v>316</v>
      </c>
      <c r="W5" s="68" t="s">
        <v>124</v>
      </c>
      <c r="X5" s="65" t="s">
        <v>100</v>
      </c>
      <c r="Y5" s="68"/>
      <c r="Z5" s="107"/>
      <c r="AA5" s="115"/>
      <c r="AB5" s="117"/>
      <c r="AC5" s="111"/>
    </row>
    <row r="6" spans="1:29" s="2" customFormat="1" ht="24.75" customHeight="1" x14ac:dyDescent="0.3">
      <c r="A6" s="91">
        <v>3</v>
      </c>
      <c r="B6" s="64" t="s">
        <v>402</v>
      </c>
      <c r="C6" s="65" t="s">
        <v>313</v>
      </c>
      <c r="D6" s="66" t="s">
        <v>314</v>
      </c>
      <c r="E6" s="70" t="s">
        <v>323</v>
      </c>
      <c r="F6" s="100" t="s">
        <v>253</v>
      </c>
      <c r="G6" s="65">
        <v>1</v>
      </c>
      <c r="H6" s="67" t="s">
        <v>103</v>
      </c>
      <c r="I6" s="65" t="s">
        <v>108</v>
      </c>
      <c r="J6" s="101" t="s">
        <v>155</v>
      </c>
      <c r="K6" s="96" t="s">
        <v>175</v>
      </c>
      <c r="L6" s="67" t="s">
        <v>100</v>
      </c>
      <c r="M6" s="65" t="s">
        <v>384</v>
      </c>
      <c r="N6" s="68" t="s">
        <v>316</v>
      </c>
      <c r="O6" s="65"/>
      <c r="P6" s="68"/>
      <c r="Q6" s="65" t="s">
        <v>137</v>
      </c>
      <c r="R6" s="70" t="s">
        <v>343</v>
      </c>
      <c r="S6" s="106"/>
      <c r="T6" s="65"/>
      <c r="U6" s="68"/>
      <c r="V6" s="65" t="s">
        <v>316</v>
      </c>
      <c r="W6" s="68" t="s">
        <v>124</v>
      </c>
      <c r="X6" s="65" t="s">
        <v>100</v>
      </c>
      <c r="Y6" s="68"/>
      <c r="Z6" s="107"/>
      <c r="AA6" s="115"/>
      <c r="AB6" s="117"/>
      <c r="AC6" s="111"/>
    </row>
    <row r="7" spans="1:29" s="2" customFormat="1" ht="24.75" customHeight="1" x14ac:dyDescent="0.3">
      <c r="A7" s="91">
        <v>4</v>
      </c>
      <c r="B7" s="64" t="s">
        <v>401</v>
      </c>
      <c r="C7" s="65" t="s">
        <v>313</v>
      </c>
      <c r="D7" s="66" t="s">
        <v>314</v>
      </c>
      <c r="E7" s="70" t="s">
        <v>320</v>
      </c>
      <c r="F7" s="100" t="s">
        <v>252</v>
      </c>
      <c r="G7" s="65">
        <v>1</v>
      </c>
      <c r="H7" s="67" t="s">
        <v>159</v>
      </c>
      <c r="I7" s="65" t="s">
        <v>98</v>
      </c>
      <c r="J7" s="101" t="s">
        <v>155</v>
      </c>
      <c r="K7" s="96" t="s">
        <v>178</v>
      </c>
      <c r="L7" s="67" t="s">
        <v>100</v>
      </c>
      <c r="M7" s="65" t="s">
        <v>311</v>
      </c>
      <c r="N7" s="68"/>
      <c r="O7" s="65" t="s">
        <v>316</v>
      </c>
      <c r="P7" s="68" t="s">
        <v>316</v>
      </c>
      <c r="Q7" s="65" t="s">
        <v>137</v>
      </c>
      <c r="R7" s="70" t="s">
        <v>100</v>
      </c>
      <c r="S7" s="106" t="s">
        <v>316</v>
      </c>
      <c r="T7" s="65" t="s">
        <v>316</v>
      </c>
      <c r="U7" s="68" t="s">
        <v>316</v>
      </c>
      <c r="V7" s="65"/>
      <c r="W7" s="68" t="s">
        <v>126</v>
      </c>
      <c r="X7" s="65" t="s">
        <v>100</v>
      </c>
      <c r="Y7" s="68" t="s">
        <v>316</v>
      </c>
      <c r="Z7" s="107"/>
      <c r="AA7" s="115"/>
      <c r="AB7" s="117"/>
      <c r="AC7" s="111" t="s">
        <v>318</v>
      </c>
    </row>
    <row r="8" spans="1:29" s="2" customFormat="1" ht="24.75" customHeight="1" x14ac:dyDescent="0.3">
      <c r="A8" s="91">
        <v>5</v>
      </c>
      <c r="B8" s="64" t="s">
        <v>399</v>
      </c>
      <c r="C8" s="65" t="s">
        <v>313</v>
      </c>
      <c r="D8" s="66" t="s">
        <v>314</v>
      </c>
      <c r="E8" s="70" t="s">
        <v>315</v>
      </c>
      <c r="F8" s="100" t="s">
        <v>252</v>
      </c>
      <c r="G8" s="65">
        <v>1</v>
      </c>
      <c r="H8" s="67" t="s">
        <v>159</v>
      </c>
      <c r="I8" s="65" t="s">
        <v>98</v>
      </c>
      <c r="J8" s="101" t="s">
        <v>155</v>
      </c>
      <c r="K8" s="96" t="s">
        <v>163</v>
      </c>
      <c r="L8" s="67" t="s">
        <v>100</v>
      </c>
      <c r="M8" s="65" t="s">
        <v>311</v>
      </c>
      <c r="N8" s="68"/>
      <c r="O8" s="65" t="s">
        <v>316</v>
      </c>
      <c r="P8" s="68"/>
      <c r="Q8" s="65" t="s">
        <v>137</v>
      </c>
      <c r="R8" s="70" t="s">
        <v>100</v>
      </c>
      <c r="S8" s="106" t="s">
        <v>316</v>
      </c>
      <c r="T8" s="65" t="s">
        <v>316</v>
      </c>
      <c r="U8" s="68"/>
      <c r="V8" s="65" t="s">
        <v>316</v>
      </c>
      <c r="W8" s="68" t="s">
        <v>126</v>
      </c>
      <c r="X8" s="65" t="s">
        <v>100</v>
      </c>
      <c r="Y8" s="68"/>
      <c r="Z8" s="107"/>
      <c r="AA8" s="115"/>
      <c r="AB8" s="117"/>
      <c r="AC8" s="111" t="s">
        <v>400</v>
      </c>
    </row>
    <row r="9" spans="1:29" s="2" customFormat="1" ht="24.75" customHeight="1" thickBot="1" x14ac:dyDescent="0.35">
      <c r="A9" s="92">
        <v>6</v>
      </c>
      <c r="B9" s="93" t="s">
        <v>397</v>
      </c>
      <c r="C9" s="85" t="s">
        <v>313</v>
      </c>
      <c r="D9" s="94" t="s">
        <v>314</v>
      </c>
      <c r="E9" s="87" t="s">
        <v>321</v>
      </c>
      <c r="F9" s="102" t="s">
        <v>252</v>
      </c>
      <c r="G9" s="85">
        <v>1</v>
      </c>
      <c r="H9" s="84" t="s">
        <v>159</v>
      </c>
      <c r="I9" s="85" t="s">
        <v>98</v>
      </c>
      <c r="J9" s="103" t="s">
        <v>155</v>
      </c>
      <c r="K9" s="97" t="s">
        <v>176</v>
      </c>
      <c r="L9" s="84" t="s">
        <v>100</v>
      </c>
      <c r="M9" s="85" t="s">
        <v>376</v>
      </c>
      <c r="N9" s="86" t="s">
        <v>316</v>
      </c>
      <c r="O9" s="85"/>
      <c r="P9" s="86" t="s">
        <v>316</v>
      </c>
      <c r="Q9" s="85" t="s">
        <v>100</v>
      </c>
      <c r="R9" s="87" t="s">
        <v>100</v>
      </c>
      <c r="S9" s="108"/>
      <c r="T9" s="85"/>
      <c r="U9" s="86" t="s">
        <v>316</v>
      </c>
      <c r="V9" s="85"/>
      <c r="W9" s="86" t="s">
        <v>125</v>
      </c>
      <c r="X9" s="85" t="s">
        <v>100</v>
      </c>
      <c r="Y9" s="86"/>
      <c r="Z9" s="109"/>
      <c r="AA9" s="116"/>
      <c r="AB9" s="119"/>
      <c r="AC9" s="112"/>
    </row>
    <row r="10" spans="1:29" s="2" customFormat="1" ht="24.75" customHeight="1" x14ac:dyDescent="0.3">
      <c r="A10" s="88">
        <v>7</v>
      </c>
      <c r="B10" s="89" t="s">
        <v>396</v>
      </c>
      <c r="C10" s="81" t="s">
        <v>313</v>
      </c>
      <c r="D10" s="90" t="s">
        <v>314</v>
      </c>
      <c r="E10" s="83" t="s">
        <v>330</v>
      </c>
      <c r="F10" s="98" t="s">
        <v>257</v>
      </c>
      <c r="G10" s="81">
        <v>1</v>
      </c>
      <c r="H10" s="80" t="s">
        <v>159</v>
      </c>
      <c r="I10" s="81" t="s">
        <v>329</v>
      </c>
      <c r="J10" s="99" t="s">
        <v>156</v>
      </c>
      <c r="K10" s="95" t="s">
        <v>176</v>
      </c>
      <c r="L10" s="80" t="s">
        <v>100</v>
      </c>
      <c r="M10" s="81" t="s">
        <v>391</v>
      </c>
      <c r="N10" s="82" t="s">
        <v>316</v>
      </c>
      <c r="O10" s="81"/>
      <c r="P10" s="82" t="s">
        <v>316</v>
      </c>
      <c r="Q10" s="81" t="s">
        <v>137</v>
      </c>
      <c r="R10" s="83" t="s">
        <v>343</v>
      </c>
      <c r="S10" s="104"/>
      <c r="T10" s="81"/>
      <c r="U10" s="82" t="s">
        <v>316</v>
      </c>
      <c r="V10" s="81"/>
      <c r="W10" s="82" t="s">
        <v>124</v>
      </c>
      <c r="X10" s="81" t="s">
        <v>100</v>
      </c>
      <c r="Y10" s="82"/>
      <c r="Z10" s="105"/>
      <c r="AA10" s="114"/>
      <c r="AB10" s="79"/>
      <c r="AC10" s="110"/>
    </row>
    <row r="11" spans="1:29" s="2" customFormat="1" ht="24.75" customHeight="1" x14ac:dyDescent="0.3">
      <c r="A11" s="91">
        <v>8</v>
      </c>
      <c r="B11" s="64" t="s">
        <v>395</v>
      </c>
      <c r="C11" s="65" t="s">
        <v>313</v>
      </c>
      <c r="D11" s="66" t="s">
        <v>314</v>
      </c>
      <c r="E11" s="70" t="s">
        <v>330</v>
      </c>
      <c r="F11" s="100" t="s">
        <v>257</v>
      </c>
      <c r="G11" s="65">
        <v>1</v>
      </c>
      <c r="H11" s="67" t="s">
        <v>159</v>
      </c>
      <c r="I11" s="65" t="s">
        <v>329</v>
      </c>
      <c r="J11" s="101" t="s">
        <v>156</v>
      </c>
      <c r="K11" s="96" t="s">
        <v>176</v>
      </c>
      <c r="L11" s="67" t="s">
        <v>100</v>
      </c>
      <c r="M11" s="65" t="s">
        <v>391</v>
      </c>
      <c r="N11" s="68" t="s">
        <v>316</v>
      </c>
      <c r="O11" s="65"/>
      <c r="P11" s="68" t="s">
        <v>316</v>
      </c>
      <c r="Q11" s="65" t="s">
        <v>100</v>
      </c>
      <c r="R11" s="70" t="s">
        <v>100</v>
      </c>
      <c r="S11" s="106" t="s">
        <v>316</v>
      </c>
      <c r="T11" s="65" t="s">
        <v>316</v>
      </c>
      <c r="U11" s="68" t="s">
        <v>316</v>
      </c>
      <c r="V11" s="65"/>
      <c r="W11" s="68" t="s">
        <v>124</v>
      </c>
      <c r="X11" s="65" t="s">
        <v>100</v>
      </c>
      <c r="Y11" s="68" t="s">
        <v>316</v>
      </c>
      <c r="Z11" s="107"/>
      <c r="AA11" s="115"/>
      <c r="AB11" s="117"/>
      <c r="AC11" s="111"/>
    </row>
    <row r="12" spans="1:29" s="2" customFormat="1" ht="24.75" customHeight="1" x14ac:dyDescent="0.3">
      <c r="A12" s="91">
        <v>9</v>
      </c>
      <c r="B12" s="64" t="s">
        <v>393</v>
      </c>
      <c r="C12" s="65" t="s">
        <v>313</v>
      </c>
      <c r="D12" s="66" t="s">
        <v>334</v>
      </c>
      <c r="E12" s="70" t="s">
        <v>335</v>
      </c>
      <c r="F12" s="100" t="s">
        <v>252</v>
      </c>
      <c r="G12" s="65">
        <v>1</v>
      </c>
      <c r="H12" s="67" t="s">
        <v>159</v>
      </c>
      <c r="I12" s="65" t="s">
        <v>98</v>
      </c>
      <c r="J12" s="101" t="s">
        <v>156</v>
      </c>
      <c r="K12" s="96" t="s">
        <v>175</v>
      </c>
      <c r="L12" s="67" t="s">
        <v>100</v>
      </c>
      <c r="M12" s="65" t="s">
        <v>391</v>
      </c>
      <c r="N12" s="68" t="s">
        <v>316</v>
      </c>
      <c r="O12" s="65"/>
      <c r="P12" s="68" t="s">
        <v>316</v>
      </c>
      <c r="Q12" s="65" t="s">
        <v>100</v>
      </c>
      <c r="R12" s="70" t="s">
        <v>100</v>
      </c>
      <c r="S12" s="106"/>
      <c r="T12" s="65"/>
      <c r="U12" s="68"/>
      <c r="V12" s="65" t="s">
        <v>316</v>
      </c>
      <c r="W12" s="68" t="s">
        <v>124</v>
      </c>
      <c r="X12" s="65" t="s">
        <v>100</v>
      </c>
      <c r="Y12" s="68"/>
      <c r="Z12" s="107"/>
      <c r="AA12" s="115"/>
      <c r="AB12" s="117"/>
      <c r="AC12" s="111" t="s">
        <v>394</v>
      </c>
    </row>
    <row r="13" spans="1:29" s="2" customFormat="1" ht="24.75" customHeight="1" x14ac:dyDescent="0.3">
      <c r="A13" s="91">
        <v>10</v>
      </c>
      <c r="B13" s="64" t="s">
        <v>390</v>
      </c>
      <c r="C13" s="65" t="s">
        <v>313</v>
      </c>
      <c r="D13" s="66" t="s">
        <v>314</v>
      </c>
      <c r="E13" s="70" t="s">
        <v>337</v>
      </c>
      <c r="F13" s="100" t="s">
        <v>252</v>
      </c>
      <c r="G13" s="65">
        <v>1</v>
      </c>
      <c r="H13" s="67" t="s">
        <v>159</v>
      </c>
      <c r="I13" s="65" t="s">
        <v>98</v>
      </c>
      <c r="J13" s="101" t="s">
        <v>156</v>
      </c>
      <c r="K13" s="96" t="s">
        <v>379</v>
      </c>
      <c r="L13" s="67" t="s">
        <v>100</v>
      </c>
      <c r="M13" s="65" t="s">
        <v>389</v>
      </c>
      <c r="N13" s="68" t="s">
        <v>316</v>
      </c>
      <c r="O13" s="65"/>
      <c r="P13" s="68" t="s">
        <v>316</v>
      </c>
      <c r="Q13" s="65" t="s">
        <v>100</v>
      </c>
      <c r="R13" s="70" t="s">
        <v>100</v>
      </c>
      <c r="S13" s="106"/>
      <c r="T13" s="65" t="s">
        <v>316</v>
      </c>
      <c r="U13" s="68" t="s">
        <v>316</v>
      </c>
      <c r="V13" s="65"/>
      <c r="W13" s="68" t="s">
        <v>124</v>
      </c>
      <c r="X13" s="65" t="s">
        <v>100</v>
      </c>
      <c r="Y13" s="68" t="s">
        <v>316</v>
      </c>
      <c r="Z13" s="107"/>
      <c r="AA13" s="115"/>
      <c r="AB13" s="117"/>
      <c r="AC13" s="111"/>
    </row>
    <row r="14" spans="1:29" s="2" customFormat="1" ht="24.75" customHeight="1" x14ac:dyDescent="0.3">
      <c r="A14" s="91">
        <v>11</v>
      </c>
      <c r="B14" s="64" t="s">
        <v>388</v>
      </c>
      <c r="C14" s="65" t="s">
        <v>313</v>
      </c>
      <c r="D14" s="66" t="s">
        <v>314</v>
      </c>
      <c r="E14" s="70" t="s">
        <v>338</v>
      </c>
      <c r="F14" s="100" t="s">
        <v>252</v>
      </c>
      <c r="G14" s="65">
        <v>1</v>
      </c>
      <c r="H14" s="67" t="s">
        <v>159</v>
      </c>
      <c r="I14" s="65" t="s">
        <v>98</v>
      </c>
      <c r="J14" s="101" t="s">
        <v>156</v>
      </c>
      <c r="K14" s="96" t="s">
        <v>176</v>
      </c>
      <c r="L14" s="67" t="s">
        <v>100</v>
      </c>
      <c r="M14" s="65" t="s">
        <v>376</v>
      </c>
      <c r="N14" s="68"/>
      <c r="O14" s="65" t="s">
        <v>316</v>
      </c>
      <c r="P14" s="68"/>
      <c r="Q14" s="65" t="s">
        <v>100</v>
      </c>
      <c r="R14" s="70" t="s">
        <v>343</v>
      </c>
      <c r="S14" s="106" t="s">
        <v>316</v>
      </c>
      <c r="T14" s="65" t="s">
        <v>316</v>
      </c>
      <c r="U14" s="68"/>
      <c r="V14" s="65" t="s">
        <v>316</v>
      </c>
      <c r="W14" s="68" t="s">
        <v>125</v>
      </c>
      <c r="X14" s="65" t="s">
        <v>51</v>
      </c>
      <c r="Y14" s="68" t="s">
        <v>316</v>
      </c>
      <c r="Z14" s="107"/>
      <c r="AA14" s="115"/>
      <c r="AB14" s="117"/>
      <c r="AC14" s="111"/>
    </row>
    <row r="15" spans="1:29" s="2" customFormat="1" ht="24.75" customHeight="1" thickBot="1" x14ac:dyDescent="0.35">
      <c r="A15" s="92">
        <v>12</v>
      </c>
      <c r="B15" s="93" t="s">
        <v>387</v>
      </c>
      <c r="C15" s="85" t="s">
        <v>313</v>
      </c>
      <c r="D15" s="94" t="s">
        <v>314</v>
      </c>
      <c r="E15" s="87" t="s">
        <v>330</v>
      </c>
      <c r="F15" s="102" t="s">
        <v>252</v>
      </c>
      <c r="G15" s="85">
        <v>1</v>
      </c>
      <c r="H15" s="84" t="s">
        <v>159</v>
      </c>
      <c r="I15" s="85" t="s">
        <v>98</v>
      </c>
      <c r="J15" s="103" t="s">
        <v>156</v>
      </c>
      <c r="K15" s="97" t="s">
        <v>176</v>
      </c>
      <c r="L15" s="84" t="s">
        <v>100</v>
      </c>
      <c r="M15" s="85" t="s">
        <v>386</v>
      </c>
      <c r="N15" s="86"/>
      <c r="O15" s="85" t="s">
        <v>316</v>
      </c>
      <c r="P15" s="86" t="s">
        <v>316</v>
      </c>
      <c r="Q15" s="85" t="s">
        <v>100</v>
      </c>
      <c r="R15" s="87" t="s">
        <v>100</v>
      </c>
      <c r="S15" s="108" t="s">
        <v>316</v>
      </c>
      <c r="T15" s="85" t="s">
        <v>316</v>
      </c>
      <c r="U15" s="86" t="s">
        <v>316</v>
      </c>
      <c r="V15" s="85"/>
      <c r="W15" s="86" t="s">
        <v>124</v>
      </c>
      <c r="X15" s="85" t="s">
        <v>100</v>
      </c>
      <c r="Y15" s="86" t="s">
        <v>316</v>
      </c>
      <c r="Z15" s="109"/>
      <c r="AA15" s="116"/>
      <c r="AB15" s="119"/>
      <c r="AC15" s="112"/>
    </row>
    <row r="16" spans="1:29" s="2" customFormat="1" ht="24.75" customHeight="1" x14ac:dyDescent="0.3">
      <c r="A16" s="88">
        <v>13</v>
      </c>
      <c r="B16" s="89" t="s">
        <v>377</v>
      </c>
      <c r="C16" s="81" t="s">
        <v>313</v>
      </c>
      <c r="D16" s="90" t="s">
        <v>314</v>
      </c>
      <c r="E16" s="83" t="s">
        <v>332</v>
      </c>
      <c r="F16" s="98" t="s">
        <v>252</v>
      </c>
      <c r="G16" s="81">
        <v>1</v>
      </c>
      <c r="H16" s="80" t="s">
        <v>159</v>
      </c>
      <c r="I16" s="81" t="s">
        <v>98</v>
      </c>
      <c r="J16" s="99" t="s">
        <v>110</v>
      </c>
      <c r="K16" s="95" t="s">
        <v>176</v>
      </c>
      <c r="L16" s="80" t="s">
        <v>100</v>
      </c>
      <c r="M16" s="81" t="s">
        <v>376</v>
      </c>
      <c r="N16" s="82"/>
      <c r="O16" s="81" t="s">
        <v>316</v>
      </c>
      <c r="P16" s="82"/>
      <c r="Q16" s="81" t="s">
        <v>100</v>
      </c>
      <c r="R16" s="83" t="s">
        <v>343</v>
      </c>
      <c r="S16" s="104" t="s">
        <v>316</v>
      </c>
      <c r="T16" s="81" t="s">
        <v>316</v>
      </c>
      <c r="U16" s="82"/>
      <c r="V16" s="81" t="s">
        <v>316</v>
      </c>
      <c r="W16" s="82" t="s">
        <v>125</v>
      </c>
      <c r="X16" s="81" t="s">
        <v>51</v>
      </c>
      <c r="Y16" s="82" t="s">
        <v>316</v>
      </c>
      <c r="Z16" s="105"/>
      <c r="AA16" s="114"/>
      <c r="AB16" s="79"/>
      <c r="AC16" s="110"/>
    </row>
    <row r="17" spans="1:29" s="2" customFormat="1" ht="24.75" customHeight="1" x14ac:dyDescent="0.3">
      <c r="A17" s="91">
        <v>14</v>
      </c>
      <c r="B17" s="64" t="s">
        <v>382</v>
      </c>
      <c r="C17" s="65" t="s">
        <v>313</v>
      </c>
      <c r="D17" s="66" t="s">
        <v>339</v>
      </c>
      <c r="E17" s="70" t="s">
        <v>340</v>
      </c>
      <c r="F17" s="100" t="s">
        <v>252</v>
      </c>
      <c r="G17" s="65">
        <v>1</v>
      </c>
      <c r="H17" s="67" t="s">
        <v>101</v>
      </c>
      <c r="I17" s="65" t="s">
        <v>99</v>
      </c>
      <c r="J17" s="101" t="s">
        <v>156</v>
      </c>
      <c r="K17" s="96" t="s">
        <v>379</v>
      </c>
      <c r="L17" s="67" t="s">
        <v>100</v>
      </c>
      <c r="M17" s="65" t="s">
        <v>380</v>
      </c>
      <c r="N17" s="68" t="s">
        <v>316</v>
      </c>
      <c r="O17" s="65"/>
      <c r="P17" s="68"/>
      <c r="Q17" s="65" t="s">
        <v>100</v>
      </c>
      <c r="R17" s="70" t="s">
        <v>100</v>
      </c>
      <c r="S17" s="106"/>
      <c r="T17" s="65"/>
      <c r="U17" s="68"/>
      <c r="V17" s="65" t="s">
        <v>316</v>
      </c>
      <c r="W17" s="68" t="s">
        <v>124</v>
      </c>
      <c r="X17" s="65" t="s">
        <v>100</v>
      </c>
      <c r="Y17" s="68"/>
      <c r="Z17" s="107"/>
      <c r="AA17" s="115"/>
      <c r="AB17" s="117"/>
      <c r="AC17" s="111"/>
    </row>
    <row r="18" spans="1:29" s="2" customFormat="1" ht="24.75" customHeight="1" x14ac:dyDescent="0.3">
      <c r="A18" s="91">
        <v>15</v>
      </c>
      <c r="B18" s="64" t="s">
        <v>381</v>
      </c>
      <c r="C18" s="65" t="s">
        <v>313</v>
      </c>
      <c r="D18" s="66" t="s">
        <v>341</v>
      </c>
      <c r="E18" s="70" t="s">
        <v>342</v>
      </c>
      <c r="F18" s="100" t="s">
        <v>252</v>
      </c>
      <c r="G18" s="65">
        <v>1</v>
      </c>
      <c r="H18" s="67" t="s">
        <v>101</v>
      </c>
      <c r="I18" s="65" t="s">
        <v>99</v>
      </c>
      <c r="J18" s="101" t="s">
        <v>156</v>
      </c>
      <c r="K18" s="96" t="s">
        <v>379</v>
      </c>
      <c r="L18" s="67" t="s">
        <v>100</v>
      </c>
      <c r="M18" s="65" t="s">
        <v>380</v>
      </c>
      <c r="N18" s="68" t="s">
        <v>316</v>
      </c>
      <c r="O18" s="65"/>
      <c r="P18" s="68"/>
      <c r="Q18" s="65" t="s">
        <v>100</v>
      </c>
      <c r="R18" s="70" t="s">
        <v>100</v>
      </c>
      <c r="S18" s="106"/>
      <c r="T18" s="65"/>
      <c r="U18" s="68"/>
      <c r="V18" s="65" t="s">
        <v>316</v>
      </c>
      <c r="W18" s="68" t="s">
        <v>124</v>
      </c>
      <c r="X18" s="65" t="s">
        <v>100</v>
      </c>
      <c r="Y18" s="68"/>
      <c r="Z18" s="107"/>
      <c r="AA18" s="115"/>
      <c r="AB18" s="117"/>
      <c r="AC18" s="111"/>
    </row>
    <row r="19" spans="1:29" s="2" customFormat="1" ht="24.75" customHeight="1" x14ac:dyDescent="0.3">
      <c r="A19" s="91">
        <v>16</v>
      </c>
      <c r="B19" s="64" t="s">
        <v>383</v>
      </c>
      <c r="C19" s="65" t="s">
        <v>313</v>
      </c>
      <c r="D19" s="66" t="s">
        <v>367</v>
      </c>
      <c r="E19" s="70" t="s">
        <v>368</v>
      </c>
      <c r="F19" s="100" t="s">
        <v>252</v>
      </c>
      <c r="G19" s="65">
        <v>1</v>
      </c>
      <c r="H19" s="67" t="s">
        <v>101</v>
      </c>
      <c r="I19" s="65" t="s">
        <v>99</v>
      </c>
      <c r="J19" s="101" t="s">
        <v>156</v>
      </c>
      <c r="K19" s="96" t="s">
        <v>379</v>
      </c>
      <c r="L19" s="67" t="s">
        <v>100</v>
      </c>
      <c r="M19" s="65" t="s">
        <v>380</v>
      </c>
      <c r="N19" s="68" t="s">
        <v>316</v>
      </c>
      <c r="O19" s="65"/>
      <c r="P19" s="68"/>
      <c r="Q19" s="65" t="s">
        <v>100</v>
      </c>
      <c r="R19" s="70" t="s">
        <v>100</v>
      </c>
      <c r="S19" s="106"/>
      <c r="T19" s="65"/>
      <c r="U19" s="68"/>
      <c r="V19" s="65" t="s">
        <v>316</v>
      </c>
      <c r="W19" s="68" t="s">
        <v>124</v>
      </c>
      <c r="X19" s="65" t="s">
        <v>100</v>
      </c>
      <c r="Y19" s="68"/>
      <c r="Z19" s="107"/>
      <c r="AA19" s="115"/>
      <c r="AB19" s="117"/>
      <c r="AC19" s="111"/>
    </row>
    <row r="20" spans="1:29" s="2" customFormat="1" ht="24.75" customHeight="1" x14ac:dyDescent="0.3">
      <c r="A20" s="91">
        <v>17</v>
      </c>
      <c r="B20" s="64" t="s">
        <v>385</v>
      </c>
      <c r="C20" s="65" t="s">
        <v>313</v>
      </c>
      <c r="D20" s="66" t="s">
        <v>369</v>
      </c>
      <c r="E20" s="70" t="s">
        <v>370</v>
      </c>
      <c r="F20" s="100" t="s">
        <v>253</v>
      </c>
      <c r="G20" s="65">
        <v>1</v>
      </c>
      <c r="H20" s="67" t="s">
        <v>101</v>
      </c>
      <c r="I20" s="65" t="s">
        <v>108</v>
      </c>
      <c r="J20" s="101" t="s">
        <v>155</v>
      </c>
      <c r="K20" s="96" t="s">
        <v>175</v>
      </c>
      <c r="L20" s="67" t="s">
        <v>100</v>
      </c>
      <c r="M20" s="65" t="s">
        <v>384</v>
      </c>
      <c r="N20" s="68" t="s">
        <v>316</v>
      </c>
      <c r="O20" s="65"/>
      <c r="P20" s="68"/>
      <c r="Q20" s="65" t="s">
        <v>100</v>
      </c>
      <c r="R20" s="70" t="s">
        <v>100</v>
      </c>
      <c r="S20" s="106"/>
      <c r="T20" s="65"/>
      <c r="U20" s="68"/>
      <c r="V20" s="65" t="s">
        <v>316</v>
      </c>
      <c r="W20" s="68" t="s">
        <v>124</v>
      </c>
      <c r="X20" s="65" t="s">
        <v>100</v>
      </c>
      <c r="Y20" s="68"/>
      <c r="Z20" s="107"/>
      <c r="AA20" s="115"/>
      <c r="AB20" s="117"/>
      <c r="AC20" s="111"/>
    </row>
    <row r="21" spans="1:29" s="2" customFormat="1" ht="24.75" customHeight="1" thickBot="1" x14ac:dyDescent="0.35">
      <c r="A21" s="92">
        <v>18</v>
      </c>
      <c r="B21" s="93" t="s">
        <v>406</v>
      </c>
      <c r="C21" s="85" t="s">
        <v>313</v>
      </c>
      <c r="D21" s="94" t="s">
        <v>314</v>
      </c>
      <c r="E21" s="87" t="s">
        <v>332</v>
      </c>
      <c r="F21" s="102" t="s">
        <v>252</v>
      </c>
      <c r="G21" s="85">
        <v>1</v>
      </c>
      <c r="H21" s="84" t="s">
        <v>159</v>
      </c>
      <c r="I21" s="85" t="s">
        <v>98</v>
      </c>
      <c r="J21" s="103" t="s">
        <v>155</v>
      </c>
      <c r="K21" s="97" t="s">
        <v>178</v>
      </c>
      <c r="L21" s="84" t="s">
        <v>100</v>
      </c>
      <c r="M21" s="85" t="s">
        <v>405</v>
      </c>
      <c r="N21" s="86"/>
      <c r="O21" s="85" t="s">
        <v>316</v>
      </c>
      <c r="P21" s="86"/>
      <c r="Q21" s="85" t="s">
        <v>137</v>
      </c>
      <c r="R21" s="87" t="s">
        <v>343</v>
      </c>
      <c r="S21" s="108" t="s">
        <v>316</v>
      </c>
      <c r="T21" s="85" t="s">
        <v>316</v>
      </c>
      <c r="U21" s="86" t="s">
        <v>316</v>
      </c>
      <c r="V21" s="85"/>
      <c r="W21" s="86" t="s">
        <v>125</v>
      </c>
      <c r="X21" s="85" t="s">
        <v>139</v>
      </c>
      <c r="Y21" s="86" t="s">
        <v>316</v>
      </c>
      <c r="Z21" s="109"/>
      <c r="AA21" s="116"/>
      <c r="AB21" s="119"/>
      <c r="AC21" s="112"/>
    </row>
    <row r="22" spans="1:29" s="2" customFormat="1" ht="24.75" customHeight="1" x14ac:dyDescent="0.3">
      <c r="A22" s="88">
        <v>19</v>
      </c>
      <c r="B22" s="89" t="s">
        <v>407</v>
      </c>
      <c r="C22" s="81" t="s">
        <v>366</v>
      </c>
      <c r="D22" s="90" t="s">
        <v>314</v>
      </c>
      <c r="E22" s="83" t="s">
        <v>347</v>
      </c>
      <c r="F22" s="98" t="s">
        <v>257</v>
      </c>
      <c r="G22" s="81">
        <v>1</v>
      </c>
      <c r="H22" s="80" t="s">
        <v>159</v>
      </c>
      <c r="I22" s="81" t="s">
        <v>329</v>
      </c>
      <c r="J22" s="99" t="s">
        <v>155</v>
      </c>
      <c r="K22" s="95" t="s">
        <v>176</v>
      </c>
      <c r="L22" s="80" t="s">
        <v>100</v>
      </c>
      <c r="M22" s="81" t="s">
        <v>405</v>
      </c>
      <c r="N22" s="82" t="s">
        <v>316</v>
      </c>
      <c r="O22" s="81"/>
      <c r="P22" s="82" t="s">
        <v>316</v>
      </c>
      <c r="Q22" s="81" t="s">
        <v>100</v>
      </c>
      <c r="R22" s="83" t="s">
        <v>100</v>
      </c>
      <c r="S22" s="104" t="s">
        <v>316</v>
      </c>
      <c r="T22" s="81" t="s">
        <v>316</v>
      </c>
      <c r="U22" s="82" t="s">
        <v>316</v>
      </c>
      <c r="V22" s="81"/>
      <c r="W22" s="82" t="s">
        <v>124</v>
      </c>
      <c r="X22" s="81" t="s">
        <v>100</v>
      </c>
      <c r="Y22" s="82" t="s">
        <v>316</v>
      </c>
      <c r="Z22" s="105"/>
      <c r="AA22" s="114"/>
      <c r="AB22" s="79"/>
      <c r="AC22" s="110"/>
    </row>
    <row r="23" spans="1:29" s="2" customFormat="1" ht="24.75" customHeight="1" x14ac:dyDescent="0.3">
      <c r="A23" s="91">
        <v>20</v>
      </c>
      <c r="B23" s="64" t="s">
        <v>408</v>
      </c>
      <c r="C23" s="65" t="s">
        <v>366</v>
      </c>
      <c r="D23" s="66" t="s">
        <v>371</v>
      </c>
      <c r="E23" s="70" t="s">
        <v>362</v>
      </c>
      <c r="F23" s="100" t="s">
        <v>253</v>
      </c>
      <c r="G23" s="65">
        <v>1</v>
      </c>
      <c r="H23" s="67" t="s">
        <v>39</v>
      </c>
      <c r="I23" s="65" t="s">
        <v>192</v>
      </c>
      <c r="J23" s="101" t="s">
        <v>156</v>
      </c>
      <c r="K23" s="96" t="s">
        <v>176</v>
      </c>
      <c r="L23" s="67" t="s">
        <v>100</v>
      </c>
      <c r="M23" s="65" t="s">
        <v>384</v>
      </c>
      <c r="N23" s="68" t="s">
        <v>316</v>
      </c>
      <c r="O23" s="65"/>
      <c r="P23" s="68" t="s">
        <v>316</v>
      </c>
      <c r="Q23" s="65" t="s">
        <v>100</v>
      </c>
      <c r="R23" s="70" t="s">
        <v>100</v>
      </c>
      <c r="S23" s="106"/>
      <c r="T23" s="65"/>
      <c r="U23" s="68"/>
      <c r="V23" s="65" t="s">
        <v>316</v>
      </c>
      <c r="W23" s="68" t="s">
        <v>124</v>
      </c>
      <c r="X23" s="65" t="s">
        <v>100</v>
      </c>
      <c r="Y23" s="68"/>
      <c r="Z23" s="107"/>
      <c r="AA23" s="115"/>
      <c r="AB23" s="117"/>
      <c r="AC23" s="111"/>
    </row>
    <row r="24" spans="1:29" s="2" customFormat="1" ht="24.75" customHeight="1" x14ac:dyDescent="0.3">
      <c r="A24" s="91">
        <v>21</v>
      </c>
      <c r="B24" s="64" t="s">
        <v>411</v>
      </c>
      <c r="C24" s="65" t="s">
        <v>366</v>
      </c>
      <c r="D24" s="66" t="s">
        <v>372</v>
      </c>
      <c r="E24" s="70" t="s">
        <v>373</v>
      </c>
      <c r="F24" s="100" t="s">
        <v>253</v>
      </c>
      <c r="G24" s="65">
        <v>1</v>
      </c>
      <c r="H24" s="67" t="s">
        <v>39</v>
      </c>
      <c r="I24" s="65" t="s">
        <v>192</v>
      </c>
      <c r="J24" s="101" t="s">
        <v>156</v>
      </c>
      <c r="K24" s="96" t="s">
        <v>161</v>
      </c>
      <c r="L24" s="67" t="s">
        <v>100</v>
      </c>
      <c r="M24" s="65" t="s">
        <v>410</v>
      </c>
      <c r="N24" s="68" t="s">
        <v>316</v>
      </c>
      <c r="O24" s="65"/>
      <c r="P24" s="68" t="s">
        <v>316</v>
      </c>
      <c r="Q24" s="65" t="s">
        <v>100</v>
      </c>
      <c r="R24" s="70" t="s">
        <v>343</v>
      </c>
      <c r="S24" s="106"/>
      <c r="T24" s="65"/>
      <c r="U24" s="68"/>
      <c r="V24" s="65" t="s">
        <v>316</v>
      </c>
      <c r="W24" s="68" t="s">
        <v>124</v>
      </c>
      <c r="X24" s="65" t="s">
        <v>100</v>
      </c>
      <c r="Y24" s="68" t="s">
        <v>316</v>
      </c>
      <c r="Z24" s="107"/>
      <c r="AA24" s="115"/>
      <c r="AB24" s="117"/>
      <c r="AC24" s="111"/>
    </row>
    <row r="25" spans="1:29" s="2" customFormat="1" ht="24.75" customHeight="1" x14ac:dyDescent="0.3">
      <c r="A25" s="91">
        <v>22</v>
      </c>
      <c r="B25" s="64" t="s">
        <v>409</v>
      </c>
      <c r="C25" s="65" t="s">
        <v>366</v>
      </c>
      <c r="D25" s="66" t="s">
        <v>374</v>
      </c>
      <c r="E25" s="70" t="s">
        <v>375</v>
      </c>
      <c r="F25" s="100" t="s">
        <v>253</v>
      </c>
      <c r="G25" s="65">
        <v>1</v>
      </c>
      <c r="H25" s="67" t="s">
        <v>39</v>
      </c>
      <c r="I25" s="65" t="s">
        <v>192</v>
      </c>
      <c r="J25" s="101" t="s">
        <v>156</v>
      </c>
      <c r="K25" s="96" t="s">
        <v>161</v>
      </c>
      <c r="L25" s="67" t="s">
        <v>100</v>
      </c>
      <c r="M25" s="65" t="s">
        <v>384</v>
      </c>
      <c r="N25" s="68" t="s">
        <v>316</v>
      </c>
      <c r="O25" s="65"/>
      <c r="P25" s="68" t="s">
        <v>316</v>
      </c>
      <c r="Q25" s="65" t="s">
        <v>100</v>
      </c>
      <c r="R25" s="70" t="s">
        <v>100</v>
      </c>
      <c r="S25" s="106"/>
      <c r="T25" s="65"/>
      <c r="U25" s="68"/>
      <c r="V25" s="65" t="s">
        <v>316</v>
      </c>
      <c r="W25" s="68" t="s">
        <v>124</v>
      </c>
      <c r="X25" s="65" t="s">
        <v>100</v>
      </c>
      <c r="Y25" s="68" t="s">
        <v>316</v>
      </c>
      <c r="Z25" s="107"/>
      <c r="AA25" s="115"/>
      <c r="AB25" s="117"/>
      <c r="AC25" s="111"/>
    </row>
    <row r="26" spans="1:29" s="2" customFormat="1" ht="24.75" customHeight="1" x14ac:dyDescent="0.3">
      <c r="A26" s="91">
        <v>23</v>
      </c>
      <c r="B26" s="64" t="s">
        <v>412</v>
      </c>
      <c r="C26" s="65" t="s">
        <v>363</v>
      </c>
      <c r="D26" s="66" t="s">
        <v>314</v>
      </c>
      <c r="E26" s="70" t="s">
        <v>347</v>
      </c>
      <c r="F26" s="100" t="s">
        <v>257</v>
      </c>
      <c r="G26" s="65">
        <v>1</v>
      </c>
      <c r="H26" s="67" t="s">
        <v>159</v>
      </c>
      <c r="I26" s="65" t="s">
        <v>329</v>
      </c>
      <c r="J26" s="101" t="s">
        <v>155</v>
      </c>
      <c r="K26" s="96" t="s">
        <v>176</v>
      </c>
      <c r="L26" s="67" t="s">
        <v>100</v>
      </c>
      <c r="M26" s="65" t="s">
        <v>391</v>
      </c>
      <c r="N26" s="68" t="s">
        <v>316</v>
      </c>
      <c r="O26" s="65"/>
      <c r="P26" s="68" t="s">
        <v>316</v>
      </c>
      <c r="Q26" s="65" t="s">
        <v>100</v>
      </c>
      <c r="R26" s="70" t="s">
        <v>100</v>
      </c>
      <c r="S26" s="106" t="s">
        <v>316</v>
      </c>
      <c r="T26" s="65" t="s">
        <v>316</v>
      </c>
      <c r="U26" s="68" t="s">
        <v>316</v>
      </c>
      <c r="V26" s="65"/>
      <c r="W26" s="68" t="s">
        <v>124</v>
      </c>
      <c r="X26" s="65" t="s">
        <v>100</v>
      </c>
      <c r="Y26" s="68" t="s">
        <v>316</v>
      </c>
      <c r="Z26" s="107"/>
      <c r="AA26" s="115"/>
      <c r="AB26" s="117"/>
      <c r="AC26" s="111"/>
    </row>
    <row r="27" spans="1:29" s="2" customFormat="1" ht="24.75" customHeight="1" thickBot="1" x14ac:dyDescent="0.35">
      <c r="A27" s="92">
        <v>24</v>
      </c>
      <c r="B27" s="93" t="s">
        <v>413</v>
      </c>
      <c r="C27" s="85" t="s">
        <v>363</v>
      </c>
      <c r="D27" s="94" t="s">
        <v>364</v>
      </c>
      <c r="E27" s="87" t="s">
        <v>360</v>
      </c>
      <c r="F27" s="102" t="s">
        <v>253</v>
      </c>
      <c r="G27" s="85">
        <v>1</v>
      </c>
      <c r="H27" s="84" t="s">
        <v>39</v>
      </c>
      <c r="I27" s="85" t="s">
        <v>192</v>
      </c>
      <c r="J27" s="103" t="s">
        <v>156</v>
      </c>
      <c r="K27" s="97" t="s">
        <v>176</v>
      </c>
      <c r="L27" s="84" t="s">
        <v>100</v>
      </c>
      <c r="M27" s="85" t="s">
        <v>384</v>
      </c>
      <c r="N27" s="86" t="s">
        <v>316</v>
      </c>
      <c r="O27" s="85"/>
      <c r="P27" s="86" t="s">
        <v>316</v>
      </c>
      <c r="Q27" s="85" t="s">
        <v>100</v>
      </c>
      <c r="R27" s="87" t="s">
        <v>100</v>
      </c>
      <c r="S27" s="108"/>
      <c r="T27" s="85"/>
      <c r="U27" s="86"/>
      <c r="V27" s="85" t="s">
        <v>316</v>
      </c>
      <c r="W27" s="86" t="s">
        <v>124</v>
      </c>
      <c r="X27" s="85" t="s">
        <v>100</v>
      </c>
      <c r="Y27" s="86"/>
      <c r="Z27" s="109"/>
      <c r="AA27" s="116"/>
      <c r="AB27" s="119"/>
      <c r="AC27" s="112"/>
    </row>
    <row r="28" spans="1:29" s="2" customFormat="1" ht="24.75" customHeight="1" x14ac:dyDescent="0.3">
      <c r="A28" s="88">
        <v>25</v>
      </c>
      <c r="B28" s="89" t="s">
        <v>414</v>
      </c>
      <c r="C28" s="81" t="s">
        <v>363</v>
      </c>
      <c r="D28" s="90" t="s">
        <v>364</v>
      </c>
      <c r="E28" s="83" t="s">
        <v>365</v>
      </c>
      <c r="F28" s="98" t="s">
        <v>253</v>
      </c>
      <c r="G28" s="81">
        <v>1</v>
      </c>
      <c r="H28" s="80" t="s">
        <v>39</v>
      </c>
      <c r="I28" s="81" t="s">
        <v>192</v>
      </c>
      <c r="J28" s="99" t="s">
        <v>155</v>
      </c>
      <c r="K28" s="95" t="s">
        <v>176</v>
      </c>
      <c r="L28" s="80" t="s">
        <v>100</v>
      </c>
      <c r="M28" s="81" t="s">
        <v>384</v>
      </c>
      <c r="N28" s="82" t="s">
        <v>316</v>
      </c>
      <c r="O28" s="81"/>
      <c r="P28" s="82" t="s">
        <v>316</v>
      </c>
      <c r="Q28" s="81" t="s">
        <v>100</v>
      </c>
      <c r="R28" s="83" t="s">
        <v>100</v>
      </c>
      <c r="S28" s="104"/>
      <c r="T28" s="81"/>
      <c r="U28" s="82"/>
      <c r="V28" s="81" t="s">
        <v>316</v>
      </c>
      <c r="W28" s="82" t="s">
        <v>124</v>
      </c>
      <c r="X28" s="81" t="s">
        <v>100</v>
      </c>
      <c r="Y28" s="82"/>
      <c r="Z28" s="105"/>
      <c r="AA28" s="114"/>
      <c r="AB28" s="79"/>
      <c r="AC28" s="110"/>
    </row>
    <row r="29" spans="1:29" s="2" customFormat="1" ht="24.75" customHeight="1" x14ac:dyDescent="0.3">
      <c r="A29" s="91">
        <v>26</v>
      </c>
      <c r="B29" s="64" t="s">
        <v>415</v>
      </c>
      <c r="C29" s="65" t="s">
        <v>358</v>
      </c>
      <c r="D29" s="66" t="s">
        <v>314</v>
      </c>
      <c r="E29" s="70" t="s">
        <v>347</v>
      </c>
      <c r="F29" s="100" t="s">
        <v>257</v>
      </c>
      <c r="G29" s="65">
        <v>1</v>
      </c>
      <c r="H29" s="67" t="s">
        <v>159</v>
      </c>
      <c r="I29" s="65" t="s">
        <v>329</v>
      </c>
      <c r="J29" s="101" t="s">
        <v>155</v>
      </c>
      <c r="K29" s="96" t="s">
        <v>176</v>
      </c>
      <c r="L29" s="67" t="s">
        <v>100</v>
      </c>
      <c r="M29" s="65" t="s">
        <v>391</v>
      </c>
      <c r="N29" s="68" t="s">
        <v>316</v>
      </c>
      <c r="O29" s="65"/>
      <c r="P29" s="68" t="s">
        <v>316</v>
      </c>
      <c r="Q29" s="65" t="s">
        <v>100</v>
      </c>
      <c r="R29" s="70" t="s">
        <v>100</v>
      </c>
      <c r="S29" s="106" t="s">
        <v>316</v>
      </c>
      <c r="T29" s="65" t="s">
        <v>316</v>
      </c>
      <c r="U29" s="68" t="s">
        <v>316</v>
      </c>
      <c r="V29" s="65"/>
      <c r="W29" s="68" t="s">
        <v>124</v>
      </c>
      <c r="X29" s="65" t="s">
        <v>100</v>
      </c>
      <c r="Y29" s="68" t="s">
        <v>316</v>
      </c>
      <c r="Z29" s="107"/>
      <c r="AA29" s="115"/>
      <c r="AB29" s="117"/>
      <c r="AC29" s="111"/>
    </row>
    <row r="30" spans="1:29" s="2" customFormat="1" ht="24.75" customHeight="1" x14ac:dyDescent="0.3">
      <c r="A30" s="91">
        <v>27</v>
      </c>
      <c r="B30" s="64" t="s">
        <v>416</v>
      </c>
      <c r="C30" s="65" t="s">
        <v>358</v>
      </c>
      <c r="D30" s="66" t="s">
        <v>359</v>
      </c>
      <c r="E30" s="70" t="s">
        <v>360</v>
      </c>
      <c r="F30" s="100" t="s">
        <v>253</v>
      </c>
      <c r="G30" s="65">
        <v>1</v>
      </c>
      <c r="H30" s="67" t="s">
        <v>39</v>
      </c>
      <c r="I30" s="65" t="s">
        <v>192</v>
      </c>
      <c r="J30" s="101" t="s">
        <v>156</v>
      </c>
      <c r="K30" s="96" t="s">
        <v>176</v>
      </c>
      <c r="L30" s="67" t="s">
        <v>100</v>
      </c>
      <c r="M30" s="65" t="s">
        <v>384</v>
      </c>
      <c r="N30" s="68" t="s">
        <v>316</v>
      </c>
      <c r="O30" s="65"/>
      <c r="P30" s="68" t="s">
        <v>316</v>
      </c>
      <c r="Q30" s="65" t="s">
        <v>100</v>
      </c>
      <c r="R30" s="70" t="s">
        <v>100</v>
      </c>
      <c r="S30" s="106"/>
      <c r="T30" s="65"/>
      <c r="U30" s="68"/>
      <c r="V30" s="65" t="s">
        <v>316</v>
      </c>
      <c r="W30" s="68" t="s">
        <v>124</v>
      </c>
      <c r="X30" s="65" t="s">
        <v>100</v>
      </c>
      <c r="Y30" s="68"/>
      <c r="Z30" s="107"/>
      <c r="AA30" s="115"/>
      <c r="AB30" s="117"/>
      <c r="AC30" s="111"/>
    </row>
    <row r="31" spans="1:29" s="2" customFormat="1" ht="24.75" customHeight="1" x14ac:dyDescent="0.3">
      <c r="A31" s="91">
        <v>28</v>
      </c>
      <c r="B31" s="64" t="s">
        <v>417</v>
      </c>
      <c r="C31" s="65" t="s">
        <v>358</v>
      </c>
      <c r="D31" s="66" t="s">
        <v>361</v>
      </c>
      <c r="E31" s="70" t="s">
        <v>362</v>
      </c>
      <c r="F31" s="100" t="s">
        <v>253</v>
      </c>
      <c r="G31" s="65">
        <v>1</v>
      </c>
      <c r="H31" s="67" t="s">
        <v>39</v>
      </c>
      <c r="I31" s="65" t="s">
        <v>192</v>
      </c>
      <c r="J31" s="101" t="s">
        <v>155</v>
      </c>
      <c r="K31" s="96" t="s">
        <v>176</v>
      </c>
      <c r="L31" s="67" t="s">
        <v>100</v>
      </c>
      <c r="M31" s="65" t="s">
        <v>384</v>
      </c>
      <c r="N31" s="68" t="s">
        <v>316</v>
      </c>
      <c r="O31" s="65"/>
      <c r="P31" s="68" t="s">
        <v>316</v>
      </c>
      <c r="Q31" s="65" t="s">
        <v>100</v>
      </c>
      <c r="R31" s="70" t="s">
        <v>100</v>
      </c>
      <c r="S31" s="106"/>
      <c r="T31" s="65"/>
      <c r="U31" s="68"/>
      <c r="V31" s="65" t="s">
        <v>316</v>
      </c>
      <c r="W31" s="68" t="s">
        <v>124</v>
      </c>
      <c r="X31" s="65" t="s">
        <v>100</v>
      </c>
      <c r="Y31" s="68"/>
      <c r="Z31" s="107"/>
      <c r="AA31" s="115"/>
      <c r="AB31" s="117"/>
      <c r="AC31" s="111"/>
    </row>
    <row r="32" spans="1:29" s="2" customFormat="1" ht="24.75" customHeight="1" x14ac:dyDescent="0.3">
      <c r="A32" s="91">
        <v>29</v>
      </c>
      <c r="B32" s="64" t="s">
        <v>418</v>
      </c>
      <c r="C32" s="65" t="s">
        <v>346</v>
      </c>
      <c r="D32" s="66" t="s">
        <v>356</v>
      </c>
      <c r="E32" s="70" t="s">
        <v>357</v>
      </c>
      <c r="F32" s="100" t="s">
        <v>254</v>
      </c>
      <c r="G32" s="65">
        <v>1</v>
      </c>
      <c r="H32" s="67" t="s">
        <v>102</v>
      </c>
      <c r="I32" s="65" t="s">
        <v>354</v>
      </c>
      <c r="J32" s="101" t="s">
        <v>155</v>
      </c>
      <c r="K32" s="96" t="s">
        <v>163</v>
      </c>
      <c r="L32" s="67" t="s">
        <v>100</v>
      </c>
      <c r="M32" s="65" t="s">
        <v>410</v>
      </c>
      <c r="N32" s="68" t="s">
        <v>316</v>
      </c>
      <c r="O32" s="65"/>
      <c r="P32" s="68" t="s">
        <v>316</v>
      </c>
      <c r="Q32" s="65" t="s">
        <v>100</v>
      </c>
      <c r="R32" s="70" t="s">
        <v>343</v>
      </c>
      <c r="S32" s="106"/>
      <c r="T32" s="65"/>
      <c r="U32" s="68"/>
      <c r="V32" s="65" t="s">
        <v>316</v>
      </c>
      <c r="W32" s="68" t="s">
        <v>125</v>
      </c>
      <c r="X32" s="65" t="s">
        <v>100</v>
      </c>
      <c r="Y32" s="68" t="s">
        <v>316</v>
      </c>
      <c r="Z32" s="107"/>
      <c r="AA32" s="115"/>
      <c r="AB32" s="117"/>
      <c r="AC32" s="111"/>
    </row>
    <row r="33" spans="1:181" s="2" customFormat="1" ht="24.75" customHeight="1" thickBot="1" x14ac:dyDescent="0.35">
      <c r="A33" s="92">
        <v>30</v>
      </c>
      <c r="B33" s="93" t="s">
        <v>419</v>
      </c>
      <c r="C33" s="85" t="s">
        <v>346</v>
      </c>
      <c r="D33" s="94" t="s">
        <v>314</v>
      </c>
      <c r="E33" s="87" t="s">
        <v>347</v>
      </c>
      <c r="F33" s="102" t="s">
        <v>257</v>
      </c>
      <c r="G33" s="85">
        <v>1</v>
      </c>
      <c r="H33" s="84" t="s">
        <v>159</v>
      </c>
      <c r="I33" s="85" t="s">
        <v>329</v>
      </c>
      <c r="J33" s="103" t="s">
        <v>155</v>
      </c>
      <c r="K33" s="97" t="s">
        <v>176</v>
      </c>
      <c r="L33" s="84" t="s">
        <v>100</v>
      </c>
      <c r="M33" s="85" t="s">
        <v>405</v>
      </c>
      <c r="N33" s="86" t="s">
        <v>316</v>
      </c>
      <c r="O33" s="85"/>
      <c r="P33" s="86" t="s">
        <v>316</v>
      </c>
      <c r="Q33" s="85" t="s">
        <v>100</v>
      </c>
      <c r="R33" s="87" t="s">
        <v>343</v>
      </c>
      <c r="S33" s="108" t="s">
        <v>316</v>
      </c>
      <c r="T33" s="85" t="s">
        <v>316</v>
      </c>
      <c r="U33" s="86"/>
      <c r="V33" s="85" t="s">
        <v>316</v>
      </c>
      <c r="W33" s="86" t="s">
        <v>125</v>
      </c>
      <c r="X33" s="85" t="s">
        <v>51</v>
      </c>
      <c r="Y33" s="86" t="s">
        <v>316</v>
      </c>
      <c r="Z33" s="109"/>
      <c r="AA33" s="116"/>
      <c r="AB33" s="119"/>
      <c r="AC33" s="112"/>
    </row>
    <row r="34" spans="1:181" s="2" customFormat="1" ht="24.75" customHeight="1" x14ac:dyDescent="0.3">
      <c r="A34" s="88">
        <v>31</v>
      </c>
      <c r="B34" s="89">
        <v>31</v>
      </c>
      <c r="C34" s="81" t="s">
        <v>346</v>
      </c>
      <c r="D34" s="90" t="s">
        <v>348</v>
      </c>
      <c r="E34" s="83" t="s">
        <v>349</v>
      </c>
      <c r="F34" s="98" t="s">
        <v>253</v>
      </c>
      <c r="G34" s="81">
        <v>1</v>
      </c>
      <c r="H34" s="80" t="s">
        <v>39</v>
      </c>
      <c r="I34" s="81" t="s">
        <v>192</v>
      </c>
      <c r="J34" s="99" t="s">
        <v>155</v>
      </c>
      <c r="K34" s="95" t="s">
        <v>163</v>
      </c>
      <c r="L34" s="80" t="s">
        <v>100</v>
      </c>
      <c r="M34" s="81" t="s">
        <v>384</v>
      </c>
      <c r="N34" s="82" t="s">
        <v>316</v>
      </c>
      <c r="O34" s="81"/>
      <c r="P34" s="82" t="s">
        <v>316</v>
      </c>
      <c r="Q34" s="81" t="s">
        <v>100</v>
      </c>
      <c r="R34" s="83" t="s">
        <v>100</v>
      </c>
      <c r="S34" s="104"/>
      <c r="T34" s="81"/>
      <c r="U34" s="82"/>
      <c r="V34" s="81" t="s">
        <v>316</v>
      </c>
      <c r="W34" s="82" t="s">
        <v>124</v>
      </c>
      <c r="X34" s="81" t="s">
        <v>100</v>
      </c>
      <c r="Y34" s="82" t="s">
        <v>316</v>
      </c>
      <c r="Z34" s="105"/>
      <c r="AA34" s="114"/>
      <c r="AB34" s="79"/>
      <c r="AC34" s="110"/>
    </row>
    <row r="35" spans="1:181" s="2" customFormat="1" ht="24.75" customHeight="1" x14ac:dyDescent="0.3">
      <c r="A35" s="91">
        <v>32</v>
      </c>
      <c r="B35" s="64" t="s">
        <v>420</v>
      </c>
      <c r="C35" s="65" t="s">
        <v>346</v>
      </c>
      <c r="D35" s="66" t="s">
        <v>350</v>
      </c>
      <c r="E35" s="70" t="s">
        <v>351</v>
      </c>
      <c r="F35" s="100" t="s">
        <v>253</v>
      </c>
      <c r="G35" s="65">
        <v>1</v>
      </c>
      <c r="H35" s="67" t="s">
        <v>39</v>
      </c>
      <c r="I35" s="65" t="s">
        <v>192</v>
      </c>
      <c r="J35" s="101" t="s">
        <v>44</v>
      </c>
      <c r="K35" s="96" t="s">
        <v>163</v>
      </c>
      <c r="L35" s="67" t="s">
        <v>100</v>
      </c>
      <c r="M35" s="65" t="s">
        <v>384</v>
      </c>
      <c r="N35" s="68" t="s">
        <v>316</v>
      </c>
      <c r="O35" s="65"/>
      <c r="P35" s="68" t="s">
        <v>316</v>
      </c>
      <c r="Q35" s="65" t="s">
        <v>100</v>
      </c>
      <c r="R35" s="70" t="s">
        <v>100</v>
      </c>
      <c r="S35" s="106"/>
      <c r="T35" s="65"/>
      <c r="U35" s="68"/>
      <c r="V35" s="65" t="s">
        <v>316</v>
      </c>
      <c r="W35" s="68" t="s">
        <v>124</v>
      </c>
      <c r="X35" s="65" t="s">
        <v>100</v>
      </c>
      <c r="Y35" s="68" t="s">
        <v>316</v>
      </c>
      <c r="Z35" s="107"/>
      <c r="AA35" s="115"/>
      <c r="AB35" s="117"/>
      <c r="AC35" s="111"/>
    </row>
    <row r="36" spans="1:181" s="2" customFormat="1" ht="24.75" customHeight="1" x14ac:dyDescent="0.3">
      <c r="A36" s="91">
        <v>33</v>
      </c>
      <c r="B36" s="64">
        <v>33</v>
      </c>
      <c r="C36" s="65" t="s">
        <v>346</v>
      </c>
      <c r="D36" s="66" t="s">
        <v>352</v>
      </c>
      <c r="E36" s="70" t="s">
        <v>353</v>
      </c>
      <c r="F36" s="100" t="s">
        <v>252</v>
      </c>
      <c r="G36" s="65">
        <v>1</v>
      </c>
      <c r="H36" s="67" t="s">
        <v>159</v>
      </c>
      <c r="I36" s="65" t="s">
        <v>98</v>
      </c>
      <c r="J36" s="101" t="s">
        <v>112</v>
      </c>
      <c r="K36" s="96" t="s">
        <v>176</v>
      </c>
      <c r="L36" s="67" t="s">
        <v>100</v>
      </c>
      <c r="M36" s="65" t="s">
        <v>421</v>
      </c>
      <c r="N36" s="68" t="s">
        <v>316</v>
      </c>
      <c r="O36" s="65"/>
      <c r="P36" s="68" t="s">
        <v>316</v>
      </c>
      <c r="Q36" s="65" t="s">
        <v>100</v>
      </c>
      <c r="R36" s="70" t="s">
        <v>100</v>
      </c>
      <c r="S36" s="106"/>
      <c r="T36" s="65"/>
      <c r="U36" s="68"/>
      <c r="V36" s="65" t="s">
        <v>316</v>
      </c>
      <c r="W36" s="68" t="s">
        <v>124</v>
      </c>
      <c r="X36" s="65" t="s">
        <v>131</v>
      </c>
      <c r="Y36" s="68"/>
      <c r="Z36" s="107"/>
      <c r="AA36" s="115"/>
      <c r="AB36" s="117"/>
      <c r="AC36" s="111"/>
    </row>
    <row r="37" spans="1:181" s="2" customFormat="1" ht="24.75" customHeight="1" x14ac:dyDescent="0.3">
      <c r="A37" s="91">
        <v>34</v>
      </c>
      <c r="B37" s="64" t="s">
        <v>422</v>
      </c>
      <c r="C37" s="65" t="s">
        <v>346</v>
      </c>
      <c r="D37" s="66" t="s">
        <v>350</v>
      </c>
      <c r="E37" s="70" t="s">
        <v>351</v>
      </c>
      <c r="F37" s="100" t="s">
        <v>253</v>
      </c>
      <c r="G37" s="65">
        <v>1</v>
      </c>
      <c r="H37" s="67" t="s">
        <v>101</v>
      </c>
      <c r="I37" s="65" t="s">
        <v>109</v>
      </c>
      <c r="J37" s="101" t="s">
        <v>156</v>
      </c>
      <c r="K37" s="96" t="s">
        <v>162</v>
      </c>
      <c r="L37" s="67" t="s">
        <v>100</v>
      </c>
      <c r="M37" s="65" t="s">
        <v>384</v>
      </c>
      <c r="N37" s="68"/>
      <c r="O37" s="65"/>
      <c r="P37" s="68"/>
      <c r="Q37" s="65" t="s">
        <v>100</v>
      </c>
      <c r="R37" s="70" t="s">
        <v>100</v>
      </c>
      <c r="S37" s="106"/>
      <c r="T37" s="65"/>
      <c r="U37" s="68"/>
      <c r="V37" s="65"/>
      <c r="W37" s="68" t="s">
        <v>124</v>
      </c>
      <c r="X37" s="65" t="s">
        <v>100</v>
      </c>
      <c r="Y37" s="68" t="s">
        <v>316</v>
      </c>
      <c r="Z37" s="107"/>
      <c r="AA37" s="115"/>
      <c r="AB37" s="117"/>
      <c r="AC37" s="111" t="s">
        <v>423</v>
      </c>
    </row>
    <row r="38" spans="1:181" s="2" customFormat="1" ht="24.75" customHeight="1" x14ac:dyDescent="0.3">
      <c r="A38" s="91">
        <v>35</v>
      </c>
      <c r="B38" s="64" t="s">
        <v>424</v>
      </c>
      <c r="C38" s="65" t="s">
        <v>358</v>
      </c>
      <c r="D38" s="66" t="s">
        <v>425</v>
      </c>
      <c r="E38" s="70" t="s">
        <v>426</v>
      </c>
      <c r="F38" s="100" t="s">
        <v>254</v>
      </c>
      <c r="G38" s="65">
        <v>1</v>
      </c>
      <c r="H38" s="67" t="s">
        <v>39</v>
      </c>
      <c r="I38" s="65" t="s">
        <v>354</v>
      </c>
      <c r="J38" s="101" t="s">
        <v>156</v>
      </c>
      <c r="K38" s="96" t="s">
        <v>100</v>
      </c>
      <c r="L38" s="67" t="s">
        <v>100</v>
      </c>
      <c r="M38" s="65" t="s">
        <v>410</v>
      </c>
      <c r="N38" s="68"/>
      <c r="O38" s="65"/>
      <c r="P38" s="68"/>
      <c r="Q38" s="65" t="s">
        <v>100</v>
      </c>
      <c r="R38" s="70" t="s">
        <v>100</v>
      </c>
      <c r="S38" s="106"/>
      <c r="T38" s="65"/>
      <c r="U38" s="68"/>
      <c r="V38" s="65" t="s">
        <v>316</v>
      </c>
      <c r="W38" s="68" t="s">
        <v>124</v>
      </c>
      <c r="X38" s="65" t="s">
        <v>100</v>
      </c>
      <c r="Y38" s="68"/>
      <c r="Z38" s="107"/>
      <c r="AA38" s="115"/>
      <c r="AB38" s="117"/>
      <c r="AC38" s="111"/>
    </row>
    <row r="39" spans="1:181" s="2" customFormat="1" ht="24.75" customHeight="1" thickBot="1" x14ac:dyDescent="0.35">
      <c r="A39" s="92">
        <v>36</v>
      </c>
      <c r="B39" s="93" t="s">
        <v>427</v>
      </c>
      <c r="C39" s="85" t="s">
        <v>363</v>
      </c>
      <c r="D39" s="94" t="s">
        <v>428</v>
      </c>
      <c r="E39" s="87" t="s">
        <v>426</v>
      </c>
      <c r="F39" s="102" t="s">
        <v>254</v>
      </c>
      <c r="G39" s="85">
        <v>1</v>
      </c>
      <c r="H39" s="84" t="s">
        <v>39</v>
      </c>
      <c r="I39" s="85" t="s">
        <v>354</v>
      </c>
      <c r="J39" s="103" t="s">
        <v>156</v>
      </c>
      <c r="K39" s="97" t="s">
        <v>163</v>
      </c>
      <c r="L39" s="84" t="s">
        <v>100</v>
      </c>
      <c r="M39" s="85" t="s">
        <v>410</v>
      </c>
      <c r="N39" s="86" t="s">
        <v>316</v>
      </c>
      <c r="O39" s="85"/>
      <c r="P39" s="86" t="s">
        <v>316</v>
      </c>
      <c r="Q39" s="85" t="s">
        <v>100</v>
      </c>
      <c r="R39" s="87" t="s">
        <v>100</v>
      </c>
      <c r="S39" s="108"/>
      <c r="T39" s="85"/>
      <c r="U39" s="86"/>
      <c r="V39" s="85" t="s">
        <v>316</v>
      </c>
      <c r="W39" s="86" t="s">
        <v>124</v>
      </c>
      <c r="X39" s="85" t="s">
        <v>100</v>
      </c>
      <c r="Y39" s="86"/>
      <c r="Z39" s="109"/>
      <c r="AA39" s="116"/>
      <c r="AB39" s="119"/>
      <c r="AC39" s="112"/>
    </row>
    <row r="40" spans="1:181" s="2" customFormat="1" ht="24.75" customHeight="1" x14ac:dyDescent="0.3">
      <c r="A40" s="88">
        <v>37</v>
      </c>
      <c r="B40" s="89" t="s">
        <v>429</v>
      </c>
      <c r="C40" s="81" t="s">
        <v>366</v>
      </c>
      <c r="D40" s="90" t="s">
        <v>314</v>
      </c>
      <c r="E40" s="83" t="s">
        <v>314</v>
      </c>
      <c r="F40" s="98" t="s">
        <v>254</v>
      </c>
      <c r="G40" s="81">
        <v>1</v>
      </c>
      <c r="H40" s="80" t="s">
        <v>39</v>
      </c>
      <c r="I40" s="81" t="s">
        <v>354</v>
      </c>
      <c r="J40" s="99" t="s">
        <v>156</v>
      </c>
      <c r="K40" s="95" t="s">
        <v>163</v>
      </c>
      <c r="L40" s="80" t="s">
        <v>100</v>
      </c>
      <c r="M40" s="81" t="s">
        <v>410</v>
      </c>
      <c r="N40" s="82" t="s">
        <v>316</v>
      </c>
      <c r="O40" s="81"/>
      <c r="P40" s="82" t="s">
        <v>316</v>
      </c>
      <c r="Q40" s="81" t="s">
        <v>100</v>
      </c>
      <c r="R40" s="83" t="s">
        <v>100</v>
      </c>
      <c r="S40" s="104"/>
      <c r="T40" s="81"/>
      <c r="U40" s="82"/>
      <c r="V40" s="81" t="s">
        <v>316</v>
      </c>
      <c r="W40" s="82" t="s">
        <v>124</v>
      </c>
      <c r="X40" s="81" t="s">
        <v>100</v>
      </c>
      <c r="Y40" s="82"/>
      <c r="Z40" s="105"/>
      <c r="AA40" s="114"/>
      <c r="AB40" s="79"/>
      <c r="AC40" s="110"/>
    </row>
    <row r="41" spans="1:181" s="2" customFormat="1" ht="24.75" customHeight="1" x14ac:dyDescent="0.3">
      <c r="A41" s="91">
        <v>38</v>
      </c>
      <c r="B41" s="64" t="s">
        <v>430</v>
      </c>
      <c r="C41" s="65" t="s">
        <v>313</v>
      </c>
      <c r="D41" s="66" t="s">
        <v>431</v>
      </c>
      <c r="E41" s="70" t="s">
        <v>432</v>
      </c>
      <c r="F41" s="100" t="s">
        <v>254</v>
      </c>
      <c r="G41" s="65">
        <v>1</v>
      </c>
      <c r="H41" s="67" t="s">
        <v>39</v>
      </c>
      <c r="I41" s="65" t="s">
        <v>354</v>
      </c>
      <c r="J41" s="101" t="s">
        <v>156</v>
      </c>
      <c r="K41" s="96" t="s">
        <v>163</v>
      </c>
      <c r="L41" s="67" t="s">
        <v>100</v>
      </c>
      <c r="M41" s="65" t="s">
        <v>410</v>
      </c>
      <c r="N41" s="68" t="s">
        <v>316</v>
      </c>
      <c r="O41" s="65"/>
      <c r="P41" s="68" t="s">
        <v>316</v>
      </c>
      <c r="Q41" s="65" t="s">
        <v>100</v>
      </c>
      <c r="R41" s="70" t="s">
        <v>100</v>
      </c>
      <c r="S41" s="106"/>
      <c r="T41" s="65"/>
      <c r="U41" s="68"/>
      <c r="V41" s="65" t="s">
        <v>316</v>
      </c>
      <c r="W41" s="68" t="s">
        <v>124</v>
      </c>
      <c r="X41" s="65" t="s">
        <v>100</v>
      </c>
      <c r="Y41" s="68" t="s">
        <v>316</v>
      </c>
      <c r="Z41" s="107"/>
      <c r="AA41" s="115"/>
      <c r="AB41" s="117"/>
      <c r="AC41" s="111"/>
    </row>
    <row r="42" spans="1:181" s="2" customFormat="1" ht="24.75" customHeight="1" thickBot="1" x14ac:dyDescent="0.35">
      <c r="A42" s="92">
        <v>39</v>
      </c>
      <c r="B42" s="93" t="s">
        <v>433</v>
      </c>
      <c r="C42" s="85" t="s">
        <v>313</v>
      </c>
      <c r="D42" s="94" t="s">
        <v>434</v>
      </c>
      <c r="E42" s="87" t="s">
        <v>435</v>
      </c>
      <c r="F42" s="102" t="s">
        <v>254</v>
      </c>
      <c r="G42" s="85">
        <v>1</v>
      </c>
      <c r="H42" s="84" t="s">
        <v>39</v>
      </c>
      <c r="I42" s="85" t="s">
        <v>354</v>
      </c>
      <c r="J42" s="103" t="s">
        <v>156</v>
      </c>
      <c r="K42" s="97" t="s">
        <v>163</v>
      </c>
      <c r="L42" s="84" t="s">
        <v>100</v>
      </c>
      <c r="M42" s="85" t="s">
        <v>410</v>
      </c>
      <c r="N42" s="86" t="s">
        <v>316</v>
      </c>
      <c r="O42" s="85"/>
      <c r="P42" s="86"/>
      <c r="Q42" s="85" t="s">
        <v>100</v>
      </c>
      <c r="R42" s="87" t="s">
        <v>100</v>
      </c>
      <c r="S42" s="108"/>
      <c r="T42" s="85"/>
      <c r="U42" s="86"/>
      <c r="V42" s="85" t="s">
        <v>316</v>
      </c>
      <c r="W42" s="86" t="s">
        <v>125</v>
      </c>
      <c r="X42" s="85" t="s">
        <v>100</v>
      </c>
      <c r="Y42" s="86" t="s">
        <v>316</v>
      </c>
      <c r="Z42" s="109"/>
      <c r="AA42" s="116"/>
      <c r="AB42" s="119"/>
      <c r="AC42" s="112"/>
    </row>
    <row r="43" spans="1:181" s="32" customFormat="1" ht="15" thickBo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 s="33">
        <f t="shared" ref="AB43" ca="1" si="0">SUM(INDIRECT(ADDRESS(4,COLUMN(),4) &amp; ":" &amp; ADDRESS(ROW()-1,COLUMN(),4)))</f>
        <v>0</v>
      </c>
      <c r="AC43" s="34" t="s">
        <v>0</v>
      </c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</row>
  </sheetData>
  <sheetProtection autoFilter="0"/>
  <autoFilter ref="A3:AC43" xr:uid="{00000000-0009-0000-0000-000000000000}"/>
  <mergeCells count="4">
    <mergeCell ref="S1:AA1"/>
    <mergeCell ref="F2:J2"/>
    <mergeCell ref="K2:R2"/>
    <mergeCell ref="S2:Z2"/>
  </mergeCells>
  <pageMargins left="0.23622047244094491" right="0.23622047244094491" top="0.74803149606299213" bottom="0.74803149606299213" header="0.31496062992125984" footer="0.31496062992125984"/>
  <pageSetup paperSize="8" scale="5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5">
              <controlPr defaultSize="0" print="0" autoFill="0" autoPict="0" macro="[0]!CreateTemplate">
                <anchor>
                  <from>
                    <xdr:col>0</xdr:col>
                    <xdr:colOff>44450</xdr:colOff>
                    <xdr:row>1</xdr:row>
                    <xdr:rowOff>69850</xdr:rowOff>
                  </from>
                  <to>
                    <xdr:col>0</xdr:col>
                    <xdr:colOff>711200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7">
              <controlPr defaultSize="0" print="0" autoFill="0" autoPict="0" macro="[0]!CreateDoor">
                <anchor>
                  <from>
                    <xdr:col>2</xdr:col>
                    <xdr:colOff>69850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9">
              <controlPr defaultSize="0" print="0" autoFill="0" autoPict="0" macro="[0]!CreateInspection">
                <anchor>
                  <from>
                    <xdr:col>1</xdr:col>
                    <xdr:colOff>44450</xdr:colOff>
                    <xdr:row>1</xdr:row>
                    <xdr:rowOff>69850</xdr:rowOff>
                  </from>
                  <to>
                    <xdr:col>1</xdr:col>
                    <xdr:colOff>730250</xdr:colOff>
                    <xdr:row>1</xdr:row>
                    <xdr:rowOff>577850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69850</xdr:rowOff>
                  </from>
                  <to>
                    <xdr:col>4</xdr:col>
                    <xdr:colOff>755650</xdr:colOff>
                    <xdr:row>1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>
    <pageSetUpPr fitToPage="1"/>
  </sheetPr>
  <dimension ref="A1:GB43"/>
  <sheetViews>
    <sheetView zoomScale="70" zoomScaleNormal="70" workbookViewId="0">
      <pane ySplit="3" topLeftCell="A4" activePane="bottomLeft" state="frozen"/>
      <selection pane="bottomLeft" activeCell="AF43" sqref="A1:AF4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36328125" customWidth="1"/>
    <col min="12" max="12" width="13.3632812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36328125" customWidth="1"/>
    <col min="28" max="31" width="5.81640625" customWidth="1"/>
    <col min="32" max="32" width="52.36328125" customWidth="1"/>
  </cols>
  <sheetData>
    <row r="1" spans="1:32" ht="18.75" customHeight="1" thickBot="1" x14ac:dyDescent="0.4">
      <c r="A1" s="6" t="s">
        <v>441</v>
      </c>
      <c r="B1" s="7"/>
      <c r="C1" s="8"/>
      <c r="D1" s="8"/>
      <c r="E1" s="8"/>
      <c r="F1" s="8"/>
      <c r="G1" s="20"/>
      <c r="H1" s="20"/>
      <c r="I1" s="20"/>
      <c r="J1" s="7"/>
      <c r="K1" s="20"/>
      <c r="L1" s="20"/>
      <c r="M1" s="20"/>
      <c r="N1" s="20"/>
      <c r="O1" s="20"/>
      <c r="P1" s="20"/>
      <c r="Q1" s="20"/>
      <c r="R1" s="21"/>
      <c r="S1" s="127" t="s">
        <v>440</v>
      </c>
      <c r="T1" s="128"/>
      <c r="U1" s="128"/>
      <c r="V1" s="128"/>
      <c r="W1" s="128"/>
      <c r="X1" s="128"/>
      <c r="Y1" s="128"/>
      <c r="Z1" s="128"/>
      <c r="AA1" s="129"/>
      <c r="AB1" s="122">
        <v>1</v>
      </c>
      <c r="AC1" s="122">
        <v>2</v>
      </c>
      <c r="AD1" s="122">
        <v>3</v>
      </c>
      <c r="AE1" s="122">
        <v>4</v>
      </c>
      <c r="AF1" s="30"/>
    </row>
    <row r="2" spans="1:32" ht="52.5" customHeight="1" thickBot="1" x14ac:dyDescent="0.4">
      <c r="A2" s="9"/>
      <c r="B2" s="10"/>
      <c r="C2" s="8"/>
      <c r="D2" s="20"/>
      <c r="E2" s="21"/>
      <c r="F2" s="130" t="s">
        <v>26</v>
      </c>
      <c r="G2" s="131"/>
      <c r="H2" s="131"/>
      <c r="I2" s="131"/>
      <c r="J2" s="132"/>
      <c r="K2" s="130" t="s">
        <v>25</v>
      </c>
      <c r="L2" s="131"/>
      <c r="M2" s="131"/>
      <c r="N2" s="131"/>
      <c r="O2" s="131"/>
      <c r="P2" s="131"/>
      <c r="Q2" s="131"/>
      <c r="R2" s="131"/>
      <c r="S2" s="130" t="s">
        <v>24</v>
      </c>
      <c r="T2" s="131"/>
      <c r="U2" s="131"/>
      <c r="V2" s="131"/>
      <c r="W2" s="131"/>
      <c r="X2" s="131"/>
      <c r="Y2" s="131"/>
      <c r="Z2" s="132"/>
      <c r="AA2" s="11" t="s">
        <v>23</v>
      </c>
      <c r="AB2" s="133"/>
      <c r="AC2" s="133"/>
      <c r="AD2" s="133"/>
      <c r="AE2" s="133"/>
      <c r="AF2" s="1" t="s">
        <v>41</v>
      </c>
    </row>
    <row r="3" spans="1:32" ht="201.75" customHeight="1" thickBot="1" x14ac:dyDescent="0.4">
      <c r="A3" s="45" t="s">
        <v>22</v>
      </c>
      <c r="B3" s="22" t="s">
        <v>21</v>
      </c>
      <c r="C3" s="22" t="s">
        <v>20</v>
      </c>
      <c r="D3" s="22" t="s">
        <v>19</v>
      </c>
      <c r="E3" s="27" t="s">
        <v>18</v>
      </c>
      <c r="F3" s="25" t="s">
        <v>27</v>
      </c>
      <c r="G3" s="23" t="s">
        <v>17</v>
      </c>
      <c r="H3" s="23" t="s">
        <v>160</v>
      </c>
      <c r="I3" s="23" t="s">
        <v>16</v>
      </c>
      <c r="J3" s="27" t="s">
        <v>15</v>
      </c>
      <c r="K3" s="26" t="s">
        <v>28</v>
      </c>
      <c r="L3" s="22" t="s">
        <v>29</v>
      </c>
      <c r="M3" s="22" t="s">
        <v>42</v>
      </c>
      <c r="N3" s="22" t="s">
        <v>14</v>
      </c>
      <c r="O3" s="22" t="s">
        <v>13</v>
      </c>
      <c r="P3" s="22" t="s">
        <v>12</v>
      </c>
      <c r="Q3" s="22" t="s">
        <v>11</v>
      </c>
      <c r="R3" s="28" t="s">
        <v>10</v>
      </c>
      <c r="S3" s="31" t="s">
        <v>9</v>
      </c>
      <c r="T3" s="22" t="s">
        <v>8</v>
      </c>
      <c r="U3" s="24" t="s">
        <v>7</v>
      </c>
      <c r="V3" s="22" t="s">
        <v>6</v>
      </c>
      <c r="W3" s="24" t="s">
        <v>5</v>
      </c>
      <c r="X3" s="22" t="s">
        <v>4</v>
      </c>
      <c r="Y3" s="24" t="s">
        <v>3</v>
      </c>
      <c r="Z3" s="28" t="s">
        <v>2</v>
      </c>
      <c r="AA3" s="29" t="s">
        <v>1</v>
      </c>
      <c r="AB3" s="123" t="s">
        <v>436</v>
      </c>
      <c r="AC3" s="124" t="s">
        <v>437</v>
      </c>
      <c r="AD3" s="124" t="s">
        <v>438</v>
      </c>
      <c r="AE3" s="125" t="s">
        <v>439</v>
      </c>
      <c r="AF3" s="69"/>
    </row>
    <row r="4" spans="1:32" s="2" customFormat="1" ht="24.75" customHeight="1" x14ac:dyDescent="0.3">
      <c r="A4" s="88">
        <v>1</v>
      </c>
      <c r="B4" s="89" t="s">
        <v>404</v>
      </c>
      <c r="C4" s="81" t="s">
        <v>313</v>
      </c>
      <c r="D4" s="90" t="s">
        <v>325</v>
      </c>
      <c r="E4" s="83" t="s">
        <v>326</v>
      </c>
      <c r="F4" s="98" t="s">
        <v>252</v>
      </c>
      <c r="G4" s="81">
        <v>1</v>
      </c>
      <c r="H4" s="80" t="s">
        <v>101</v>
      </c>
      <c r="I4" s="81" t="s">
        <v>99</v>
      </c>
      <c r="J4" s="99" t="s">
        <v>155</v>
      </c>
      <c r="K4" s="95" t="s">
        <v>176</v>
      </c>
      <c r="L4" s="80" t="s">
        <v>100</v>
      </c>
      <c r="M4" s="81" t="s">
        <v>384</v>
      </c>
      <c r="N4" s="82" t="s">
        <v>316</v>
      </c>
      <c r="O4" s="81"/>
      <c r="P4" s="82"/>
      <c r="Q4" s="81" t="s">
        <v>100</v>
      </c>
      <c r="R4" s="83" t="s">
        <v>100</v>
      </c>
      <c r="S4" s="104"/>
      <c r="T4" s="81"/>
      <c r="U4" s="82"/>
      <c r="V4" s="81" t="s">
        <v>316</v>
      </c>
      <c r="W4" s="82" t="s">
        <v>124</v>
      </c>
      <c r="X4" s="81" t="s">
        <v>100</v>
      </c>
      <c r="Y4" s="82"/>
      <c r="Z4" s="105"/>
      <c r="AA4" s="114" t="s">
        <v>378</v>
      </c>
      <c r="AB4" s="79"/>
      <c r="AC4" s="81"/>
      <c r="AD4" s="81"/>
      <c r="AE4" s="99"/>
      <c r="AF4" s="110"/>
    </row>
    <row r="5" spans="1:32" s="2" customFormat="1" ht="24.75" customHeight="1" x14ac:dyDescent="0.3">
      <c r="A5" s="91">
        <v>2</v>
      </c>
      <c r="B5" s="64" t="s">
        <v>403</v>
      </c>
      <c r="C5" s="65" t="s">
        <v>313</v>
      </c>
      <c r="D5" s="66" t="s">
        <v>327</v>
      </c>
      <c r="E5" s="70" t="s">
        <v>328</v>
      </c>
      <c r="F5" s="100" t="s">
        <v>253</v>
      </c>
      <c r="G5" s="65">
        <v>1</v>
      </c>
      <c r="H5" s="67" t="s">
        <v>101</v>
      </c>
      <c r="I5" s="65" t="s">
        <v>108</v>
      </c>
      <c r="J5" s="101" t="s">
        <v>44</v>
      </c>
      <c r="K5" s="96" t="s">
        <v>175</v>
      </c>
      <c r="L5" s="67" t="s">
        <v>100</v>
      </c>
      <c r="M5" s="65" t="s">
        <v>384</v>
      </c>
      <c r="N5" s="68" t="s">
        <v>316</v>
      </c>
      <c r="O5" s="65"/>
      <c r="P5" s="68"/>
      <c r="Q5" s="65" t="s">
        <v>100</v>
      </c>
      <c r="R5" s="70" t="s">
        <v>100</v>
      </c>
      <c r="S5" s="106"/>
      <c r="T5" s="65"/>
      <c r="U5" s="68"/>
      <c r="V5" s="65" t="s">
        <v>316</v>
      </c>
      <c r="W5" s="68" t="s">
        <v>124</v>
      </c>
      <c r="X5" s="65" t="s">
        <v>100</v>
      </c>
      <c r="Y5" s="68"/>
      <c r="Z5" s="107"/>
      <c r="AA5" s="115" t="s">
        <v>317</v>
      </c>
      <c r="AB5" s="117">
        <v>1</v>
      </c>
      <c r="AC5" s="113"/>
      <c r="AD5" s="113"/>
      <c r="AE5" s="118"/>
      <c r="AF5" s="111"/>
    </row>
    <row r="6" spans="1:32" s="2" customFormat="1" ht="24.75" customHeight="1" x14ac:dyDescent="0.3">
      <c r="A6" s="91">
        <v>3</v>
      </c>
      <c r="B6" s="64" t="s">
        <v>402</v>
      </c>
      <c r="C6" s="65" t="s">
        <v>313</v>
      </c>
      <c r="D6" s="66" t="s">
        <v>314</v>
      </c>
      <c r="E6" s="70" t="s">
        <v>323</v>
      </c>
      <c r="F6" s="100" t="s">
        <v>253</v>
      </c>
      <c r="G6" s="65">
        <v>1</v>
      </c>
      <c r="H6" s="67" t="s">
        <v>103</v>
      </c>
      <c r="I6" s="65" t="s">
        <v>108</v>
      </c>
      <c r="J6" s="101" t="s">
        <v>155</v>
      </c>
      <c r="K6" s="96" t="s">
        <v>175</v>
      </c>
      <c r="L6" s="67" t="s">
        <v>100</v>
      </c>
      <c r="M6" s="65" t="s">
        <v>384</v>
      </c>
      <c r="N6" s="68" t="s">
        <v>316</v>
      </c>
      <c r="O6" s="65"/>
      <c r="P6" s="68"/>
      <c r="Q6" s="65" t="s">
        <v>137</v>
      </c>
      <c r="R6" s="70" t="s">
        <v>343</v>
      </c>
      <c r="S6" s="106"/>
      <c r="T6" s="65"/>
      <c r="U6" s="68"/>
      <c r="V6" s="65" t="s">
        <v>316</v>
      </c>
      <c r="W6" s="68" t="s">
        <v>124</v>
      </c>
      <c r="X6" s="65" t="s">
        <v>100</v>
      </c>
      <c r="Y6" s="68"/>
      <c r="Z6" s="107"/>
      <c r="AA6" s="115" t="s">
        <v>378</v>
      </c>
      <c r="AB6" s="117"/>
      <c r="AC6" s="113"/>
      <c r="AD6" s="113"/>
      <c r="AE6" s="118"/>
      <c r="AF6" s="111"/>
    </row>
    <row r="7" spans="1:32" s="2" customFormat="1" ht="24.75" customHeight="1" x14ac:dyDescent="0.3">
      <c r="A7" s="91">
        <v>4</v>
      </c>
      <c r="B7" s="64" t="s">
        <v>401</v>
      </c>
      <c r="C7" s="65" t="s">
        <v>313</v>
      </c>
      <c r="D7" s="66" t="s">
        <v>314</v>
      </c>
      <c r="E7" s="70" t="s">
        <v>320</v>
      </c>
      <c r="F7" s="100" t="s">
        <v>252</v>
      </c>
      <c r="G7" s="65">
        <v>1</v>
      </c>
      <c r="H7" s="67" t="s">
        <v>159</v>
      </c>
      <c r="I7" s="65" t="s">
        <v>98</v>
      </c>
      <c r="J7" s="101" t="s">
        <v>155</v>
      </c>
      <c r="K7" s="96" t="s">
        <v>178</v>
      </c>
      <c r="L7" s="67" t="s">
        <v>100</v>
      </c>
      <c r="M7" s="65" t="s">
        <v>311</v>
      </c>
      <c r="N7" s="68"/>
      <c r="O7" s="65" t="s">
        <v>316</v>
      </c>
      <c r="P7" s="68" t="s">
        <v>316</v>
      </c>
      <c r="Q7" s="65" t="s">
        <v>137</v>
      </c>
      <c r="R7" s="70" t="s">
        <v>100</v>
      </c>
      <c r="S7" s="106" t="s">
        <v>316</v>
      </c>
      <c r="T7" s="65" t="s">
        <v>316</v>
      </c>
      <c r="U7" s="68" t="s">
        <v>316</v>
      </c>
      <c r="V7" s="65"/>
      <c r="W7" s="68" t="s">
        <v>126</v>
      </c>
      <c r="X7" s="65" t="s">
        <v>100</v>
      </c>
      <c r="Y7" s="68" t="s">
        <v>316</v>
      </c>
      <c r="Z7" s="107"/>
      <c r="AA7" s="115" t="s">
        <v>378</v>
      </c>
      <c r="AB7" s="117"/>
      <c r="AC7" s="113"/>
      <c r="AD7" s="113"/>
      <c r="AE7" s="118"/>
      <c r="AF7" s="111" t="s">
        <v>318</v>
      </c>
    </row>
    <row r="8" spans="1:32" s="2" customFormat="1" ht="24.75" customHeight="1" x14ac:dyDescent="0.3">
      <c r="A8" s="91">
        <v>5</v>
      </c>
      <c r="B8" s="64" t="s">
        <v>399</v>
      </c>
      <c r="C8" s="65" t="s">
        <v>313</v>
      </c>
      <c r="D8" s="66" t="s">
        <v>314</v>
      </c>
      <c r="E8" s="70" t="s">
        <v>315</v>
      </c>
      <c r="F8" s="100" t="s">
        <v>252</v>
      </c>
      <c r="G8" s="65">
        <v>1</v>
      </c>
      <c r="H8" s="67" t="s">
        <v>159</v>
      </c>
      <c r="I8" s="65" t="s">
        <v>98</v>
      </c>
      <c r="J8" s="101" t="s">
        <v>155</v>
      </c>
      <c r="K8" s="96" t="s">
        <v>163</v>
      </c>
      <c r="L8" s="67" t="s">
        <v>100</v>
      </c>
      <c r="M8" s="65" t="s">
        <v>311</v>
      </c>
      <c r="N8" s="68"/>
      <c r="O8" s="65" t="s">
        <v>316</v>
      </c>
      <c r="P8" s="68"/>
      <c r="Q8" s="65" t="s">
        <v>137</v>
      </c>
      <c r="R8" s="70" t="s">
        <v>100</v>
      </c>
      <c r="S8" s="106" t="s">
        <v>316</v>
      </c>
      <c r="T8" s="65" t="s">
        <v>316</v>
      </c>
      <c r="U8" s="68"/>
      <c r="V8" s="65" t="s">
        <v>316</v>
      </c>
      <c r="W8" s="68" t="s">
        <v>126</v>
      </c>
      <c r="X8" s="65" t="s">
        <v>100</v>
      </c>
      <c r="Y8" s="68"/>
      <c r="Z8" s="107"/>
      <c r="AA8" s="115" t="s">
        <v>317</v>
      </c>
      <c r="AB8" s="117"/>
      <c r="AC8" s="113"/>
      <c r="AD8" s="113">
        <v>1</v>
      </c>
      <c r="AE8" s="118"/>
      <c r="AF8" s="111" t="s">
        <v>400</v>
      </c>
    </row>
    <row r="9" spans="1:32" s="2" customFormat="1" ht="24.75" customHeight="1" thickBot="1" x14ac:dyDescent="0.35">
      <c r="A9" s="92">
        <v>6</v>
      </c>
      <c r="B9" s="93" t="s">
        <v>397</v>
      </c>
      <c r="C9" s="85" t="s">
        <v>313</v>
      </c>
      <c r="D9" s="94" t="s">
        <v>314</v>
      </c>
      <c r="E9" s="87" t="s">
        <v>321</v>
      </c>
      <c r="F9" s="102" t="s">
        <v>252</v>
      </c>
      <c r="G9" s="85">
        <v>1</v>
      </c>
      <c r="H9" s="84" t="s">
        <v>159</v>
      </c>
      <c r="I9" s="85" t="s">
        <v>98</v>
      </c>
      <c r="J9" s="103" t="s">
        <v>155</v>
      </c>
      <c r="K9" s="97" t="s">
        <v>176</v>
      </c>
      <c r="L9" s="84" t="s">
        <v>100</v>
      </c>
      <c r="M9" s="85" t="s">
        <v>376</v>
      </c>
      <c r="N9" s="86" t="s">
        <v>316</v>
      </c>
      <c r="O9" s="85"/>
      <c r="P9" s="86" t="s">
        <v>316</v>
      </c>
      <c r="Q9" s="85" t="s">
        <v>100</v>
      </c>
      <c r="R9" s="87" t="s">
        <v>100</v>
      </c>
      <c r="S9" s="108"/>
      <c r="T9" s="85"/>
      <c r="U9" s="86" t="s">
        <v>316</v>
      </c>
      <c r="V9" s="85"/>
      <c r="W9" s="86" t="s">
        <v>125</v>
      </c>
      <c r="X9" s="85" t="s">
        <v>100</v>
      </c>
      <c r="Y9" s="86"/>
      <c r="Z9" s="109"/>
      <c r="AA9" s="116" t="s">
        <v>378</v>
      </c>
      <c r="AB9" s="119"/>
      <c r="AC9" s="120"/>
      <c r="AD9" s="120"/>
      <c r="AE9" s="121"/>
      <c r="AF9" s="112"/>
    </row>
    <row r="10" spans="1:32" s="2" customFormat="1" ht="24.75" customHeight="1" x14ac:dyDescent="0.3">
      <c r="A10" s="88">
        <v>7</v>
      </c>
      <c r="B10" s="89" t="s">
        <v>396</v>
      </c>
      <c r="C10" s="81" t="s">
        <v>313</v>
      </c>
      <c r="D10" s="90" t="s">
        <v>314</v>
      </c>
      <c r="E10" s="83" t="s">
        <v>330</v>
      </c>
      <c r="F10" s="98" t="s">
        <v>257</v>
      </c>
      <c r="G10" s="81">
        <v>1</v>
      </c>
      <c r="H10" s="80" t="s">
        <v>159</v>
      </c>
      <c r="I10" s="81" t="s">
        <v>329</v>
      </c>
      <c r="J10" s="99" t="s">
        <v>156</v>
      </c>
      <c r="K10" s="95" t="s">
        <v>176</v>
      </c>
      <c r="L10" s="80" t="s">
        <v>100</v>
      </c>
      <c r="M10" s="81" t="s">
        <v>391</v>
      </c>
      <c r="N10" s="82" t="s">
        <v>316</v>
      </c>
      <c r="O10" s="81"/>
      <c r="P10" s="82" t="s">
        <v>316</v>
      </c>
      <c r="Q10" s="81" t="s">
        <v>137</v>
      </c>
      <c r="R10" s="83" t="s">
        <v>343</v>
      </c>
      <c r="S10" s="104"/>
      <c r="T10" s="81"/>
      <c r="U10" s="82" t="s">
        <v>316</v>
      </c>
      <c r="V10" s="81"/>
      <c r="W10" s="82" t="s">
        <v>124</v>
      </c>
      <c r="X10" s="81" t="s">
        <v>100</v>
      </c>
      <c r="Y10" s="82"/>
      <c r="Z10" s="105"/>
      <c r="AA10" s="114" t="s">
        <v>378</v>
      </c>
      <c r="AB10" s="79"/>
      <c r="AC10" s="81"/>
      <c r="AD10" s="81"/>
      <c r="AE10" s="99"/>
      <c r="AF10" s="110"/>
    </row>
    <row r="11" spans="1:32" s="2" customFormat="1" ht="24.75" customHeight="1" x14ac:dyDescent="0.3">
      <c r="A11" s="91">
        <v>8</v>
      </c>
      <c r="B11" s="64" t="s">
        <v>395</v>
      </c>
      <c r="C11" s="65" t="s">
        <v>313</v>
      </c>
      <c r="D11" s="66" t="s">
        <v>314</v>
      </c>
      <c r="E11" s="70" t="s">
        <v>330</v>
      </c>
      <c r="F11" s="100" t="s">
        <v>257</v>
      </c>
      <c r="G11" s="65">
        <v>1</v>
      </c>
      <c r="H11" s="67" t="s">
        <v>159</v>
      </c>
      <c r="I11" s="65" t="s">
        <v>329</v>
      </c>
      <c r="J11" s="101" t="s">
        <v>156</v>
      </c>
      <c r="K11" s="96" t="s">
        <v>176</v>
      </c>
      <c r="L11" s="67" t="s">
        <v>100</v>
      </c>
      <c r="M11" s="65" t="s">
        <v>391</v>
      </c>
      <c r="N11" s="68" t="s">
        <v>316</v>
      </c>
      <c r="O11" s="65"/>
      <c r="P11" s="68" t="s">
        <v>316</v>
      </c>
      <c r="Q11" s="65" t="s">
        <v>100</v>
      </c>
      <c r="R11" s="70" t="s">
        <v>100</v>
      </c>
      <c r="S11" s="106" t="s">
        <v>316</v>
      </c>
      <c r="T11" s="65" t="s">
        <v>316</v>
      </c>
      <c r="U11" s="68" t="s">
        <v>316</v>
      </c>
      <c r="V11" s="65"/>
      <c r="W11" s="68" t="s">
        <v>124</v>
      </c>
      <c r="X11" s="65" t="s">
        <v>100</v>
      </c>
      <c r="Y11" s="68" t="s">
        <v>316</v>
      </c>
      <c r="Z11" s="107"/>
      <c r="AA11" s="115" t="s">
        <v>378</v>
      </c>
      <c r="AB11" s="117"/>
      <c r="AC11" s="113"/>
      <c r="AD11" s="113"/>
      <c r="AE11" s="118"/>
      <c r="AF11" s="111"/>
    </row>
    <row r="12" spans="1:32" s="2" customFormat="1" ht="24.75" customHeight="1" x14ac:dyDescent="0.3">
      <c r="A12" s="91">
        <v>9</v>
      </c>
      <c r="B12" s="64" t="s">
        <v>393</v>
      </c>
      <c r="C12" s="65" t="s">
        <v>313</v>
      </c>
      <c r="D12" s="66" t="s">
        <v>334</v>
      </c>
      <c r="E12" s="70" t="s">
        <v>335</v>
      </c>
      <c r="F12" s="100" t="s">
        <v>252</v>
      </c>
      <c r="G12" s="65">
        <v>1</v>
      </c>
      <c r="H12" s="67" t="s">
        <v>159</v>
      </c>
      <c r="I12" s="65" t="s">
        <v>98</v>
      </c>
      <c r="J12" s="101" t="s">
        <v>156</v>
      </c>
      <c r="K12" s="96" t="s">
        <v>175</v>
      </c>
      <c r="L12" s="67" t="s">
        <v>100</v>
      </c>
      <c r="M12" s="65" t="s">
        <v>391</v>
      </c>
      <c r="N12" s="68" t="s">
        <v>316</v>
      </c>
      <c r="O12" s="65"/>
      <c r="P12" s="68" t="s">
        <v>316</v>
      </c>
      <c r="Q12" s="65" t="s">
        <v>100</v>
      </c>
      <c r="R12" s="70" t="s">
        <v>100</v>
      </c>
      <c r="S12" s="106"/>
      <c r="T12" s="65"/>
      <c r="U12" s="68"/>
      <c r="V12" s="65" t="s">
        <v>316</v>
      </c>
      <c r="W12" s="68" t="s">
        <v>124</v>
      </c>
      <c r="X12" s="65" t="s">
        <v>100</v>
      </c>
      <c r="Y12" s="68"/>
      <c r="Z12" s="107"/>
      <c r="AA12" s="115" t="s">
        <v>317</v>
      </c>
      <c r="AB12" s="117"/>
      <c r="AC12" s="113">
        <v>1</v>
      </c>
      <c r="AD12" s="113"/>
      <c r="AE12" s="118"/>
      <c r="AF12" s="111" t="s">
        <v>394</v>
      </c>
    </row>
    <row r="13" spans="1:32" s="2" customFormat="1" ht="24.75" customHeight="1" x14ac:dyDescent="0.3">
      <c r="A13" s="91">
        <v>10</v>
      </c>
      <c r="B13" s="64" t="s">
        <v>390</v>
      </c>
      <c r="C13" s="65" t="s">
        <v>313</v>
      </c>
      <c r="D13" s="66" t="s">
        <v>314</v>
      </c>
      <c r="E13" s="70" t="s">
        <v>337</v>
      </c>
      <c r="F13" s="100" t="s">
        <v>252</v>
      </c>
      <c r="G13" s="65">
        <v>1</v>
      </c>
      <c r="H13" s="67" t="s">
        <v>159</v>
      </c>
      <c r="I13" s="65" t="s">
        <v>98</v>
      </c>
      <c r="J13" s="101" t="s">
        <v>156</v>
      </c>
      <c r="K13" s="96" t="s">
        <v>379</v>
      </c>
      <c r="L13" s="67" t="s">
        <v>100</v>
      </c>
      <c r="M13" s="65" t="s">
        <v>389</v>
      </c>
      <c r="N13" s="68" t="s">
        <v>316</v>
      </c>
      <c r="O13" s="65"/>
      <c r="P13" s="68" t="s">
        <v>316</v>
      </c>
      <c r="Q13" s="65" t="s">
        <v>100</v>
      </c>
      <c r="R13" s="70" t="s">
        <v>100</v>
      </c>
      <c r="S13" s="106"/>
      <c r="T13" s="65" t="s">
        <v>316</v>
      </c>
      <c r="U13" s="68" t="s">
        <v>316</v>
      </c>
      <c r="V13" s="65"/>
      <c r="W13" s="68" t="s">
        <v>124</v>
      </c>
      <c r="X13" s="65" t="s">
        <v>100</v>
      </c>
      <c r="Y13" s="68" t="s">
        <v>316</v>
      </c>
      <c r="Z13" s="107"/>
      <c r="AA13" s="115" t="s">
        <v>378</v>
      </c>
      <c r="AB13" s="117"/>
      <c r="AC13" s="113"/>
      <c r="AD13" s="113"/>
      <c r="AE13" s="118"/>
      <c r="AF13" s="111"/>
    </row>
    <row r="14" spans="1:32" s="2" customFormat="1" ht="24.75" customHeight="1" x14ac:dyDescent="0.3">
      <c r="A14" s="91">
        <v>11</v>
      </c>
      <c r="B14" s="64" t="s">
        <v>388</v>
      </c>
      <c r="C14" s="65" t="s">
        <v>313</v>
      </c>
      <c r="D14" s="66" t="s">
        <v>314</v>
      </c>
      <c r="E14" s="70" t="s">
        <v>338</v>
      </c>
      <c r="F14" s="100" t="s">
        <v>252</v>
      </c>
      <c r="G14" s="65">
        <v>1</v>
      </c>
      <c r="H14" s="67" t="s">
        <v>159</v>
      </c>
      <c r="I14" s="65" t="s">
        <v>98</v>
      </c>
      <c r="J14" s="101" t="s">
        <v>156</v>
      </c>
      <c r="K14" s="96" t="s">
        <v>176</v>
      </c>
      <c r="L14" s="67" t="s">
        <v>100</v>
      </c>
      <c r="M14" s="65" t="s">
        <v>376</v>
      </c>
      <c r="N14" s="68"/>
      <c r="O14" s="65" t="s">
        <v>316</v>
      </c>
      <c r="P14" s="68"/>
      <c r="Q14" s="65" t="s">
        <v>100</v>
      </c>
      <c r="R14" s="70" t="s">
        <v>343</v>
      </c>
      <c r="S14" s="106" t="s">
        <v>316</v>
      </c>
      <c r="T14" s="65" t="s">
        <v>316</v>
      </c>
      <c r="U14" s="68"/>
      <c r="V14" s="65" t="s">
        <v>316</v>
      </c>
      <c r="W14" s="68" t="s">
        <v>125</v>
      </c>
      <c r="X14" s="65" t="s">
        <v>51</v>
      </c>
      <c r="Y14" s="68" t="s">
        <v>316</v>
      </c>
      <c r="Z14" s="107"/>
      <c r="AA14" s="115" t="s">
        <v>378</v>
      </c>
      <c r="AB14" s="117"/>
      <c r="AC14" s="113"/>
      <c r="AD14" s="113"/>
      <c r="AE14" s="118"/>
      <c r="AF14" s="111"/>
    </row>
    <row r="15" spans="1:32" s="2" customFormat="1" ht="24.75" customHeight="1" thickBot="1" x14ac:dyDescent="0.35">
      <c r="A15" s="92">
        <v>12</v>
      </c>
      <c r="B15" s="93" t="s">
        <v>387</v>
      </c>
      <c r="C15" s="85" t="s">
        <v>313</v>
      </c>
      <c r="D15" s="94" t="s">
        <v>314</v>
      </c>
      <c r="E15" s="87" t="s">
        <v>330</v>
      </c>
      <c r="F15" s="102" t="s">
        <v>252</v>
      </c>
      <c r="G15" s="85">
        <v>1</v>
      </c>
      <c r="H15" s="84" t="s">
        <v>159</v>
      </c>
      <c r="I15" s="85" t="s">
        <v>98</v>
      </c>
      <c r="J15" s="103" t="s">
        <v>156</v>
      </c>
      <c r="K15" s="97" t="s">
        <v>176</v>
      </c>
      <c r="L15" s="84" t="s">
        <v>100</v>
      </c>
      <c r="M15" s="85" t="s">
        <v>386</v>
      </c>
      <c r="N15" s="86"/>
      <c r="O15" s="85" t="s">
        <v>316</v>
      </c>
      <c r="P15" s="86" t="s">
        <v>316</v>
      </c>
      <c r="Q15" s="85" t="s">
        <v>100</v>
      </c>
      <c r="R15" s="87" t="s">
        <v>100</v>
      </c>
      <c r="S15" s="108" t="s">
        <v>316</v>
      </c>
      <c r="T15" s="85" t="s">
        <v>316</v>
      </c>
      <c r="U15" s="86" t="s">
        <v>316</v>
      </c>
      <c r="V15" s="85"/>
      <c r="W15" s="86" t="s">
        <v>124</v>
      </c>
      <c r="X15" s="85" t="s">
        <v>100</v>
      </c>
      <c r="Y15" s="86" t="s">
        <v>316</v>
      </c>
      <c r="Z15" s="109"/>
      <c r="AA15" s="116" t="s">
        <v>378</v>
      </c>
      <c r="AB15" s="119"/>
      <c r="AC15" s="120"/>
      <c r="AD15" s="120"/>
      <c r="AE15" s="121"/>
      <c r="AF15" s="112"/>
    </row>
    <row r="16" spans="1:32" s="2" customFormat="1" ht="24.75" customHeight="1" x14ac:dyDescent="0.3">
      <c r="A16" s="88">
        <v>13</v>
      </c>
      <c r="B16" s="89" t="s">
        <v>377</v>
      </c>
      <c r="C16" s="81" t="s">
        <v>313</v>
      </c>
      <c r="D16" s="90" t="s">
        <v>314</v>
      </c>
      <c r="E16" s="83" t="s">
        <v>332</v>
      </c>
      <c r="F16" s="98" t="s">
        <v>252</v>
      </c>
      <c r="G16" s="81">
        <v>1</v>
      </c>
      <c r="H16" s="80" t="s">
        <v>159</v>
      </c>
      <c r="I16" s="81" t="s">
        <v>98</v>
      </c>
      <c r="J16" s="99" t="s">
        <v>110</v>
      </c>
      <c r="K16" s="95" t="s">
        <v>176</v>
      </c>
      <c r="L16" s="80" t="s">
        <v>100</v>
      </c>
      <c r="M16" s="81" t="s">
        <v>376</v>
      </c>
      <c r="N16" s="82"/>
      <c r="O16" s="81" t="s">
        <v>316</v>
      </c>
      <c r="P16" s="82"/>
      <c r="Q16" s="81" t="s">
        <v>100</v>
      </c>
      <c r="R16" s="83" t="s">
        <v>343</v>
      </c>
      <c r="S16" s="104" t="s">
        <v>316</v>
      </c>
      <c r="T16" s="81" t="s">
        <v>316</v>
      </c>
      <c r="U16" s="82"/>
      <c r="V16" s="81" t="s">
        <v>316</v>
      </c>
      <c r="W16" s="82" t="s">
        <v>125</v>
      </c>
      <c r="X16" s="81" t="s">
        <v>51</v>
      </c>
      <c r="Y16" s="82" t="s">
        <v>316</v>
      </c>
      <c r="Z16" s="105"/>
      <c r="AA16" s="114" t="s">
        <v>378</v>
      </c>
      <c r="AB16" s="79"/>
      <c r="AC16" s="81"/>
      <c r="AD16" s="81"/>
      <c r="AE16" s="99"/>
      <c r="AF16" s="110"/>
    </row>
    <row r="17" spans="1:32" s="2" customFormat="1" ht="24.75" customHeight="1" x14ac:dyDescent="0.3">
      <c r="A17" s="91">
        <v>14</v>
      </c>
      <c r="B17" s="64" t="s">
        <v>382</v>
      </c>
      <c r="C17" s="65" t="s">
        <v>313</v>
      </c>
      <c r="D17" s="66" t="s">
        <v>339</v>
      </c>
      <c r="E17" s="70" t="s">
        <v>340</v>
      </c>
      <c r="F17" s="100" t="s">
        <v>252</v>
      </c>
      <c r="G17" s="65">
        <v>1</v>
      </c>
      <c r="H17" s="67" t="s">
        <v>101</v>
      </c>
      <c r="I17" s="65" t="s">
        <v>99</v>
      </c>
      <c r="J17" s="101" t="s">
        <v>156</v>
      </c>
      <c r="K17" s="96" t="s">
        <v>379</v>
      </c>
      <c r="L17" s="67" t="s">
        <v>100</v>
      </c>
      <c r="M17" s="65" t="s">
        <v>380</v>
      </c>
      <c r="N17" s="68" t="s">
        <v>316</v>
      </c>
      <c r="O17" s="65"/>
      <c r="P17" s="68"/>
      <c r="Q17" s="65" t="s">
        <v>100</v>
      </c>
      <c r="R17" s="70" t="s">
        <v>100</v>
      </c>
      <c r="S17" s="106"/>
      <c r="T17" s="65"/>
      <c r="U17" s="68"/>
      <c r="V17" s="65" t="s">
        <v>316</v>
      </c>
      <c r="W17" s="68" t="s">
        <v>124</v>
      </c>
      <c r="X17" s="65" t="s">
        <v>100</v>
      </c>
      <c r="Y17" s="68"/>
      <c r="Z17" s="107"/>
      <c r="AA17" s="115" t="s">
        <v>378</v>
      </c>
      <c r="AB17" s="117"/>
      <c r="AC17" s="113"/>
      <c r="AD17" s="113"/>
      <c r="AE17" s="118"/>
      <c r="AF17" s="111"/>
    </row>
    <row r="18" spans="1:32" s="2" customFormat="1" ht="24.75" customHeight="1" x14ac:dyDescent="0.3">
      <c r="A18" s="91">
        <v>15</v>
      </c>
      <c r="B18" s="64" t="s">
        <v>381</v>
      </c>
      <c r="C18" s="65" t="s">
        <v>313</v>
      </c>
      <c r="D18" s="66" t="s">
        <v>341</v>
      </c>
      <c r="E18" s="70" t="s">
        <v>342</v>
      </c>
      <c r="F18" s="100" t="s">
        <v>252</v>
      </c>
      <c r="G18" s="65">
        <v>1</v>
      </c>
      <c r="H18" s="67" t="s">
        <v>101</v>
      </c>
      <c r="I18" s="65" t="s">
        <v>99</v>
      </c>
      <c r="J18" s="101" t="s">
        <v>156</v>
      </c>
      <c r="K18" s="96" t="s">
        <v>379</v>
      </c>
      <c r="L18" s="67" t="s">
        <v>100</v>
      </c>
      <c r="M18" s="65" t="s">
        <v>380</v>
      </c>
      <c r="N18" s="68" t="s">
        <v>316</v>
      </c>
      <c r="O18" s="65"/>
      <c r="P18" s="68"/>
      <c r="Q18" s="65" t="s">
        <v>100</v>
      </c>
      <c r="R18" s="70" t="s">
        <v>100</v>
      </c>
      <c r="S18" s="106"/>
      <c r="T18" s="65"/>
      <c r="U18" s="68"/>
      <c r="V18" s="65" t="s">
        <v>316</v>
      </c>
      <c r="W18" s="68" t="s">
        <v>124</v>
      </c>
      <c r="X18" s="65" t="s">
        <v>100</v>
      </c>
      <c r="Y18" s="68"/>
      <c r="Z18" s="107"/>
      <c r="AA18" s="115" t="s">
        <v>378</v>
      </c>
      <c r="AB18" s="117"/>
      <c r="AC18" s="113"/>
      <c r="AD18" s="113"/>
      <c r="AE18" s="118"/>
      <c r="AF18" s="111"/>
    </row>
    <row r="19" spans="1:32" s="2" customFormat="1" ht="24.75" customHeight="1" x14ac:dyDescent="0.3">
      <c r="A19" s="91">
        <v>16</v>
      </c>
      <c r="B19" s="64" t="s">
        <v>383</v>
      </c>
      <c r="C19" s="65" t="s">
        <v>313</v>
      </c>
      <c r="D19" s="66" t="s">
        <v>367</v>
      </c>
      <c r="E19" s="70" t="s">
        <v>368</v>
      </c>
      <c r="F19" s="100" t="s">
        <v>252</v>
      </c>
      <c r="G19" s="65">
        <v>1</v>
      </c>
      <c r="H19" s="67" t="s">
        <v>101</v>
      </c>
      <c r="I19" s="65" t="s">
        <v>99</v>
      </c>
      <c r="J19" s="101" t="s">
        <v>156</v>
      </c>
      <c r="K19" s="96" t="s">
        <v>379</v>
      </c>
      <c r="L19" s="67" t="s">
        <v>100</v>
      </c>
      <c r="M19" s="65" t="s">
        <v>380</v>
      </c>
      <c r="N19" s="68" t="s">
        <v>316</v>
      </c>
      <c r="O19" s="65"/>
      <c r="P19" s="68"/>
      <c r="Q19" s="65" t="s">
        <v>100</v>
      </c>
      <c r="R19" s="70" t="s">
        <v>100</v>
      </c>
      <c r="S19" s="106"/>
      <c r="T19" s="65"/>
      <c r="U19" s="68"/>
      <c r="V19" s="65" t="s">
        <v>316</v>
      </c>
      <c r="W19" s="68" t="s">
        <v>124</v>
      </c>
      <c r="X19" s="65" t="s">
        <v>100</v>
      </c>
      <c r="Y19" s="68"/>
      <c r="Z19" s="107"/>
      <c r="AA19" s="115" t="s">
        <v>378</v>
      </c>
      <c r="AB19" s="117"/>
      <c r="AC19" s="113"/>
      <c r="AD19" s="113"/>
      <c r="AE19" s="118"/>
      <c r="AF19" s="111"/>
    </row>
    <row r="20" spans="1:32" s="2" customFormat="1" ht="24.75" customHeight="1" x14ac:dyDescent="0.3">
      <c r="A20" s="91">
        <v>17</v>
      </c>
      <c r="B20" s="64" t="s">
        <v>385</v>
      </c>
      <c r="C20" s="65" t="s">
        <v>313</v>
      </c>
      <c r="D20" s="66" t="s">
        <v>369</v>
      </c>
      <c r="E20" s="70" t="s">
        <v>370</v>
      </c>
      <c r="F20" s="100" t="s">
        <v>253</v>
      </c>
      <c r="G20" s="65">
        <v>1</v>
      </c>
      <c r="H20" s="67" t="s">
        <v>101</v>
      </c>
      <c r="I20" s="65" t="s">
        <v>108</v>
      </c>
      <c r="J20" s="101" t="s">
        <v>155</v>
      </c>
      <c r="K20" s="96" t="s">
        <v>175</v>
      </c>
      <c r="L20" s="67" t="s">
        <v>100</v>
      </c>
      <c r="M20" s="65" t="s">
        <v>384</v>
      </c>
      <c r="N20" s="68" t="s">
        <v>316</v>
      </c>
      <c r="O20" s="65"/>
      <c r="P20" s="68"/>
      <c r="Q20" s="65" t="s">
        <v>100</v>
      </c>
      <c r="R20" s="70" t="s">
        <v>100</v>
      </c>
      <c r="S20" s="106"/>
      <c r="T20" s="65"/>
      <c r="U20" s="68"/>
      <c r="V20" s="65" t="s">
        <v>316</v>
      </c>
      <c r="W20" s="68" t="s">
        <v>124</v>
      </c>
      <c r="X20" s="65" t="s">
        <v>100</v>
      </c>
      <c r="Y20" s="68"/>
      <c r="Z20" s="107"/>
      <c r="AA20" s="115" t="s">
        <v>317</v>
      </c>
      <c r="AB20" s="117">
        <v>1</v>
      </c>
      <c r="AC20" s="113"/>
      <c r="AD20" s="113"/>
      <c r="AE20" s="118"/>
      <c r="AF20" s="111"/>
    </row>
    <row r="21" spans="1:32" s="2" customFormat="1" ht="24.75" customHeight="1" thickBot="1" x14ac:dyDescent="0.35">
      <c r="A21" s="92">
        <v>18</v>
      </c>
      <c r="B21" s="93" t="s">
        <v>406</v>
      </c>
      <c r="C21" s="85" t="s">
        <v>313</v>
      </c>
      <c r="D21" s="94" t="s">
        <v>314</v>
      </c>
      <c r="E21" s="87" t="s">
        <v>332</v>
      </c>
      <c r="F21" s="102" t="s">
        <v>252</v>
      </c>
      <c r="G21" s="85">
        <v>1</v>
      </c>
      <c r="H21" s="84" t="s">
        <v>159</v>
      </c>
      <c r="I21" s="85" t="s">
        <v>98</v>
      </c>
      <c r="J21" s="103" t="s">
        <v>155</v>
      </c>
      <c r="K21" s="97" t="s">
        <v>178</v>
      </c>
      <c r="L21" s="84" t="s">
        <v>100</v>
      </c>
      <c r="M21" s="85" t="s">
        <v>405</v>
      </c>
      <c r="N21" s="86"/>
      <c r="O21" s="85" t="s">
        <v>316</v>
      </c>
      <c r="P21" s="86"/>
      <c r="Q21" s="85" t="s">
        <v>137</v>
      </c>
      <c r="R21" s="87" t="s">
        <v>343</v>
      </c>
      <c r="S21" s="108" t="s">
        <v>316</v>
      </c>
      <c r="T21" s="85" t="s">
        <v>316</v>
      </c>
      <c r="U21" s="86" t="s">
        <v>316</v>
      </c>
      <c r="V21" s="85"/>
      <c r="W21" s="86" t="s">
        <v>125</v>
      </c>
      <c r="X21" s="85" t="s">
        <v>139</v>
      </c>
      <c r="Y21" s="86" t="s">
        <v>316</v>
      </c>
      <c r="Z21" s="109"/>
      <c r="AA21" s="116" t="s">
        <v>378</v>
      </c>
      <c r="AB21" s="119"/>
      <c r="AC21" s="120"/>
      <c r="AD21" s="120"/>
      <c r="AE21" s="121"/>
      <c r="AF21" s="112"/>
    </row>
    <row r="22" spans="1:32" s="2" customFormat="1" ht="24.75" customHeight="1" x14ac:dyDescent="0.3">
      <c r="A22" s="88">
        <v>19</v>
      </c>
      <c r="B22" s="89" t="s">
        <v>407</v>
      </c>
      <c r="C22" s="81" t="s">
        <v>366</v>
      </c>
      <c r="D22" s="90" t="s">
        <v>314</v>
      </c>
      <c r="E22" s="83" t="s">
        <v>347</v>
      </c>
      <c r="F22" s="98" t="s">
        <v>257</v>
      </c>
      <c r="G22" s="81">
        <v>1</v>
      </c>
      <c r="H22" s="80" t="s">
        <v>159</v>
      </c>
      <c r="I22" s="81" t="s">
        <v>329</v>
      </c>
      <c r="J22" s="99" t="s">
        <v>155</v>
      </c>
      <c r="K22" s="95" t="s">
        <v>176</v>
      </c>
      <c r="L22" s="80" t="s">
        <v>100</v>
      </c>
      <c r="M22" s="81" t="s">
        <v>405</v>
      </c>
      <c r="N22" s="82" t="s">
        <v>316</v>
      </c>
      <c r="O22" s="81"/>
      <c r="P22" s="82" t="s">
        <v>316</v>
      </c>
      <c r="Q22" s="81" t="s">
        <v>100</v>
      </c>
      <c r="R22" s="83" t="s">
        <v>100</v>
      </c>
      <c r="S22" s="104" t="s">
        <v>316</v>
      </c>
      <c r="T22" s="81" t="s">
        <v>316</v>
      </c>
      <c r="U22" s="82" t="s">
        <v>316</v>
      </c>
      <c r="V22" s="81"/>
      <c r="W22" s="82" t="s">
        <v>124</v>
      </c>
      <c r="X22" s="81" t="s">
        <v>100</v>
      </c>
      <c r="Y22" s="82" t="s">
        <v>316</v>
      </c>
      <c r="Z22" s="105"/>
      <c r="AA22" s="114" t="s">
        <v>378</v>
      </c>
      <c r="AB22" s="79"/>
      <c r="AC22" s="81"/>
      <c r="AD22" s="81"/>
      <c r="AE22" s="99"/>
      <c r="AF22" s="110"/>
    </row>
    <row r="23" spans="1:32" s="2" customFormat="1" ht="24.75" customHeight="1" x14ac:dyDescent="0.3">
      <c r="A23" s="91">
        <v>20</v>
      </c>
      <c r="B23" s="64" t="s">
        <v>408</v>
      </c>
      <c r="C23" s="65" t="s">
        <v>366</v>
      </c>
      <c r="D23" s="66" t="s">
        <v>371</v>
      </c>
      <c r="E23" s="70" t="s">
        <v>362</v>
      </c>
      <c r="F23" s="100" t="s">
        <v>253</v>
      </c>
      <c r="G23" s="65">
        <v>1</v>
      </c>
      <c r="H23" s="67" t="s">
        <v>39</v>
      </c>
      <c r="I23" s="65" t="s">
        <v>192</v>
      </c>
      <c r="J23" s="101" t="s">
        <v>156</v>
      </c>
      <c r="K23" s="96" t="s">
        <v>176</v>
      </c>
      <c r="L23" s="67" t="s">
        <v>100</v>
      </c>
      <c r="M23" s="65" t="s">
        <v>384</v>
      </c>
      <c r="N23" s="68" t="s">
        <v>316</v>
      </c>
      <c r="O23" s="65"/>
      <c r="P23" s="68" t="s">
        <v>316</v>
      </c>
      <c r="Q23" s="65" t="s">
        <v>100</v>
      </c>
      <c r="R23" s="70" t="s">
        <v>100</v>
      </c>
      <c r="S23" s="106"/>
      <c r="T23" s="65"/>
      <c r="U23" s="68"/>
      <c r="V23" s="65" t="s">
        <v>316</v>
      </c>
      <c r="W23" s="68" t="s">
        <v>124</v>
      </c>
      <c r="X23" s="65" t="s">
        <v>100</v>
      </c>
      <c r="Y23" s="68"/>
      <c r="Z23" s="107"/>
      <c r="AA23" s="115" t="s">
        <v>378</v>
      </c>
      <c r="AB23" s="117"/>
      <c r="AC23" s="113"/>
      <c r="AD23" s="113"/>
      <c r="AE23" s="118"/>
      <c r="AF23" s="111"/>
    </row>
    <row r="24" spans="1:32" s="2" customFormat="1" ht="24.75" customHeight="1" x14ac:dyDescent="0.3">
      <c r="A24" s="91">
        <v>21</v>
      </c>
      <c r="B24" s="64" t="s">
        <v>411</v>
      </c>
      <c r="C24" s="65" t="s">
        <v>366</v>
      </c>
      <c r="D24" s="66" t="s">
        <v>372</v>
      </c>
      <c r="E24" s="70" t="s">
        <v>373</v>
      </c>
      <c r="F24" s="100" t="s">
        <v>253</v>
      </c>
      <c r="G24" s="65">
        <v>1</v>
      </c>
      <c r="H24" s="67" t="s">
        <v>39</v>
      </c>
      <c r="I24" s="65" t="s">
        <v>192</v>
      </c>
      <c r="J24" s="101" t="s">
        <v>156</v>
      </c>
      <c r="K24" s="96" t="s">
        <v>161</v>
      </c>
      <c r="L24" s="67" t="s">
        <v>100</v>
      </c>
      <c r="M24" s="65" t="s">
        <v>410</v>
      </c>
      <c r="N24" s="68" t="s">
        <v>316</v>
      </c>
      <c r="O24" s="65"/>
      <c r="P24" s="68" t="s">
        <v>316</v>
      </c>
      <c r="Q24" s="65" t="s">
        <v>100</v>
      </c>
      <c r="R24" s="70" t="s">
        <v>343</v>
      </c>
      <c r="S24" s="106"/>
      <c r="T24" s="65"/>
      <c r="U24" s="68"/>
      <c r="V24" s="65" t="s">
        <v>316</v>
      </c>
      <c r="W24" s="68" t="s">
        <v>124</v>
      </c>
      <c r="X24" s="65" t="s">
        <v>100</v>
      </c>
      <c r="Y24" s="68" t="s">
        <v>316</v>
      </c>
      <c r="Z24" s="107"/>
      <c r="AA24" s="115" t="s">
        <v>378</v>
      </c>
      <c r="AB24" s="117"/>
      <c r="AC24" s="113"/>
      <c r="AD24" s="113"/>
      <c r="AE24" s="118"/>
      <c r="AF24" s="111"/>
    </row>
    <row r="25" spans="1:32" s="2" customFormat="1" ht="24.75" customHeight="1" x14ac:dyDescent="0.3">
      <c r="A25" s="91">
        <v>22</v>
      </c>
      <c r="B25" s="64" t="s">
        <v>409</v>
      </c>
      <c r="C25" s="65" t="s">
        <v>366</v>
      </c>
      <c r="D25" s="66" t="s">
        <v>374</v>
      </c>
      <c r="E25" s="70" t="s">
        <v>375</v>
      </c>
      <c r="F25" s="100" t="s">
        <v>253</v>
      </c>
      <c r="G25" s="65">
        <v>1</v>
      </c>
      <c r="H25" s="67" t="s">
        <v>39</v>
      </c>
      <c r="I25" s="65" t="s">
        <v>192</v>
      </c>
      <c r="J25" s="101" t="s">
        <v>156</v>
      </c>
      <c r="K25" s="96" t="s">
        <v>161</v>
      </c>
      <c r="L25" s="67" t="s">
        <v>100</v>
      </c>
      <c r="M25" s="65" t="s">
        <v>384</v>
      </c>
      <c r="N25" s="68" t="s">
        <v>316</v>
      </c>
      <c r="O25" s="65"/>
      <c r="P25" s="68" t="s">
        <v>316</v>
      </c>
      <c r="Q25" s="65" t="s">
        <v>100</v>
      </c>
      <c r="R25" s="70" t="s">
        <v>100</v>
      </c>
      <c r="S25" s="106"/>
      <c r="T25" s="65"/>
      <c r="U25" s="68"/>
      <c r="V25" s="65" t="s">
        <v>316</v>
      </c>
      <c r="W25" s="68" t="s">
        <v>124</v>
      </c>
      <c r="X25" s="65" t="s">
        <v>100</v>
      </c>
      <c r="Y25" s="68" t="s">
        <v>316</v>
      </c>
      <c r="Z25" s="107"/>
      <c r="AA25" s="115" t="s">
        <v>378</v>
      </c>
      <c r="AB25" s="117"/>
      <c r="AC25" s="113"/>
      <c r="AD25" s="113"/>
      <c r="AE25" s="118"/>
      <c r="AF25" s="111"/>
    </row>
    <row r="26" spans="1:32" s="2" customFormat="1" ht="24.75" customHeight="1" x14ac:dyDescent="0.3">
      <c r="A26" s="91">
        <v>23</v>
      </c>
      <c r="B26" s="64" t="s">
        <v>412</v>
      </c>
      <c r="C26" s="65" t="s">
        <v>363</v>
      </c>
      <c r="D26" s="66" t="s">
        <v>314</v>
      </c>
      <c r="E26" s="70" t="s">
        <v>347</v>
      </c>
      <c r="F26" s="100" t="s">
        <v>257</v>
      </c>
      <c r="G26" s="65">
        <v>1</v>
      </c>
      <c r="H26" s="67" t="s">
        <v>159</v>
      </c>
      <c r="I26" s="65" t="s">
        <v>329</v>
      </c>
      <c r="J26" s="101" t="s">
        <v>155</v>
      </c>
      <c r="K26" s="96" t="s">
        <v>176</v>
      </c>
      <c r="L26" s="67" t="s">
        <v>100</v>
      </c>
      <c r="M26" s="65" t="s">
        <v>391</v>
      </c>
      <c r="N26" s="68" t="s">
        <v>316</v>
      </c>
      <c r="O26" s="65"/>
      <c r="P26" s="68" t="s">
        <v>316</v>
      </c>
      <c r="Q26" s="65" t="s">
        <v>100</v>
      </c>
      <c r="R26" s="70" t="s">
        <v>100</v>
      </c>
      <c r="S26" s="106" t="s">
        <v>316</v>
      </c>
      <c r="T26" s="65" t="s">
        <v>316</v>
      </c>
      <c r="U26" s="68" t="s">
        <v>316</v>
      </c>
      <c r="V26" s="65"/>
      <c r="W26" s="68" t="s">
        <v>124</v>
      </c>
      <c r="X26" s="65" t="s">
        <v>100</v>
      </c>
      <c r="Y26" s="68" t="s">
        <v>316</v>
      </c>
      <c r="Z26" s="107"/>
      <c r="AA26" s="115" t="s">
        <v>378</v>
      </c>
      <c r="AB26" s="117"/>
      <c r="AC26" s="113"/>
      <c r="AD26" s="113"/>
      <c r="AE26" s="118"/>
      <c r="AF26" s="111"/>
    </row>
    <row r="27" spans="1:32" s="2" customFormat="1" ht="24.75" customHeight="1" thickBot="1" x14ac:dyDescent="0.35">
      <c r="A27" s="92">
        <v>24</v>
      </c>
      <c r="B27" s="93" t="s">
        <v>413</v>
      </c>
      <c r="C27" s="85" t="s">
        <v>363</v>
      </c>
      <c r="D27" s="94" t="s">
        <v>364</v>
      </c>
      <c r="E27" s="87" t="s">
        <v>360</v>
      </c>
      <c r="F27" s="102" t="s">
        <v>253</v>
      </c>
      <c r="G27" s="85">
        <v>1</v>
      </c>
      <c r="H27" s="84" t="s">
        <v>39</v>
      </c>
      <c r="I27" s="85" t="s">
        <v>192</v>
      </c>
      <c r="J27" s="103" t="s">
        <v>156</v>
      </c>
      <c r="K27" s="97" t="s">
        <v>176</v>
      </c>
      <c r="L27" s="84" t="s">
        <v>100</v>
      </c>
      <c r="M27" s="85" t="s">
        <v>384</v>
      </c>
      <c r="N27" s="86" t="s">
        <v>316</v>
      </c>
      <c r="O27" s="85"/>
      <c r="P27" s="86" t="s">
        <v>316</v>
      </c>
      <c r="Q27" s="85" t="s">
        <v>100</v>
      </c>
      <c r="R27" s="87" t="s">
        <v>100</v>
      </c>
      <c r="S27" s="108"/>
      <c r="T27" s="85"/>
      <c r="U27" s="86"/>
      <c r="V27" s="85" t="s">
        <v>316</v>
      </c>
      <c r="W27" s="86" t="s">
        <v>124</v>
      </c>
      <c r="X27" s="85" t="s">
        <v>100</v>
      </c>
      <c r="Y27" s="86"/>
      <c r="Z27" s="109"/>
      <c r="AA27" s="116" t="s">
        <v>378</v>
      </c>
      <c r="AB27" s="119"/>
      <c r="AC27" s="120"/>
      <c r="AD27" s="120"/>
      <c r="AE27" s="121"/>
      <c r="AF27" s="112"/>
    </row>
    <row r="28" spans="1:32" s="2" customFormat="1" ht="24.75" customHeight="1" x14ac:dyDescent="0.3">
      <c r="A28" s="88">
        <v>25</v>
      </c>
      <c r="B28" s="89" t="s">
        <v>414</v>
      </c>
      <c r="C28" s="81" t="s">
        <v>363</v>
      </c>
      <c r="D28" s="90" t="s">
        <v>364</v>
      </c>
      <c r="E28" s="83" t="s">
        <v>365</v>
      </c>
      <c r="F28" s="98" t="s">
        <v>253</v>
      </c>
      <c r="G28" s="81">
        <v>1</v>
      </c>
      <c r="H28" s="80" t="s">
        <v>39</v>
      </c>
      <c r="I28" s="81" t="s">
        <v>192</v>
      </c>
      <c r="J28" s="99" t="s">
        <v>155</v>
      </c>
      <c r="K28" s="95" t="s">
        <v>176</v>
      </c>
      <c r="L28" s="80" t="s">
        <v>100</v>
      </c>
      <c r="M28" s="81" t="s">
        <v>384</v>
      </c>
      <c r="N28" s="82" t="s">
        <v>316</v>
      </c>
      <c r="O28" s="81"/>
      <c r="P28" s="82" t="s">
        <v>316</v>
      </c>
      <c r="Q28" s="81" t="s">
        <v>100</v>
      </c>
      <c r="R28" s="83" t="s">
        <v>100</v>
      </c>
      <c r="S28" s="104"/>
      <c r="T28" s="81"/>
      <c r="U28" s="82"/>
      <c r="V28" s="81" t="s">
        <v>316</v>
      </c>
      <c r="W28" s="82" t="s">
        <v>124</v>
      </c>
      <c r="X28" s="81" t="s">
        <v>100</v>
      </c>
      <c r="Y28" s="82"/>
      <c r="Z28" s="105"/>
      <c r="AA28" s="114" t="s">
        <v>378</v>
      </c>
      <c r="AB28" s="79"/>
      <c r="AC28" s="81"/>
      <c r="AD28" s="81"/>
      <c r="AE28" s="99"/>
      <c r="AF28" s="110"/>
    </row>
    <row r="29" spans="1:32" s="2" customFormat="1" ht="24.75" customHeight="1" x14ac:dyDescent="0.3">
      <c r="A29" s="91">
        <v>26</v>
      </c>
      <c r="B29" s="64" t="s">
        <v>415</v>
      </c>
      <c r="C29" s="65" t="s">
        <v>358</v>
      </c>
      <c r="D29" s="66" t="s">
        <v>314</v>
      </c>
      <c r="E29" s="70" t="s">
        <v>347</v>
      </c>
      <c r="F29" s="100" t="s">
        <v>257</v>
      </c>
      <c r="G29" s="65">
        <v>1</v>
      </c>
      <c r="H29" s="67" t="s">
        <v>159</v>
      </c>
      <c r="I29" s="65" t="s">
        <v>329</v>
      </c>
      <c r="J29" s="101" t="s">
        <v>155</v>
      </c>
      <c r="K29" s="96" t="s">
        <v>176</v>
      </c>
      <c r="L29" s="67" t="s">
        <v>100</v>
      </c>
      <c r="M29" s="65" t="s">
        <v>391</v>
      </c>
      <c r="N29" s="68" t="s">
        <v>316</v>
      </c>
      <c r="O29" s="65"/>
      <c r="P29" s="68" t="s">
        <v>316</v>
      </c>
      <c r="Q29" s="65" t="s">
        <v>100</v>
      </c>
      <c r="R29" s="70" t="s">
        <v>100</v>
      </c>
      <c r="S29" s="106" t="s">
        <v>316</v>
      </c>
      <c r="T29" s="65" t="s">
        <v>316</v>
      </c>
      <c r="U29" s="68" t="s">
        <v>316</v>
      </c>
      <c r="V29" s="65"/>
      <c r="W29" s="68" t="s">
        <v>124</v>
      </c>
      <c r="X29" s="65" t="s">
        <v>100</v>
      </c>
      <c r="Y29" s="68" t="s">
        <v>316</v>
      </c>
      <c r="Z29" s="107"/>
      <c r="AA29" s="115" t="s">
        <v>378</v>
      </c>
      <c r="AB29" s="117"/>
      <c r="AC29" s="113"/>
      <c r="AD29" s="113"/>
      <c r="AE29" s="118"/>
      <c r="AF29" s="111"/>
    </row>
    <row r="30" spans="1:32" s="2" customFormat="1" ht="24.75" customHeight="1" x14ac:dyDescent="0.3">
      <c r="A30" s="91">
        <v>27</v>
      </c>
      <c r="B30" s="64" t="s">
        <v>416</v>
      </c>
      <c r="C30" s="65" t="s">
        <v>358</v>
      </c>
      <c r="D30" s="66" t="s">
        <v>359</v>
      </c>
      <c r="E30" s="70" t="s">
        <v>360</v>
      </c>
      <c r="F30" s="100" t="s">
        <v>253</v>
      </c>
      <c r="G30" s="65">
        <v>1</v>
      </c>
      <c r="H30" s="67" t="s">
        <v>39</v>
      </c>
      <c r="I30" s="65" t="s">
        <v>192</v>
      </c>
      <c r="J30" s="101" t="s">
        <v>156</v>
      </c>
      <c r="K30" s="96" t="s">
        <v>176</v>
      </c>
      <c r="L30" s="67" t="s">
        <v>100</v>
      </c>
      <c r="M30" s="65" t="s">
        <v>384</v>
      </c>
      <c r="N30" s="68" t="s">
        <v>316</v>
      </c>
      <c r="O30" s="65"/>
      <c r="P30" s="68" t="s">
        <v>316</v>
      </c>
      <c r="Q30" s="65" t="s">
        <v>100</v>
      </c>
      <c r="R30" s="70" t="s">
        <v>100</v>
      </c>
      <c r="S30" s="106"/>
      <c r="T30" s="65"/>
      <c r="U30" s="68"/>
      <c r="V30" s="65" t="s">
        <v>316</v>
      </c>
      <c r="W30" s="68" t="s">
        <v>124</v>
      </c>
      <c r="X30" s="65" t="s">
        <v>100</v>
      </c>
      <c r="Y30" s="68"/>
      <c r="Z30" s="107"/>
      <c r="AA30" s="115" t="s">
        <v>378</v>
      </c>
      <c r="AB30" s="117"/>
      <c r="AC30" s="113"/>
      <c r="AD30" s="113"/>
      <c r="AE30" s="118"/>
      <c r="AF30" s="111"/>
    </row>
    <row r="31" spans="1:32" s="2" customFormat="1" ht="24.75" customHeight="1" x14ac:dyDescent="0.3">
      <c r="A31" s="91">
        <v>28</v>
      </c>
      <c r="B31" s="64" t="s">
        <v>417</v>
      </c>
      <c r="C31" s="65" t="s">
        <v>358</v>
      </c>
      <c r="D31" s="66" t="s">
        <v>361</v>
      </c>
      <c r="E31" s="70" t="s">
        <v>362</v>
      </c>
      <c r="F31" s="100" t="s">
        <v>253</v>
      </c>
      <c r="G31" s="65">
        <v>1</v>
      </c>
      <c r="H31" s="67" t="s">
        <v>39</v>
      </c>
      <c r="I31" s="65" t="s">
        <v>192</v>
      </c>
      <c r="J31" s="101" t="s">
        <v>155</v>
      </c>
      <c r="K31" s="96" t="s">
        <v>176</v>
      </c>
      <c r="L31" s="67" t="s">
        <v>100</v>
      </c>
      <c r="M31" s="65" t="s">
        <v>384</v>
      </c>
      <c r="N31" s="68" t="s">
        <v>316</v>
      </c>
      <c r="O31" s="65"/>
      <c r="P31" s="68" t="s">
        <v>316</v>
      </c>
      <c r="Q31" s="65" t="s">
        <v>100</v>
      </c>
      <c r="R31" s="70" t="s">
        <v>100</v>
      </c>
      <c r="S31" s="106"/>
      <c r="T31" s="65"/>
      <c r="U31" s="68"/>
      <c r="V31" s="65" t="s">
        <v>316</v>
      </c>
      <c r="W31" s="68" t="s">
        <v>124</v>
      </c>
      <c r="X31" s="65" t="s">
        <v>100</v>
      </c>
      <c r="Y31" s="68"/>
      <c r="Z31" s="107"/>
      <c r="AA31" s="115" t="s">
        <v>378</v>
      </c>
      <c r="AB31" s="117"/>
      <c r="AC31" s="113"/>
      <c r="AD31" s="113"/>
      <c r="AE31" s="118"/>
      <c r="AF31" s="111"/>
    </row>
    <row r="32" spans="1:32" s="2" customFormat="1" ht="24.75" customHeight="1" x14ac:dyDescent="0.3">
      <c r="A32" s="91">
        <v>29</v>
      </c>
      <c r="B32" s="64" t="s">
        <v>418</v>
      </c>
      <c r="C32" s="65" t="s">
        <v>346</v>
      </c>
      <c r="D32" s="66" t="s">
        <v>356</v>
      </c>
      <c r="E32" s="70" t="s">
        <v>357</v>
      </c>
      <c r="F32" s="100" t="s">
        <v>254</v>
      </c>
      <c r="G32" s="65">
        <v>1</v>
      </c>
      <c r="H32" s="67" t="s">
        <v>102</v>
      </c>
      <c r="I32" s="65" t="s">
        <v>354</v>
      </c>
      <c r="J32" s="101" t="s">
        <v>155</v>
      </c>
      <c r="K32" s="96" t="s">
        <v>163</v>
      </c>
      <c r="L32" s="67" t="s">
        <v>100</v>
      </c>
      <c r="M32" s="65" t="s">
        <v>410</v>
      </c>
      <c r="N32" s="68" t="s">
        <v>316</v>
      </c>
      <c r="O32" s="65"/>
      <c r="P32" s="68" t="s">
        <v>316</v>
      </c>
      <c r="Q32" s="65" t="s">
        <v>100</v>
      </c>
      <c r="R32" s="70" t="s">
        <v>343</v>
      </c>
      <c r="S32" s="106"/>
      <c r="T32" s="65"/>
      <c r="U32" s="68"/>
      <c r="V32" s="65" t="s">
        <v>316</v>
      </c>
      <c r="W32" s="68" t="s">
        <v>125</v>
      </c>
      <c r="X32" s="65" t="s">
        <v>100</v>
      </c>
      <c r="Y32" s="68" t="s">
        <v>316</v>
      </c>
      <c r="Z32" s="107"/>
      <c r="AA32" s="115" t="s">
        <v>378</v>
      </c>
      <c r="AB32" s="117"/>
      <c r="AC32" s="113"/>
      <c r="AD32" s="113"/>
      <c r="AE32" s="118"/>
      <c r="AF32" s="111"/>
    </row>
    <row r="33" spans="1:184" s="2" customFormat="1" ht="24.75" customHeight="1" thickBot="1" x14ac:dyDescent="0.35">
      <c r="A33" s="92">
        <v>30</v>
      </c>
      <c r="B33" s="93" t="s">
        <v>419</v>
      </c>
      <c r="C33" s="85" t="s">
        <v>346</v>
      </c>
      <c r="D33" s="94" t="s">
        <v>314</v>
      </c>
      <c r="E33" s="87" t="s">
        <v>347</v>
      </c>
      <c r="F33" s="102" t="s">
        <v>257</v>
      </c>
      <c r="G33" s="85">
        <v>1</v>
      </c>
      <c r="H33" s="84" t="s">
        <v>159</v>
      </c>
      <c r="I33" s="85" t="s">
        <v>329</v>
      </c>
      <c r="J33" s="103" t="s">
        <v>155</v>
      </c>
      <c r="K33" s="97" t="s">
        <v>176</v>
      </c>
      <c r="L33" s="84" t="s">
        <v>100</v>
      </c>
      <c r="M33" s="85" t="s">
        <v>405</v>
      </c>
      <c r="N33" s="86" t="s">
        <v>316</v>
      </c>
      <c r="O33" s="85"/>
      <c r="P33" s="86" t="s">
        <v>316</v>
      </c>
      <c r="Q33" s="85" t="s">
        <v>100</v>
      </c>
      <c r="R33" s="87" t="s">
        <v>343</v>
      </c>
      <c r="S33" s="108" t="s">
        <v>316</v>
      </c>
      <c r="T33" s="85" t="s">
        <v>316</v>
      </c>
      <c r="U33" s="86"/>
      <c r="V33" s="85" t="s">
        <v>316</v>
      </c>
      <c r="W33" s="86" t="s">
        <v>125</v>
      </c>
      <c r="X33" s="85" t="s">
        <v>51</v>
      </c>
      <c r="Y33" s="86" t="s">
        <v>316</v>
      </c>
      <c r="Z33" s="109"/>
      <c r="AA33" s="116" t="s">
        <v>378</v>
      </c>
      <c r="AB33" s="119"/>
      <c r="AC33" s="120"/>
      <c r="AD33" s="120"/>
      <c r="AE33" s="121"/>
      <c r="AF33" s="112"/>
    </row>
    <row r="34" spans="1:184" s="2" customFormat="1" ht="24.75" customHeight="1" x14ac:dyDescent="0.3">
      <c r="A34" s="88">
        <v>31</v>
      </c>
      <c r="B34" s="89">
        <v>31</v>
      </c>
      <c r="C34" s="81" t="s">
        <v>346</v>
      </c>
      <c r="D34" s="90" t="s">
        <v>348</v>
      </c>
      <c r="E34" s="83" t="s">
        <v>349</v>
      </c>
      <c r="F34" s="98" t="s">
        <v>253</v>
      </c>
      <c r="G34" s="81">
        <v>1</v>
      </c>
      <c r="H34" s="80" t="s">
        <v>39</v>
      </c>
      <c r="I34" s="81" t="s">
        <v>192</v>
      </c>
      <c r="J34" s="99" t="s">
        <v>155</v>
      </c>
      <c r="K34" s="95" t="s">
        <v>163</v>
      </c>
      <c r="L34" s="80" t="s">
        <v>100</v>
      </c>
      <c r="M34" s="81" t="s">
        <v>384</v>
      </c>
      <c r="N34" s="82" t="s">
        <v>316</v>
      </c>
      <c r="O34" s="81"/>
      <c r="P34" s="82" t="s">
        <v>316</v>
      </c>
      <c r="Q34" s="81" t="s">
        <v>100</v>
      </c>
      <c r="R34" s="83" t="s">
        <v>100</v>
      </c>
      <c r="S34" s="104"/>
      <c r="T34" s="81"/>
      <c r="U34" s="82"/>
      <c r="V34" s="81" t="s">
        <v>316</v>
      </c>
      <c r="W34" s="82" t="s">
        <v>124</v>
      </c>
      <c r="X34" s="81" t="s">
        <v>100</v>
      </c>
      <c r="Y34" s="82" t="s">
        <v>316</v>
      </c>
      <c r="Z34" s="105"/>
      <c r="AA34" s="114" t="s">
        <v>378</v>
      </c>
      <c r="AB34" s="79"/>
      <c r="AC34" s="81"/>
      <c r="AD34" s="81"/>
      <c r="AE34" s="99"/>
      <c r="AF34" s="110"/>
    </row>
    <row r="35" spans="1:184" s="2" customFormat="1" ht="24.75" customHeight="1" x14ac:dyDescent="0.3">
      <c r="A35" s="91">
        <v>32</v>
      </c>
      <c r="B35" s="64" t="s">
        <v>420</v>
      </c>
      <c r="C35" s="65" t="s">
        <v>346</v>
      </c>
      <c r="D35" s="66" t="s">
        <v>350</v>
      </c>
      <c r="E35" s="70" t="s">
        <v>351</v>
      </c>
      <c r="F35" s="100" t="s">
        <v>253</v>
      </c>
      <c r="G35" s="65">
        <v>1</v>
      </c>
      <c r="H35" s="67" t="s">
        <v>39</v>
      </c>
      <c r="I35" s="65" t="s">
        <v>192</v>
      </c>
      <c r="J35" s="101" t="s">
        <v>44</v>
      </c>
      <c r="K35" s="96" t="s">
        <v>163</v>
      </c>
      <c r="L35" s="67" t="s">
        <v>100</v>
      </c>
      <c r="M35" s="65" t="s">
        <v>384</v>
      </c>
      <c r="N35" s="68" t="s">
        <v>316</v>
      </c>
      <c r="O35" s="65"/>
      <c r="P35" s="68" t="s">
        <v>316</v>
      </c>
      <c r="Q35" s="65" t="s">
        <v>100</v>
      </c>
      <c r="R35" s="70" t="s">
        <v>100</v>
      </c>
      <c r="S35" s="106"/>
      <c r="T35" s="65"/>
      <c r="U35" s="68"/>
      <c r="V35" s="65" t="s">
        <v>316</v>
      </c>
      <c r="W35" s="68" t="s">
        <v>124</v>
      </c>
      <c r="X35" s="65" t="s">
        <v>100</v>
      </c>
      <c r="Y35" s="68" t="s">
        <v>316</v>
      </c>
      <c r="Z35" s="107"/>
      <c r="AA35" s="115" t="s">
        <v>378</v>
      </c>
      <c r="AB35" s="117"/>
      <c r="AC35" s="113"/>
      <c r="AD35" s="113"/>
      <c r="AE35" s="118"/>
      <c r="AF35" s="111"/>
    </row>
    <row r="36" spans="1:184" s="2" customFormat="1" ht="24.75" customHeight="1" x14ac:dyDescent="0.3">
      <c r="A36" s="91">
        <v>33</v>
      </c>
      <c r="B36" s="64">
        <v>33</v>
      </c>
      <c r="C36" s="65" t="s">
        <v>346</v>
      </c>
      <c r="D36" s="66" t="s">
        <v>352</v>
      </c>
      <c r="E36" s="70" t="s">
        <v>353</v>
      </c>
      <c r="F36" s="100" t="s">
        <v>252</v>
      </c>
      <c r="G36" s="65">
        <v>1</v>
      </c>
      <c r="H36" s="67" t="s">
        <v>159</v>
      </c>
      <c r="I36" s="65" t="s">
        <v>98</v>
      </c>
      <c r="J36" s="101" t="s">
        <v>112</v>
      </c>
      <c r="K36" s="96" t="s">
        <v>176</v>
      </c>
      <c r="L36" s="67" t="s">
        <v>100</v>
      </c>
      <c r="M36" s="65" t="s">
        <v>421</v>
      </c>
      <c r="N36" s="68" t="s">
        <v>316</v>
      </c>
      <c r="O36" s="65"/>
      <c r="P36" s="68" t="s">
        <v>316</v>
      </c>
      <c r="Q36" s="65" t="s">
        <v>100</v>
      </c>
      <c r="R36" s="70" t="s">
        <v>100</v>
      </c>
      <c r="S36" s="106"/>
      <c r="T36" s="65"/>
      <c r="U36" s="68"/>
      <c r="V36" s="65" t="s">
        <v>316</v>
      </c>
      <c r="W36" s="68" t="s">
        <v>124</v>
      </c>
      <c r="X36" s="65" t="s">
        <v>131</v>
      </c>
      <c r="Y36" s="68"/>
      <c r="Z36" s="107"/>
      <c r="AA36" s="115" t="s">
        <v>378</v>
      </c>
      <c r="AB36" s="117"/>
      <c r="AC36" s="113"/>
      <c r="AD36" s="113"/>
      <c r="AE36" s="118"/>
      <c r="AF36" s="111"/>
    </row>
    <row r="37" spans="1:184" s="2" customFormat="1" ht="24.75" customHeight="1" x14ac:dyDescent="0.3">
      <c r="A37" s="91">
        <v>34</v>
      </c>
      <c r="B37" s="64" t="s">
        <v>422</v>
      </c>
      <c r="C37" s="65" t="s">
        <v>346</v>
      </c>
      <c r="D37" s="66" t="s">
        <v>350</v>
      </c>
      <c r="E37" s="70" t="s">
        <v>351</v>
      </c>
      <c r="F37" s="100" t="s">
        <v>253</v>
      </c>
      <c r="G37" s="65">
        <v>1</v>
      </c>
      <c r="H37" s="67" t="s">
        <v>101</v>
      </c>
      <c r="I37" s="65" t="s">
        <v>109</v>
      </c>
      <c r="J37" s="101" t="s">
        <v>156</v>
      </c>
      <c r="K37" s="96" t="s">
        <v>162</v>
      </c>
      <c r="L37" s="67" t="s">
        <v>100</v>
      </c>
      <c r="M37" s="65" t="s">
        <v>384</v>
      </c>
      <c r="N37" s="68"/>
      <c r="O37" s="65"/>
      <c r="P37" s="68"/>
      <c r="Q37" s="65" t="s">
        <v>100</v>
      </c>
      <c r="R37" s="70" t="s">
        <v>100</v>
      </c>
      <c r="S37" s="106"/>
      <c r="T37" s="65"/>
      <c r="U37" s="68"/>
      <c r="V37" s="65"/>
      <c r="W37" s="68" t="s">
        <v>124</v>
      </c>
      <c r="X37" s="65" t="s">
        <v>100</v>
      </c>
      <c r="Y37" s="68" t="s">
        <v>316</v>
      </c>
      <c r="Z37" s="107"/>
      <c r="AA37" s="115" t="s">
        <v>317</v>
      </c>
      <c r="AB37" s="117"/>
      <c r="AC37" s="113">
        <v>1</v>
      </c>
      <c r="AD37" s="113"/>
      <c r="AE37" s="118"/>
      <c r="AF37" s="111" t="s">
        <v>423</v>
      </c>
    </row>
    <row r="38" spans="1:184" s="2" customFormat="1" ht="24.75" customHeight="1" x14ac:dyDescent="0.3">
      <c r="A38" s="91">
        <v>35</v>
      </c>
      <c r="B38" s="64" t="s">
        <v>424</v>
      </c>
      <c r="C38" s="65" t="s">
        <v>358</v>
      </c>
      <c r="D38" s="66" t="s">
        <v>425</v>
      </c>
      <c r="E38" s="70" t="s">
        <v>426</v>
      </c>
      <c r="F38" s="100" t="s">
        <v>254</v>
      </c>
      <c r="G38" s="65">
        <v>1</v>
      </c>
      <c r="H38" s="67" t="s">
        <v>39</v>
      </c>
      <c r="I38" s="65" t="s">
        <v>354</v>
      </c>
      <c r="J38" s="101" t="s">
        <v>156</v>
      </c>
      <c r="K38" s="96" t="s">
        <v>100</v>
      </c>
      <c r="L38" s="67" t="s">
        <v>100</v>
      </c>
      <c r="M38" s="65" t="s">
        <v>410</v>
      </c>
      <c r="N38" s="68"/>
      <c r="O38" s="65"/>
      <c r="P38" s="68"/>
      <c r="Q38" s="65" t="s">
        <v>100</v>
      </c>
      <c r="R38" s="70" t="s">
        <v>100</v>
      </c>
      <c r="S38" s="106"/>
      <c r="T38" s="65"/>
      <c r="U38" s="68"/>
      <c r="V38" s="65" t="s">
        <v>316</v>
      </c>
      <c r="W38" s="68" t="s">
        <v>124</v>
      </c>
      <c r="X38" s="65" t="s">
        <v>100</v>
      </c>
      <c r="Y38" s="68"/>
      <c r="Z38" s="107"/>
      <c r="AA38" s="115" t="s">
        <v>317</v>
      </c>
      <c r="AB38" s="117"/>
      <c r="AC38" s="113"/>
      <c r="AD38" s="113"/>
      <c r="AE38" s="118">
        <v>0</v>
      </c>
      <c r="AF38" s="111"/>
    </row>
    <row r="39" spans="1:184" s="2" customFormat="1" ht="24.75" customHeight="1" thickBot="1" x14ac:dyDescent="0.35">
      <c r="A39" s="92">
        <v>36</v>
      </c>
      <c r="B39" s="93" t="s">
        <v>427</v>
      </c>
      <c r="C39" s="85" t="s">
        <v>363</v>
      </c>
      <c r="D39" s="94" t="s">
        <v>428</v>
      </c>
      <c r="E39" s="87" t="s">
        <v>426</v>
      </c>
      <c r="F39" s="102" t="s">
        <v>254</v>
      </c>
      <c r="G39" s="85">
        <v>1</v>
      </c>
      <c r="H39" s="84" t="s">
        <v>39</v>
      </c>
      <c r="I39" s="85" t="s">
        <v>354</v>
      </c>
      <c r="J39" s="103" t="s">
        <v>156</v>
      </c>
      <c r="K39" s="97" t="s">
        <v>163</v>
      </c>
      <c r="L39" s="84" t="s">
        <v>100</v>
      </c>
      <c r="M39" s="85" t="s">
        <v>410</v>
      </c>
      <c r="N39" s="86" t="s">
        <v>316</v>
      </c>
      <c r="O39" s="85"/>
      <c r="P39" s="86" t="s">
        <v>316</v>
      </c>
      <c r="Q39" s="85" t="s">
        <v>100</v>
      </c>
      <c r="R39" s="87" t="s">
        <v>100</v>
      </c>
      <c r="S39" s="108"/>
      <c r="T39" s="85"/>
      <c r="U39" s="86"/>
      <c r="V39" s="85" t="s">
        <v>316</v>
      </c>
      <c r="W39" s="86" t="s">
        <v>124</v>
      </c>
      <c r="X39" s="85" t="s">
        <v>100</v>
      </c>
      <c r="Y39" s="86"/>
      <c r="Z39" s="109"/>
      <c r="AA39" s="116" t="s">
        <v>378</v>
      </c>
      <c r="AB39" s="119"/>
      <c r="AC39" s="120"/>
      <c r="AD39" s="120"/>
      <c r="AE39" s="121"/>
      <c r="AF39" s="112"/>
    </row>
    <row r="40" spans="1:184" s="2" customFormat="1" ht="24.75" customHeight="1" x14ac:dyDescent="0.3">
      <c r="A40" s="88">
        <v>37</v>
      </c>
      <c r="B40" s="89" t="s">
        <v>429</v>
      </c>
      <c r="C40" s="81" t="s">
        <v>366</v>
      </c>
      <c r="D40" s="90" t="s">
        <v>314</v>
      </c>
      <c r="E40" s="83" t="s">
        <v>314</v>
      </c>
      <c r="F40" s="98" t="s">
        <v>254</v>
      </c>
      <c r="G40" s="81">
        <v>1</v>
      </c>
      <c r="H40" s="80" t="s">
        <v>39</v>
      </c>
      <c r="I40" s="81" t="s">
        <v>354</v>
      </c>
      <c r="J40" s="99" t="s">
        <v>156</v>
      </c>
      <c r="K40" s="95" t="s">
        <v>163</v>
      </c>
      <c r="L40" s="80" t="s">
        <v>100</v>
      </c>
      <c r="M40" s="81" t="s">
        <v>410</v>
      </c>
      <c r="N40" s="82" t="s">
        <v>316</v>
      </c>
      <c r="O40" s="81"/>
      <c r="P40" s="82" t="s">
        <v>316</v>
      </c>
      <c r="Q40" s="81" t="s">
        <v>100</v>
      </c>
      <c r="R40" s="83" t="s">
        <v>100</v>
      </c>
      <c r="S40" s="104"/>
      <c r="T40" s="81"/>
      <c r="U40" s="82"/>
      <c r="V40" s="81" t="s">
        <v>316</v>
      </c>
      <c r="W40" s="82" t="s">
        <v>124</v>
      </c>
      <c r="X40" s="81" t="s">
        <v>100</v>
      </c>
      <c r="Y40" s="82"/>
      <c r="Z40" s="105"/>
      <c r="AA40" s="114" t="s">
        <v>378</v>
      </c>
      <c r="AB40" s="79"/>
      <c r="AC40" s="81"/>
      <c r="AD40" s="81"/>
      <c r="AE40" s="99"/>
      <c r="AF40" s="110"/>
    </row>
    <row r="41" spans="1:184" s="2" customFormat="1" ht="24.75" customHeight="1" x14ac:dyDescent="0.3">
      <c r="A41" s="91">
        <v>38</v>
      </c>
      <c r="B41" s="64" t="s">
        <v>430</v>
      </c>
      <c r="C41" s="65" t="s">
        <v>313</v>
      </c>
      <c r="D41" s="66" t="s">
        <v>431</v>
      </c>
      <c r="E41" s="70" t="s">
        <v>432</v>
      </c>
      <c r="F41" s="100" t="s">
        <v>254</v>
      </c>
      <c r="G41" s="65">
        <v>1</v>
      </c>
      <c r="H41" s="67" t="s">
        <v>39</v>
      </c>
      <c r="I41" s="65" t="s">
        <v>354</v>
      </c>
      <c r="J41" s="101" t="s">
        <v>156</v>
      </c>
      <c r="K41" s="96" t="s">
        <v>163</v>
      </c>
      <c r="L41" s="67" t="s">
        <v>100</v>
      </c>
      <c r="M41" s="65" t="s">
        <v>410</v>
      </c>
      <c r="N41" s="68" t="s">
        <v>316</v>
      </c>
      <c r="O41" s="65"/>
      <c r="P41" s="68" t="s">
        <v>316</v>
      </c>
      <c r="Q41" s="65" t="s">
        <v>100</v>
      </c>
      <c r="R41" s="70" t="s">
        <v>100</v>
      </c>
      <c r="S41" s="106"/>
      <c r="T41" s="65"/>
      <c r="U41" s="68"/>
      <c r="V41" s="65" t="s">
        <v>316</v>
      </c>
      <c r="W41" s="68" t="s">
        <v>124</v>
      </c>
      <c r="X41" s="65" t="s">
        <v>100</v>
      </c>
      <c r="Y41" s="68" t="s">
        <v>316</v>
      </c>
      <c r="Z41" s="107"/>
      <c r="AA41" s="115" t="s">
        <v>378</v>
      </c>
      <c r="AB41" s="117"/>
      <c r="AC41" s="113"/>
      <c r="AD41" s="113"/>
      <c r="AE41" s="118"/>
      <c r="AF41" s="111"/>
    </row>
    <row r="42" spans="1:184" s="2" customFormat="1" ht="24.75" customHeight="1" thickBot="1" x14ac:dyDescent="0.35">
      <c r="A42" s="92">
        <v>39</v>
      </c>
      <c r="B42" s="93" t="s">
        <v>433</v>
      </c>
      <c r="C42" s="85" t="s">
        <v>313</v>
      </c>
      <c r="D42" s="94" t="s">
        <v>434</v>
      </c>
      <c r="E42" s="87" t="s">
        <v>435</v>
      </c>
      <c r="F42" s="102" t="s">
        <v>254</v>
      </c>
      <c r="G42" s="85">
        <v>1</v>
      </c>
      <c r="H42" s="84" t="s">
        <v>39</v>
      </c>
      <c r="I42" s="85" t="s">
        <v>354</v>
      </c>
      <c r="J42" s="103" t="s">
        <v>156</v>
      </c>
      <c r="K42" s="97" t="s">
        <v>163</v>
      </c>
      <c r="L42" s="84" t="s">
        <v>100</v>
      </c>
      <c r="M42" s="85" t="s">
        <v>410</v>
      </c>
      <c r="N42" s="86" t="s">
        <v>316</v>
      </c>
      <c r="O42" s="85"/>
      <c r="P42" s="86"/>
      <c r="Q42" s="85" t="s">
        <v>100</v>
      </c>
      <c r="R42" s="87" t="s">
        <v>100</v>
      </c>
      <c r="S42" s="108"/>
      <c r="T42" s="85"/>
      <c r="U42" s="86"/>
      <c r="V42" s="85" t="s">
        <v>316</v>
      </c>
      <c r="W42" s="86" t="s">
        <v>125</v>
      </c>
      <c r="X42" s="85" t="s">
        <v>100</v>
      </c>
      <c r="Y42" s="86" t="s">
        <v>316</v>
      </c>
      <c r="Z42" s="109"/>
      <c r="AA42" s="116" t="s">
        <v>378</v>
      </c>
      <c r="AB42" s="119"/>
      <c r="AC42" s="120"/>
      <c r="AD42" s="120"/>
      <c r="AE42" s="121"/>
      <c r="AF42" s="112"/>
    </row>
    <row r="43" spans="1:184" s="32" customFormat="1" ht="15" thickBo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 s="33">
        <f t="shared" ref="AB43:AE43" ca="1" si="0">SUM(INDIRECT(ADDRESS(4,COLUMN(),4) &amp; ":" &amp; ADDRESS(ROW()-1,COLUMN(),4)))</f>
        <v>2</v>
      </c>
      <c r="AC43" s="33">
        <f t="shared" ca="1" si="0"/>
        <v>2</v>
      </c>
      <c r="AD43" s="33">
        <f t="shared" ca="1" si="0"/>
        <v>1</v>
      </c>
      <c r="AE43" s="33">
        <f t="shared" ca="1" si="0"/>
        <v>0</v>
      </c>
      <c r="AF43" s="34" t="s">
        <v>0</v>
      </c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</row>
  </sheetData>
  <sheetProtection autoFilter="0"/>
  <autoFilter ref="A3:AF43" xr:uid="{00000000-0009-0000-0000-000000000000}"/>
  <mergeCells count="5">
    <mergeCell ref="F2:J2"/>
    <mergeCell ref="K2:R2"/>
    <mergeCell ref="S2:Z2"/>
    <mergeCell ref="AB2:AE2"/>
    <mergeCell ref="S1:AA1"/>
  </mergeCells>
  <pageMargins left="0.23622047244094491" right="0.23622047244094491" top="0.74803149606299213" bottom="0.74803149606299213" header="0.31496062992125984" footer="0.31496062992125984"/>
  <pageSetup paperSize="8" scale="5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5">
              <controlPr defaultSize="0" print="0" autoFill="0" autoPict="0" macro="[0]!CreateTemplate">
                <anchor>
                  <from>
                    <xdr:col>0</xdr:col>
                    <xdr:colOff>38100</xdr:colOff>
                    <xdr:row>1</xdr:row>
                    <xdr:rowOff>63500</xdr:rowOff>
                  </from>
                  <to>
                    <xdr:col>0</xdr:col>
                    <xdr:colOff>711200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6" name="Button 7">
              <controlPr defaultSize="0" print="0" autoFill="0" autoPict="0" macro="[0]!CreateDoor">
                <anchor>
                  <from>
                    <xdr:col>2</xdr:col>
                    <xdr:colOff>69850</xdr:colOff>
                    <xdr:row>1</xdr:row>
                    <xdr:rowOff>63500</xdr:rowOff>
                  </from>
                  <to>
                    <xdr:col>2</xdr:col>
                    <xdr:colOff>755650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7" name="Button 8">
              <controlPr defaultSize="0" print="0" autoFill="0" autoPict="0" macro="[0]!ChangeDoor">
                <anchor>
                  <from>
                    <xdr:col>3</xdr:col>
                    <xdr:colOff>63500</xdr:colOff>
                    <xdr:row>1</xdr:row>
                    <xdr:rowOff>63500</xdr:rowOff>
                  </from>
                  <to>
                    <xdr:col>3</xdr:col>
                    <xdr:colOff>755650</xdr:colOff>
                    <xdr:row>1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8" name="Button 9">
              <controlPr defaultSize="0" print="0" autoFill="0" autoPict="0" macro="[0]!CreateInspection">
                <anchor>
                  <from>
                    <xdr:col>1</xdr:col>
                    <xdr:colOff>38100</xdr:colOff>
                    <xdr:row>1</xdr:row>
                    <xdr:rowOff>69850</xdr:rowOff>
                  </from>
                  <to>
                    <xdr:col>1</xdr:col>
                    <xdr:colOff>723900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9" name="Button 10">
              <controlPr defaultSize="0" print="0" autoFill="0" autoPict="0" macro="[0]!searchAndReplace">
                <anchor>
                  <from>
                    <xdr:col>4</xdr:col>
                    <xdr:colOff>63500</xdr:colOff>
                    <xdr:row>1</xdr:row>
                    <xdr:rowOff>69850</xdr:rowOff>
                  </from>
                  <to>
                    <xdr:col>4</xdr:col>
                    <xdr:colOff>755650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>
    <pageSetUpPr fitToPage="1"/>
  </sheetPr>
  <dimension ref="A1:U96"/>
  <sheetViews>
    <sheetView zoomScale="50" zoomScaleNormal="50" workbookViewId="0">
      <selection activeCell="W12" sqref="W12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6328125" customWidth="1"/>
    <col min="8" max="8" width="10.90625" bestFit="1" customWidth="1"/>
    <col min="9" max="9" width="18.08984375" bestFit="1" customWidth="1"/>
    <col min="10" max="10" width="13.453125" bestFit="1" customWidth="1"/>
    <col min="21" max="21" width="11.54296875" style="46"/>
  </cols>
  <sheetData>
    <row r="1" spans="1:21" ht="15" thickBot="1" x14ac:dyDescent="0.4">
      <c r="A1" s="6" t="s">
        <v>441</v>
      </c>
    </row>
    <row r="2" spans="1:21" ht="44" thickBot="1" x14ac:dyDescent="0.4">
      <c r="A2" s="57" t="s">
        <v>52</v>
      </c>
      <c r="B2" s="57" t="s">
        <v>53</v>
      </c>
      <c r="C2" s="57" t="s">
        <v>233</v>
      </c>
      <c r="D2" s="57" t="s">
        <v>234</v>
      </c>
      <c r="E2" s="58" t="s">
        <v>54</v>
      </c>
      <c r="F2" s="58" t="s">
        <v>235</v>
      </c>
      <c r="G2" s="58" t="s">
        <v>236</v>
      </c>
      <c r="H2" s="58" t="s">
        <v>55</v>
      </c>
      <c r="I2" s="58" t="s">
        <v>235</v>
      </c>
      <c r="J2" s="58" t="s">
        <v>236</v>
      </c>
      <c r="K2" s="58" t="s">
        <v>56</v>
      </c>
      <c r="L2" s="58" t="s">
        <v>57</v>
      </c>
      <c r="M2" s="58" t="s">
        <v>58</v>
      </c>
      <c r="N2" s="58" t="s">
        <v>59</v>
      </c>
      <c r="O2" s="59" t="s">
        <v>60</v>
      </c>
      <c r="P2" s="57" t="s">
        <v>61</v>
      </c>
      <c r="Q2" s="57" t="s">
        <v>62</v>
      </c>
      <c r="R2" s="57" t="s">
        <v>207</v>
      </c>
      <c r="S2" s="57" t="s">
        <v>63</v>
      </c>
      <c r="T2" s="57" t="s">
        <v>64</v>
      </c>
      <c r="U2" s="60" t="s">
        <v>208</v>
      </c>
    </row>
    <row r="3" spans="1:21" x14ac:dyDescent="0.35">
      <c r="A3" s="78">
        <v>2</v>
      </c>
      <c r="B3" s="78" t="s">
        <v>199</v>
      </c>
      <c r="C3" s="78">
        <v>7</v>
      </c>
      <c r="D3" s="78">
        <v>7</v>
      </c>
      <c r="E3" s="78"/>
      <c r="F3" s="78"/>
      <c r="G3" s="78"/>
      <c r="H3" s="78"/>
      <c r="I3" s="78"/>
      <c r="J3" s="78"/>
      <c r="K3" s="62">
        <f>SUM(E3,H3)</f>
        <v>0</v>
      </c>
      <c r="L3" s="62">
        <f>K3*35%</f>
        <v>0</v>
      </c>
      <c r="M3" s="63">
        <f>SUM(K3:L3)</f>
        <v>0</v>
      </c>
      <c r="N3" s="55"/>
      <c r="O3" s="54"/>
      <c r="P3" s="54"/>
      <c r="Q3" s="54"/>
      <c r="R3" s="54"/>
      <c r="S3" s="54"/>
      <c r="T3" s="54"/>
      <c r="U3" s="56"/>
    </row>
    <row r="4" spans="1:21" x14ac:dyDescent="0.35">
      <c r="A4" s="15">
        <v>2</v>
      </c>
      <c r="B4" s="15" t="s">
        <v>392</v>
      </c>
      <c r="C4" s="15"/>
      <c r="D4" s="15"/>
      <c r="E4" s="35"/>
      <c r="F4" s="35"/>
      <c r="G4" s="36"/>
      <c r="H4" s="15"/>
      <c r="I4" s="15"/>
      <c r="J4" s="15"/>
      <c r="K4" s="15"/>
      <c r="L4" s="15"/>
      <c r="M4" s="38"/>
      <c r="N4" s="37">
        <v>20</v>
      </c>
      <c r="O4" s="53">
        <v>12</v>
      </c>
      <c r="P4" s="53">
        <v>60</v>
      </c>
      <c r="Q4" s="53"/>
      <c r="R4" s="15">
        <f t="shared" ref="R4" si="0">SUM(N4:Q4)</f>
        <v>92</v>
      </c>
      <c r="S4" s="38">
        <f t="shared" ref="S4" si="1">R4+M4</f>
        <v>92</v>
      </c>
      <c r="T4" s="39">
        <f t="shared" ref="T4" si="2">S4*A4</f>
        <v>184</v>
      </c>
      <c r="U4" s="61"/>
    </row>
    <row r="5" spans="1:21" x14ac:dyDescent="0.35">
      <c r="A5" s="15">
        <v>1</v>
      </c>
      <c r="B5" s="15" t="s">
        <v>398</v>
      </c>
      <c r="C5" s="15"/>
      <c r="D5" s="15"/>
      <c r="E5" s="35"/>
      <c r="F5" s="35"/>
      <c r="G5" s="36"/>
      <c r="H5" s="15"/>
      <c r="I5" s="15"/>
      <c r="J5" s="15"/>
      <c r="K5" s="15"/>
      <c r="L5" s="15"/>
      <c r="M5" s="38"/>
      <c r="N5" s="15"/>
      <c r="O5" s="15"/>
      <c r="P5" s="15"/>
      <c r="Q5" s="15"/>
      <c r="R5" s="15">
        <f t="shared" ref="R5" si="3">SUM(N5:Q5)</f>
        <v>0</v>
      </c>
      <c r="S5" s="38">
        <f t="shared" ref="S5" si="4">R5+M5</f>
        <v>0</v>
      </c>
      <c r="T5" s="39">
        <f t="shared" ref="T5" si="5">S5*A5</f>
        <v>0</v>
      </c>
      <c r="U5" s="52"/>
    </row>
    <row r="6" spans="1:21" x14ac:dyDescent="0.35">
      <c r="A6" s="15">
        <v>1</v>
      </c>
      <c r="B6" s="15" t="s">
        <v>205</v>
      </c>
      <c r="C6" s="15">
        <v>10</v>
      </c>
      <c r="D6" s="15">
        <v>10</v>
      </c>
      <c r="E6" s="15">
        <v>112</v>
      </c>
      <c r="F6" s="15" t="s">
        <v>250</v>
      </c>
      <c r="G6" s="15"/>
      <c r="H6" s="15">
        <v>12.08</v>
      </c>
      <c r="I6" s="15"/>
      <c r="J6" s="15"/>
      <c r="K6" s="35">
        <f>SUM(E6,H6)</f>
        <v>124.08</v>
      </c>
      <c r="L6" s="35">
        <f>K6*35%</f>
        <v>43.427999999999997</v>
      </c>
      <c r="M6" s="36">
        <f>SUM(K6:L6)</f>
        <v>167.50799999999998</v>
      </c>
      <c r="N6" s="15">
        <v>20</v>
      </c>
      <c r="O6" s="15">
        <v>12</v>
      </c>
      <c r="P6" s="15">
        <v>120</v>
      </c>
      <c r="Q6" s="15"/>
      <c r="R6" s="15">
        <f t="shared" ref="R6" si="6">SUM(N6:Q6)</f>
        <v>152</v>
      </c>
      <c r="S6" s="38">
        <f t="shared" ref="S6" si="7">R6+M6</f>
        <v>319.50799999999998</v>
      </c>
      <c r="T6" s="39">
        <f t="shared" ref="T6" si="8">S6*A6</f>
        <v>319.50799999999998</v>
      </c>
      <c r="U6" s="52"/>
    </row>
    <row r="7" spans="1:21" x14ac:dyDescent="0.35">
      <c r="A7" s="15">
        <v>0</v>
      </c>
      <c r="B7" s="15" t="s">
        <v>88</v>
      </c>
      <c r="C7" s="15"/>
      <c r="D7" s="15"/>
      <c r="E7" s="15">
        <v>132</v>
      </c>
      <c r="F7" s="15"/>
      <c r="G7" s="15"/>
      <c r="H7" s="15">
        <v>15</v>
      </c>
      <c r="I7" s="15"/>
      <c r="J7" s="15"/>
      <c r="K7" s="35">
        <f>SUM(E7,H7)</f>
        <v>147</v>
      </c>
      <c r="L7" s="35">
        <f>K7*35%</f>
        <v>51.449999999999996</v>
      </c>
      <c r="M7" s="36">
        <f>SUM(K7:L7)</f>
        <v>198.45</v>
      </c>
      <c r="N7" s="15">
        <v>10</v>
      </c>
      <c r="O7" s="15">
        <v>6</v>
      </c>
      <c r="P7" s="15">
        <v>120</v>
      </c>
      <c r="Q7" s="15"/>
      <c r="R7" s="15">
        <f t="shared" ref="R7:R10" si="9">SUM(N7:Q7)</f>
        <v>136</v>
      </c>
      <c r="S7" s="38">
        <f t="shared" ref="S7:S10" si="10">R7+M7</f>
        <v>334.45</v>
      </c>
      <c r="T7" s="39">
        <f t="shared" ref="T7:T10" si="11">S7*A7</f>
        <v>0</v>
      </c>
      <c r="U7" s="52"/>
    </row>
    <row r="8" spans="1:21" x14ac:dyDescent="0.35">
      <c r="A8" s="53">
        <v>0</v>
      </c>
      <c r="B8" s="53" t="s">
        <v>296</v>
      </c>
      <c r="C8" s="53" t="s">
        <v>306</v>
      </c>
      <c r="D8" s="50"/>
      <c r="E8" s="51"/>
      <c r="F8" s="51"/>
      <c r="G8" s="51"/>
      <c r="H8" s="51"/>
      <c r="I8" s="51"/>
      <c r="J8" s="51"/>
      <c r="K8" s="51"/>
      <c r="L8" s="51"/>
      <c r="M8" s="51"/>
      <c r="N8" s="15">
        <v>15</v>
      </c>
      <c r="O8" s="15">
        <v>6</v>
      </c>
      <c r="P8" s="15">
        <v>180</v>
      </c>
      <c r="Q8" s="15"/>
      <c r="R8" s="15">
        <f t="shared" si="9"/>
        <v>201</v>
      </c>
      <c r="S8" s="38">
        <f t="shared" si="10"/>
        <v>201</v>
      </c>
      <c r="T8" s="39">
        <f t="shared" si="11"/>
        <v>0</v>
      </c>
      <c r="U8" s="52"/>
    </row>
    <row r="9" spans="1:21" x14ac:dyDescent="0.35">
      <c r="A9" s="53">
        <v>0</v>
      </c>
      <c r="B9" s="53" t="s">
        <v>219</v>
      </c>
      <c r="C9" s="53" t="s">
        <v>306</v>
      </c>
      <c r="D9" s="50"/>
      <c r="E9" s="51"/>
      <c r="F9" s="51"/>
      <c r="G9" s="51"/>
      <c r="H9" s="51"/>
      <c r="I9" s="51"/>
      <c r="J9" s="51"/>
      <c r="K9" s="51"/>
      <c r="L9" s="51"/>
      <c r="M9" s="51"/>
      <c r="N9" s="15">
        <v>15</v>
      </c>
      <c r="O9" s="15">
        <v>6</v>
      </c>
      <c r="P9" s="15">
        <v>180</v>
      </c>
      <c r="Q9" s="15"/>
      <c r="R9" s="15">
        <f t="shared" si="9"/>
        <v>201</v>
      </c>
      <c r="S9" s="38">
        <f t="shared" si="10"/>
        <v>201</v>
      </c>
      <c r="T9" s="39">
        <f t="shared" si="11"/>
        <v>0</v>
      </c>
      <c r="U9" s="52"/>
    </row>
    <row r="10" spans="1:21" x14ac:dyDescent="0.35">
      <c r="A10" s="15">
        <v>0</v>
      </c>
      <c r="B10" s="15" t="s">
        <v>79</v>
      </c>
      <c r="C10" s="15"/>
      <c r="D10" s="15"/>
      <c r="E10" s="15">
        <v>72</v>
      </c>
      <c r="F10" s="15"/>
      <c r="G10" s="15"/>
      <c r="H10" s="15">
        <v>7</v>
      </c>
      <c r="I10" s="15"/>
      <c r="J10" s="15"/>
      <c r="K10" s="35">
        <f>SUM(E10,H10)</f>
        <v>79</v>
      </c>
      <c r="L10" s="35">
        <f>K10*35%</f>
        <v>27.65</v>
      </c>
      <c r="M10" s="36">
        <f>SUM(K10:L10)</f>
        <v>106.65</v>
      </c>
      <c r="N10" s="15">
        <v>15</v>
      </c>
      <c r="O10" s="15">
        <v>6</v>
      </c>
      <c r="P10" s="15">
        <v>180</v>
      </c>
      <c r="Q10" s="15"/>
      <c r="R10" s="15">
        <f t="shared" si="9"/>
        <v>201</v>
      </c>
      <c r="S10" s="38">
        <f t="shared" si="10"/>
        <v>307.64999999999998</v>
      </c>
      <c r="T10" s="39">
        <f t="shared" si="11"/>
        <v>0</v>
      </c>
      <c r="U10" s="52"/>
    </row>
    <row r="11" spans="1:21" x14ac:dyDescent="0.35">
      <c r="A11" s="53">
        <v>0</v>
      </c>
      <c r="B11" s="53" t="s">
        <v>312</v>
      </c>
      <c r="C11" s="53"/>
      <c r="D11" s="53"/>
      <c r="E11" s="37"/>
      <c r="F11" s="37"/>
      <c r="G11" s="37"/>
      <c r="H11" s="37"/>
      <c r="I11" s="37"/>
      <c r="J11" s="37"/>
      <c r="K11" s="35"/>
      <c r="L11" s="35"/>
      <c r="M11" s="36"/>
      <c r="N11" s="15">
        <v>10</v>
      </c>
      <c r="O11" s="15">
        <v>6</v>
      </c>
      <c r="P11" s="15">
        <v>60</v>
      </c>
      <c r="Q11" s="15"/>
      <c r="R11" s="15">
        <f t="shared" ref="R11:R12" si="12">SUM(N11:Q11)</f>
        <v>76</v>
      </c>
      <c r="S11" s="38">
        <f t="shared" ref="S11:S12" si="13">R11+M11</f>
        <v>76</v>
      </c>
      <c r="T11" s="39">
        <f t="shared" ref="T11:T12" si="14">S11*A11</f>
        <v>0</v>
      </c>
      <c r="U11" s="52"/>
    </row>
    <row r="12" spans="1:21" x14ac:dyDescent="0.35">
      <c r="A12" s="15">
        <v>0</v>
      </c>
      <c r="B12" s="15" t="s">
        <v>93</v>
      </c>
      <c r="C12" s="15">
        <v>11</v>
      </c>
      <c r="D12" s="15">
        <v>11</v>
      </c>
      <c r="E12" s="15">
        <v>12.95</v>
      </c>
      <c r="F12" s="15" t="s">
        <v>246</v>
      </c>
      <c r="G12" s="15"/>
      <c r="H12" s="15"/>
      <c r="I12" s="15"/>
      <c r="J12" s="15"/>
      <c r="K12" s="35">
        <f>SUM(E12,H12)</f>
        <v>12.95</v>
      </c>
      <c r="L12" s="35">
        <f>K12*35%</f>
        <v>4.5324999999999998</v>
      </c>
      <c r="M12" s="36">
        <f>SUM(K12:L12)</f>
        <v>17.482499999999998</v>
      </c>
      <c r="N12" s="15">
        <v>10</v>
      </c>
      <c r="O12" s="15">
        <v>12</v>
      </c>
      <c r="P12" s="15">
        <v>180</v>
      </c>
      <c r="Q12" s="15"/>
      <c r="R12" s="15">
        <f t="shared" si="12"/>
        <v>202</v>
      </c>
      <c r="S12" s="38">
        <f t="shared" si="13"/>
        <v>219.48249999999999</v>
      </c>
      <c r="T12" s="39">
        <f t="shared" si="14"/>
        <v>0</v>
      </c>
      <c r="U12" s="52"/>
    </row>
    <row r="13" spans="1:21" x14ac:dyDescent="0.35">
      <c r="A13" s="15">
        <v>0</v>
      </c>
      <c r="B13" s="15" t="s">
        <v>319</v>
      </c>
      <c r="C13" s="15"/>
      <c r="D13" s="15"/>
      <c r="E13" s="35"/>
      <c r="F13" s="35"/>
      <c r="G13" s="36"/>
      <c r="H13" s="15"/>
      <c r="I13" s="15"/>
      <c r="J13" s="15"/>
      <c r="K13" s="15"/>
      <c r="L13" s="15"/>
      <c r="M13" s="38"/>
      <c r="N13" s="15">
        <v>10</v>
      </c>
      <c r="O13" s="15">
        <v>6</v>
      </c>
      <c r="P13" s="15">
        <v>30</v>
      </c>
      <c r="Q13" s="15"/>
      <c r="R13" s="15">
        <f t="shared" ref="R13" si="15">SUM(N13:Q13)</f>
        <v>46</v>
      </c>
      <c r="S13" s="38">
        <f t="shared" ref="S13" si="16">R13+M13</f>
        <v>46</v>
      </c>
      <c r="T13" s="39">
        <f t="shared" ref="T13" si="17">S13*A13</f>
        <v>0</v>
      </c>
      <c r="U13" s="61"/>
    </row>
    <row r="14" spans="1:21" x14ac:dyDescent="0.35">
      <c r="A14" s="15">
        <v>0</v>
      </c>
      <c r="B14" s="15" t="s">
        <v>344</v>
      </c>
      <c r="C14" s="15"/>
      <c r="D14" s="15"/>
      <c r="E14" s="35"/>
      <c r="F14" s="35"/>
      <c r="G14" s="36"/>
      <c r="H14" s="15"/>
      <c r="I14" s="15"/>
      <c r="J14" s="15"/>
      <c r="K14" s="15"/>
      <c r="L14" s="15"/>
      <c r="M14" s="38"/>
      <c r="N14" s="15"/>
      <c r="O14" s="15"/>
      <c r="P14" s="15"/>
      <c r="Q14" s="15"/>
      <c r="R14" s="15"/>
      <c r="S14" s="38"/>
      <c r="T14" s="39"/>
      <c r="U14" s="61"/>
    </row>
    <row r="15" spans="1:21" x14ac:dyDescent="0.35">
      <c r="A15" s="15">
        <v>0</v>
      </c>
      <c r="B15" s="15" t="s">
        <v>345</v>
      </c>
      <c r="C15" s="15"/>
      <c r="D15" s="15"/>
      <c r="E15" s="35"/>
      <c r="F15" s="35"/>
      <c r="G15" s="36"/>
      <c r="H15" s="15"/>
      <c r="I15" s="15"/>
      <c r="J15" s="15"/>
      <c r="K15" s="15"/>
      <c r="L15" s="15"/>
      <c r="M15" s="38"/>
      <c r="N15" s="15">
        <v>10</v>
      </c>
      <c r="O15" s="15">
        <v>10</v>
      </c>
      <c r="P15" s="15">
        <v>30</v>
      </c>
      <c r="Q15" s="15"/>
      <c r="R15" s="15">
        <f>SUM(N15:Q15)</f>
        <v>50</v>
      </c>
      <c r="S15" s="38">
        <f>R15+M15</f>
        <v>50</v>
      </c>
      <c r="T15" s="39">
        <f>S15*A15</f>
        <v>0</v>
      </c>
      <c r="U15" s="47">
        <v>43227</v>
      </c>
    </row>
    <row r="16" spans="1:21" x14ac:dyDescent="0.35">
      <c r="A16" s="15">
        <v>0</v>
      </c>
      <c r="B16" s="15" t="s">
        <v>324</v>
      </c>
      <c r="C16" s="15"/>
      <c r="D16" s="15"/>
      <c r="E16" s="35"/>
      <c r="F16" s="35"/>
      <c r="G16" s="36"/>
      <c r="H16" s="15"/>
      <c r="I16" s="15"/>
      <c r="J16" s="15"/>
      <c r="K16" s="15"/>
      <c r="L16" s="15"/>
      <c r="M16" s="38"/>
      <c r="N16" s="15"/>
      <c r="O16" s="15"/>
      <c r="P16" s="15"/>
      <c r="Q16" s="15"/>
      <c r="R16" s="15">
        <f t="shared" ref="R16:R79" si="18">SUM(N16:Q16)</f>
        <v>0</v>
      </c>
      <c r="S16" s="38">
        <f t="shared" ref="S16:S79" si="19">R16+M16</f>
        <v>0</v>
      </c>
      <c r="T16" s="39">
        <f t="shared" ref="T16:T79" si="20">S16*A16</f>
        <v>0</v>
      </c>
      <c r="U16" s="47"/>
    </row>
    <row r="17" spans="1:21" x14ac:dyDescent="0.35">
      <c r="A17" s="53">
        <v>0</v>
      </c>
      <c r="B17" s="53" t="s">
        <v>298</v>
      </c>
      <c r="C17" s="53" t="s">
        <v>310</v>
      </c>
      <c r="D17" s="53"/>
      <c r="E17" s="37">
        <v>70.849999999999994</v>
      </c>
      <c r="F17" s="37"/>
      <c r="G17" s="37"/>
      <c r="H17" s="37"/>
      <c r="I17" s="37"/>
      <c r="J17" s="37"/>
      <c r="K17" s="35">
        <f t="shared" ref="K17:K28" si="21">SUM(E17,H17)</f>
        <v>70.849999999999994</v>
      </c>
      <c r="L17" s="35">
        <f t="shared" ref="L17:L48" si="22">K17*35%</f>
        <v>24.797499999999996</v>
      </c>
      <c r="M17" s="36">
        <f t="shared" ref="M17:M48" si="23">SUM(K17:L17)</f>
        <v>95.647499999999994</v>
      </c>
      <c r="N17" s="15"/>
      <c r="O17" s="15"/>
      <c r="P17" s="15"/>
      <c r="Q17" s="15"/>
      <c r="R17" s="15">
        <f t="shared" si="18"/>
        <v>0</v>
      </c>
      <c r="S17" s="38">
        <f t="shared" si="19"/>
        <v>95.647499999999994</v>
      </c>
      <c r="T17" s="39">
        <f t="shared" si="20"/>
        <v>0</v>
      </c>
      <c r="U17" s="47"/>
    </row>
    <row r="18" spans="1:21" x14ac:dyDescent="0.35">
      <c r="A18" s="53">
        <v>0</v>
      </c>
      <c r="B18" s="53" t="s">
        <v>297</v>
      </c>
      <c r="C18" s="53"/>
      <c r="D18" s="53"/>
      <c r="E18" s="37">
        <v>62</v>
      </c>
      <c r="F18" s="37"/>
      <c r="G18" s="37"/>
      <c r="H18" s="37">
        <v>5</v>
      </c>
      <c r="I18" s="37"/>
      <c r="J18" s="37"/>
      <c r="K18" s="35">
        <f t="shared" si="21"/>
        <v>67</v>
      </c>
      <c r="L18" s="35">
        <f t="shared" si="22"/>
        <v>23.45</v>
      </c>
      <c r="M18" s="36">
        <f t="shared" si="23"/>
        <v>90.45</v>
      </c>
      <c r="N18" s="15"/>
      <c r="O18" s="15"/>
      <c r="P18" s="15"/>
      <c r="Q18" s="15"/>
      <c r="R18" s="15">
        <f t="shared" si="18"/>
        <v>0</v>
      </c>
      <c r="S18" s="38">
        <f t="shared" si="19"/>
        <v>90.45</v>
      </c>
      <c r="T18" s="39">
        <f t="shared" si="20"/>
        <v>0</v>
      </c>
      <c r="U18" s="47"/>
    </row>
    <row r="19" spans="1:21" x14ac:dyDescent="0.35">
      <c r="A19" s="53">
        <v>0</v>
      </c>
      <c r="B19" s="53" t="s">
        <v>68</v>
      </c>
      <c r="C19" s="53"/>
      <c r="D19" s="53"/>
      <c r="E19" s="37">
        <v>100</v>
      </c>
      <c r="F19" s="37"/>
      <c r="G19" s="37"/>
      <c r="H19" s="37">
        <v>5</v>
      </c>
      <c r="I19" s="37"/>
      <c r="J19" s="37"/>
      <c r="K19" s="35">
        <f t="shared" si="21"/>
        <v>105</v>
      </c>
      <c r="L19" s="35">
        <f t="shared" si="22"/>
        <v>36.75</v>
      </c>
      <c r="M19" s="36">
        <f t="shared" si="23"/>
        <v>141.75</v>
      </c>
      <c r="N19" s="15">
        <v>10</v>
      </c>
      <c r="O19" s="15">
        <v>10</v>
      </c>
      <c r="P19" s="15">
        <v>90</v>
      </c>
      <c r="Q19" s="15"/>
      <c r="R19" s="15">
        <f t="shared" si="18"/>
        <v>110</v>
      </c>
      <c r="S19" s="38">
        <f t="shared" si="19"/>
        <v>251.75</v>
      </c>
      <c r="T19" s="39">
        <f t="shared" si="20"/>
        <v>0</v>
      </c>
      <c r="U19" s="47">
        <v>43227</v>
      </c>
    </row>
    <row r="20" spans="1:21" x14ac:dyDescent="0.35">
      <c r="A20" s="53">
        <v>0</v>
      </c>
      <c r="B20" s="53" t="s">
        <v>71</v>
      </c>
      <c r="C20" s="53"/>
      <c r="D20" s="53"/>
      <c r="E20" s="37">
        <v>52</v>
      </c>
      <c r="F20" s="37"/>
      <c r="G20" s="37"/>
      <c r="H20" s="37">
        <v>20</v>
      </c>
      <c r="I20" s="37"/>
      <c r="J20" s="37"/>
      <c r="K20" s="35">
        <f t="shared" si="21"/>
        <v>72</v>
      </c>
      <c r="L20" s="35">
        <f t="shared" si="22"/>
        <v>25.2</v>
      </c>
      <c r="M20" s="36">
        <f t="shared" si="23"/>
        <v>97.2</v>
      </c>
      <c r="N20" s="15">
        <v>10</v>
      </c>
      <c r="O20" s="15">
        <v>6</v>
      </c>
      <c r="P20" s="15">
        <v>15</v>
      </c>
      <c r="Q20" s="15"/>
      <c r="R20" s="15">
        <f t="shared" si="18"/>
        <v>31</v>
      </c>
      <c r="S20" s="38">
        <f t="shared" si="19"/>
        <v>128.19999999999999</v>
      </c>
      <c r="T20" s="39">
        <f t="shared" si="20"/>
        <v>0</v>
      </c>
      <c r="U20" s="47">
        <v>43227</v>
      </c>
    </row>
    <row r="21" spans="1:21" x14ac:dyDescent="0.35">
      <c r="A21" s="53">
        <v>0</v>
      </c>
      <c r="B21" s="53" t="s">
        <v>299</v>
      </c>
      <c r="C21" s="53"/>
      <c r="D21" s="53"/>
      <c r="E21" s="37">
        <v>21.75</v>
      </c>
      <c r="F21" s="37"/>
      <c r="G21" s="37"/>
      <c r="H21" s="37"/>
      <c r="I21" s="37"/>
      <c r="J21" s="37"/>
      <c r="K21" s="35">
        <f t="shared" si="21"/>
        <v>21.75</v>
      </c>
      <c r="L21" s="35">
        <f t="shared" si="22"/>
        <v>7.6124999999999998</v>
      </c>
      <c r="M21" s="36">
        <f t="shared" si="23"/>
        <v>29.362500000000001</v>
      </c>
      <c r="N21" s="15">
        <v>10</v>
      </c>
      <c r="O21" s="15">
        <v>6</v>
      </c>
      <c r="P21" s="15">
        <v>30</v>
      </c>
      <c r="Q21" s="15"/>
      <c r="R21" s="15">
        <f t="shared" si="18"/>
        <v>46</v>
      </c>
      <c r="S21" s="38">
        <f t="shared" si="19"/>
        <v>75.362499999999997</v>
      </c>
      <c r="T21" s="39">
        <f t="shared" si="20"/>
        <v>0</v>
      </c>
      <c r="U21" s="47">
        <v>43227</v>
      </c>
    </row>
    <row r="22" spans="1:21" x14ac:dyDescent="0.35">
      <c r="A22" s="15">
        <v>0</v>
      </c>
      <c r="B22" s="15" t="s">
        <v>70</v>
      </c>
      <c r="C22" s="15"/>
      <c r="D22" s="15"/>
      <c r="E22" s="15">
        <v>133</v>
      </c>
      <c r="F22" s="15"/>
      <c r="G22" s="15"/>
      <c r="H22" s="15">
        <v>5</v>
      </c>
      <c r="I22" s="15"/>
      <c r="J22" s="15"/>
      <c r="K22" s="35">
        <f t="shared" si="21"/>
        <v>138</v>
      </c>
      <c r="L22" s="35">
        <f t="shared" si="22"/>
        <v>48.3</v>
      </c>
      <c r="M22" s="36">
        <f t="shared" si="23"/>
        <v>186.3</v>
      </c>
      <c r="N22" s="15">
        <v>10</v>
      </c>
      <c r="O22" s="15">
        <v>10</v>
      </c>
      <c r="P22" s="15">
        <v>120</v>
      </c>
      <c r="Q22" s="15"/>
      <c r="R22" s="15">
        <f t="shared" si="18"/>
        <v>140</v>
      </c>
      <c r="S22" s="38">
        <f t="shared" si="19"/>
        <v>326.3</v>
      </c>
      <c r="T22" s="39">
        <f t="shared" si="20"/>
        <v>0</v>
      </c>
      <c r="U22" s="47">
        <v>43227</v>
      </c>
    </row>
    <row r="23" spans="1:21" x14ac:dyDescent="0.35">
      <c r="A23" s="15">
        <v>0</v>
      </c>
      <c r="B23" s="15" t="s">
        <v>69</v>
      </c>
      <c r="C23" s="15"/>
      <c r="D23" s="15"/>
      <c r="E23" s="15">
        <v>103</v>
      </c>
      <c r="F23" s="15"/>
      <c r="G23" s="15"/>
      <c r="H23" s="15">
        <v>5</v>
      </c>
      <c r="I23" s="15"/>
      <c r="J23" s="15"/>
      <c r="K23" s="35">
        <f t="shared" si="21"/>
        <v>108</v>
      </c>
      <c r="L23" s="35">
        <f t="shared" si="22"/>
        <v>37.799999999999997</v>
      </c>
      <c r="M23" s="36">
        <f t="shared" si="23"/>
        <v>145.80000000000001</v>
      </c>
      <c r="N23" s="15">
        <v>10</v>
      </c>
      <c r="O23" s="15">
        <v>10</v>
      </c>
      <c r="P23" s="15">
        <v>120</v>
      </c>
      <c r="Q23" s="15"/>
      <c r="R23" s="15">
        <f t="shared" si="18"/>
        <v>140</v>
      </c>
      <c r="S23" s="38">
        <f t="shared" si="19"/>
        <v>285.8</v>
      </c>
      <c r="T23" s="39">
        <f t="shared" si="20"/>
        <v>0</v>
      </c>
      <c r="U23" s="47">
        <v>43227</v>
      </c>
    </row>
    <row r="24" spans="1:21" x14ac:dyDescent="0.35">
      <c r="A24" s="15">
        <v>0</v>
      </c>
      <c r="B24" s="15" t="s">
        <v>67</v>
      </c>
      <c r="C24" s="15"/>
      <c r="D24" s="15"/>
      <c r="E24" s="15">
        <v>53</v>
      </c>
      <c r="F24" s="15"/>
      <c r="G24" s="15"/>
      <c r="H24" s="15">
        <v>5</v>
      </c>
      <c r="I24" s="15"/>
      <c r="J24" s="15"/>
      <c r="K24" s="35">
        <f t="shared" si="21"/>
        <v>58</v>
      </c>
      <c r="L24" s="35">
        <f t="shared" si="22"/>
        <v>20.299999999999997</v>
      </c>
      <c r="M24" s="36">
        <f t="shared" si="23"/>
        <v>78.3</v>
      </c>
      <c r="N24" s="15"/>
      <c r="O24" s="15"/>
      <c r="P24" s="15"/>
      <c r="Q24" s="15"/>
      <c r="R24" s="15">
        <f t="shared" si="18"/>
        <v>0</v>
      </c>
      <c r="S24" s="38">
        <f t="shared" si="19"/>
        <v>78.3</v>
      </c>
      <c r="T24" s="39">
        <f t="shared" si="20"/>
        <v>0</v>
      </c>
      <c r="U24" s="47">
        <v>43227</v>
      </c>
    </row>
    <row r="25" spans="1:21" x14ac:dyDescent="0.35">
      <c r="A25" s="53">
        <v>0</v>
      </c>
      <c r="B25" s="53" t="s">
        <v>65</v>
      </c>
      <c r="C25" s="53"/>
      <c r="D25" s="53"/>
      <c r="E25" s="37">
        <v>62</v>
      </c>
      <c r="F25" s="37"/>
      <c r="G25" s="37"/>
      <c r="H25" s="37">
        <v>5</v>
      </c>
      <c r="I25" s="37"/>
      <c r="J25" s="37"/>
      <c r="K25" s="35">
        <f t="shared" si="21"/>
        <v>67</v>
      </c>
      <c r="L25" s="35">
        <f t="shared" si="22"/>
        <v>23.45</v>
      </c>
      <c r="M25" s="36">
        <f t="shared" si="23"/>
        <v>90.45</v>
      </c>
      <c r="N25" s="15">
        <v>10</v>
      </c>
      <c r="O25" s="15">
        <v>10</v>
      </c>
      <c r="P25" s="15">
        <v>90</v>
      </c>
      <c r="Q25" s="15"/>
      <c r="R25" s="15">
        <f t="shared" si="18"/>
        <v>110</v>
      </c>
      <c r="S25" s="38">
        <f t="shared" si="19"/>
        <v>200.45</v>
      </c>
      <c r="T25" s="39">
        <f t="shared" si="20"/>
        <v>0</v>
      </c>
      <c r="U25" s="47">
        <v>43227</v>
      </c>
    </row>
    <row r="26" spans="1:21" x14ac:dyDescent="0.35">
      <c r="A26" s="53">
        <v>0</v>
      </c>
      <c r="B26" s="53" t="s">
        <v>307</v>
      </c>
      <c r="C26" s="53"/>
      <c r="D26" s="53"/>
      <c r="E26" s="37">
        <v>53</v>
      </c>
      <c r="F26" s="37"/>
      <c r="G26" s="37"/>
      <c r="H26" s="37">
        <v>5</v>
      </c>
      <c r="I26" s="37"/>
      <c r="J26" s="37"/>
      <c r="K26" s="35">
        <f t="shared" si="21"/>
        <v>58</v>
      </c>
      <c r="L26" s="35">
        <f t="shared" si="22"/>
        <v>20.299999999999997</v>
      </c>
      <c r="M26" s="36">
        <f t="shared" si="23"/>
        <v>78.3</v>
      </c>
      <c r="N26" s="15">
        <v>10</v>
      </c>
      <c r="O26" s="15">
        <v>10</v>
      </c>
      <c r="P26" s="15">
        <v>60</v>
      </c>
      <c r="Q26" s="15"/>
      <c r="R26" s="15">
        <f t="shared" si="18"/>
        <v>80</v>
      </c>
      <c r="S26" s="38">
        <f t="shared" si="19"/>
        <v>158.30000000000001</v>
      </c>
      <c r="T26" s="39">
        <f t="shared" si="20"/>
        <v>0</v>
      </c>
      <c r="U26" s="47">
        <v>43227</v>
      </c>
    </row>
    <row r="27" spans="1:21" x14ac:dyDescent="0.35">
      <c r="A27" s="53">
        <v>0</v>
      </c>
      <c r="B27" s="53" t="s">
        <v>308</v>
      </c>
      <c r="C27" s="53"/>
      <c r="D27" s="53"/>
      <c r="E27" s="37">
        <v>103</v>
      </c>
      <c r="F27" s="37"/>
      <c r="G27" s="37"/>
      <c r="H27" s="37">
        <v>5</v>
      </c>
      <c r="I27" s="37"/>
      <c r="J27" s="37"/>
      <c r="K27" s="35">
        <f t="shared" si="21"/>
        <v>108</v>
      </c>
      <c r="L27" s="35">
        <f t="shared" si="22"/>
        <v>37.799999999999997</v>
      </c>
      <c r="M27" s="36">
        <f t="shared" si="23"/>
        <v>145.80000000000001</v>
      </c>
      <c r="N27" s="15">
        <v>10</v>
      </c>
      <c r="O27" s="15">
        <v>10</v>
      </c>
      <c r="P27" s="15">
        <v>60</v>
      </c>
      <c r="Q27" s="15"/>
      <c r="R27" s="15">
        <f t="shared" si="18"/>
        <v>80</v>
      </c>
      <c r="S27" s="38">
        <f t="shared" si="19"/>
        <v>225.8</v>
      </c>
      <c r="T27" s="39">
        <f t="shared" si="20"/>
        <v>0</v>
      </c>
      <c r="U27" s="47">
        <v>43227</v>
      </c>
    </row>
    <row r="28" spans="1:21" x14ac:dyDescent="0.35">
      <c r="A28" s="53">
        <v>0</v>
      </c>
      <c r="B28" s="53" t="s">
        <v>309</v>
      </c>
      <c r="C28" s="53"/>
      <c r="D28" s="53"/>
      <c r="E28" s="37">
        <v>133</v>
      </c>
      <c r="F28" s="37"/>
      <c r="G28" s="37"/>
      <c r="H28" s="37">
        <v>5</v>
      </c>
      <c r="I28" s="37"/>
      <c r="J28" s="37"/>
      <c r="K28" s="35">
        <f t="shared" si="21"/>
        <v>138</v>
      </c>
      <c r="L28" s="35">
        <f t="shared" si="22"/>
        <v>48.3</v>
      </c>
      <c r="M28" s="36">
        <f t="shared" si="23"/>
        <v>186.3</v>
      </c>
      <c r="N28" s="15">
        <v>10</v>
      </c>
      <c r="O28" s="15">
        <v>10</v>
      </c>
      <c r="P28" s="15">
        <v>60</v>
      </c>
      <c r="Q28" s="15"/>
      <c r="R28" s="15">
        <f t="shared" si="18"/>
        <v>80</v>
      </c>
      <c r="S28" s="38">
        <f t="shared" si="19"/>
        <v>266.3</v>
      </c>
      <c r="T28" s="39">
        <f t="shared" si="20"/>
        <v>0</v>
      </c>
      <c r="U28" s="47">
        <v>43227</v>
      </c>
    </row>
    <row r="29" spans="1:21" ht="14.25" customHeight="1" x14ac:dyDescent="0.35">
      <c r="A29" s="15">
        <v>0</v>
      </c>
      <c r="B29" s="15" t="s">
        <v>222</v>
      </c>
      <c r="C29" s="15"/>
      <c r="D29" s="15"/>
      <c r="E29" s="15">
        <v>139.96</v>
      </c>
      <c r="F29" s="15"/>
      <c r="G29" s="15"/>
      <c r="H29" s="15"/>
      <c r="I29" s="15"/>
      <c r="J29" s="15"/>
      <c r="K29" s="35"/>
      <c r="L29" s="35">
        <f t="shared" si="22"/>
        <v>0</v>
      </c>
      <c r="M29" s="36">
        <f t="shared" si="23"/>
        <v>0</v>
      </c>
      <c r="N29" s="15">
        <v>10</v>
      </c>
      <c r="O29" s="15">
        <v>20</v>
      </c>
      <c r="P29" s="15">
        <v>90</v>
      </c>
      <c r="Q29" s="15"/>
      <c r="R29" s="15">
        <f t="shared" si="18"/>
        <v>120</v>
      </c>
      <c r="S29" s="38">
        <f t="shared" si="19"/>
        <v>120</v>
      </c>
      <c r="T29" s="39">
        <f t="shared" si="20"/>
        <v>0</v>
      </c>
      <c r="U29" s="47"/>
    </row>
    <row r="30" spans="1:21" x14ac:dyDescent="0.35">
      <c r="A30" s="15">
        <v>0</v>
      </c>
      <c r="B30" s="15" t="s">
        <v>226</v>
      </c>
      <c r="C30" s="15"/>
      <c r="D30" s="15"/>
      <c r="E30" s="15"/>
      <c r="F30" s="15"/>
      <c r="G30" s="15"/>
      <c r="H30" s="15"/>
      <c r="I30" s="15"/>
      <c r="J30" s="15"/>
      <c r="K30" s="35">
        <f t="shared" ref="K30:K61" si="24">SUM(E30,H30)</f>
        <v>0</v>
      </c>
      <c r="L30" s="35">
        <f t="shared" si="22"/>
        <v>0</v>
      </c>
      <c r="M30" s="36">
        <f t="shared" si="23"/>
        <v>0</v>
      </c>
      <c r="N30" s="15"/>
      <c r="O30" s="15">
        <v>20</v>
      </c>
      <c r="P30" s="15">
        <v>90</v>
      </c>
      <c r="Q30" s="15"/>
      <c r="R30" s="15">
        <f t="shared" si="18"/>
        <v>110</v>
      </c>
      <c r="S30" s="38">
        <f t="shared" si="19"/>
        <v>110</v>
      </c>
      <c r="T30" s="39">
        <f t="shared" si="20"/>
        <v>0</v>
      </c>
      <c r="U30" s="47"/>
    </row>
    <row r="31" spans="1:21" x14ac:dyDescent="0.35">
      <c r="A31" s="15">
        <v>0</v>
      </c>
      <c r="B31" s="15" t="s">
        <v>72</v>
      </c>
      <c r="C31" s="15" t="s">
        <v>237</v>
      </c>
      <c r="D31" s="15">
        <v>1</v>
      </c>
      <c r="E31" s="15">
        <v>46.19</v>
      </c>
      <c r="F31" s="15" t="s">
        <v>238</v>
      </c>
      <c r="G31" s="44">
        <v>1013000039</v>
      </c>
      <c r="H31" s="15">
        <v>8.2899999999999991</v>
      </c>
      <c r="I31" s="15" t="s">
        <v>239</v>
      </c>
      <c r="J31" s="15">
        <v>90050056621</v>
      </c>
      <c r="K31" s="35">
        <f t="shared" si="24"/>
        <v>54.48</v>
      </c>
      <c r="L31" s="35">
        <f t="shared" si="22"/>
        <v>19.067999999999998</v>
      </c>
      <c r="M31" s="36">
        <f t="shared" si="23"/>
        <v>73.548000000000002</v>
      </c>
      <c r="N31" s="15">
        <v>10</v>
      </c>
      <c r="O31" s="15">
        <v>10</v>
      </c>
      <c r="P31" s="15">
        <v>60</v>
      </c>
      <c r="Q31" s="15"/>
      <c r="R31" s="15">
        <f t="shared" si="18"/>
        <v>80</v>
      </c>
      <c r="S31" s="38">
        <f t="shared" si="19"/>
        <v>153.548</v>
      </c>
      <c r="T31" s="39">
        <f t="shared" si="20"/>
        <v>0</v>
      </c>
      <c r="U31" s="47"/>
    </row>
    <row r="32" spans="1:21" x14ac:dyDescent="0.35">
      <c r="A32" s="15">
        <v>0</v>
      </c>
      <c r="B32" s="15" t="s">
        <v>189</v>
      </c>
      <c r="C32" s="15">
        <v>8</v>
      </c>
      <c r="D32" s="15">
        <v>8</v>
      </c>
      <c r="E32" s="15"/>
      <c r="F32" s="15"/>
      <c r="G32" s="15"/>
      <c r="H32" s="15"/>
      <c r="I32" s="15"/>
      <c r="J32" s="15"/>
      <c r="K32" s="35">
        <f t="shared" si="24"/>
        <v>0</v>
      </c>
      <c r="L32" s="35">
        <f t="shared" si="22"/>
        <v>0</v>
      </c>
      <c r="M32" s="36">
        <f t="shared" si="23"/>
        <v>0</v>
      </c>
      <c r="N32" s="15"/>
      <c r="O32" s="15"/>
      <c r="P32" s="15"/>
      <c r="Q32" s="15"/>
      <c r="R32" s="15">
        <f t="shared" si="18"/>
        <v>0</v>
      </c>
      <c r="S32" s="38">
        <f t="shared" si="19"/>
        <v>0</v>
      </c>
      <c r="T32" s="39">
        <f t="shared" si="20"/>
        <v>0</v>
      </c>
      <c r="U32" s="47"/>
    </row>
    <row r="33" spans="1:21" x14ac:dyDescent="0.35">
      <c r="A33" s="15">
        <v>0</v>
      </c>
      <c r="B33" s="15" t="s">
        <v>196</v>
      </c>
      <c r="C33" s="15">
        <v>9</v>
      </c>
      <c r="D33" s="15">
        <v>9</v>
      </c>
      <c r="E33" s="15"/>
      <c r="F33" s="15"/>
      <c r="G33" s="15"/>
      <c r="H33" s="15"/>
      <c r="I33" s="15"/>
      <c r="J33" s="15"/>
      <c r="K33" s="35">
        <f t="shared" si="24"/>
        <v>0</v>
      </c>
      <c r="L33" s="35">
        <f t="shared" si="22"/>
        <v>0</v>
      </c>
      <c r="M33" s="36">
        <f t="shared" si="23"/>
        <v>0</v>
      </c>
      <c r="N33" s="15">
        <v>10</v>
      </c>
      <c r="O33" s="15">
        <v>10</v>
      </c>
      <c r="P33" s="15">
        <v>90</v>
      </c>
      <c r="Q33" s="15"/>
      <c r="R33" s="15">
        <f t="shared" si="18"/>
        <v>110</v>
      </c>
      <c r="S33" s="38">
        <f t="shared" si="19"/>
        <v>110</v>
      </c>
      <c r="T33" s="39">
        <f t="shared" si="20"/>
        <v>0</v>
      </c>
      <c r="U33" s="47"/>
    </row>
    <row r="34" spans="1:21" x14ac:dyDescent="0.35">
      <c r="A34" s="15">
        <v>0</v>
      </c>
      <c r="B34" s="15" t="s">
        <v>200</v>
      </c>
      <c r="C34" s="15" t="s">
        <v>244</v>
      </c>
      <c r="D34" s="15">
        <v>12</v>
      </c>
      <c r="E34" s="15">
        <v>10.51</v>
      </c>
      <c r="F34" s="15"/>
      <c r="G34" s="15"/>
      <c r="H34" s="15">
        <v>7.5</v>
      </c>
      <c r="I34" s="15"/>
      <c r="J34" s="15"/>
      <c r="K34" s="35">
        <f t="shared" si="24"/>
        <v>18.009999999999998</v>
      </c>
      <c r="L34" s="35">
        <f t="shared" si="22"/>
        <v>6.3034999999999988</v>
      </c>
      <c r="M34" s="36">
        <f t="shared" si="23"/>
        <v>24.313499999999998</v>
      </c>
      <c r="N34" s="15">
        <v>10</v>
      </c>
      <c r="O34" s="15">
        <v>10</v>
      </c>
      <c r="P34" s="15">
        <v>30</v>
      </c>
      <c r="Q34" s="15"/>
      <c r="R34" s="15">
        <f t="shared" si="18"/>
        <v>50</v>
      </c>
      <c r="S34" s="38">
        <f t="shared" si="19"/>
        <v>74.313500000000005</v>
      </c>
      <c r="T34" s="39">
        <f t="shared" si="20"/>
        <v>0</v>
      </c>
      <c r="U34" s="47"/>
    </row>
    <row r="35" spans="1:21" x14ac:dyDescent="0.35">
      <c r="A35" s="15">
        <v>0</v>
      </c>
      <c r="B35" s="15" t="s">
        <v>197</v>
      </c>
      <c r="C35" s="15"/>
      <c r="D35" s="15">
        <v>14</v>
      </c>
      <c r="E35" s="15">
        <v>683.93</v>
      </c>
      <c r="F35" s="15" t="s">
        <v>251</v>
      </c>
      <c r="G35" s="15"/>
      <c r="H35" s="15">
        <v>15.81</v>
      </c>
      <c r="I35" s="15"/>
      <c r="J35" s="15"/>
      <c r="K35" s="35">
        <f t="shared" si="24"/>
        <v>699.7399999999999</v>
      </c>
      <c r="L35" s="35">
        <f t="shared" si="22"/>
        <v>244.90899999999993</v>
      </c>
      <c r="M35" s="36">
        <f t="shared" si="23"/>
        <v>944.64899999999989</v>
      </c>
      <c r="N35" s="15"/>
      <c r="O35" s="15"/>
      <c r="P35" s="15"/>
      <c r="Q35" s="15"/>
      <c r="R35" s="15">
        <f t="shared" si="18"/>
        <v>0</v>
      </c>
      <c r="S35" s="38">
        <f t="shared" si="19"/>
        <v>944.64899999999989</v>
      </c>
      <c r="T35" s="39">
        <f t="shared" si="20"/>
        <v>0</v>
      </c>
      <c r="U35" s="47"/>
    </row>
    <row r="36" spans="1:21" x14ac:dyDescent="0.35">
      <c r="A36" s="15">
        <v>0</v>
      </c>
      <c r="B36" s="15" t="s">
        <v>157</v>
      </c>
      <c r="C36" s="15"/>
      <c r="D36" s="15">
        <v>15</v>
      </c>
      <c r="E36" s="15"/>
      <c r="F36" s="15"/>
      <c r="G36" s="15"/>
      <c r="H36" s="15"/>
      <c r="I36" s="15"/>
      <c r="J36" s="15"/>
      <c r="K36" s="35">
        <f t="shared" si="24"/>
        <v>0</v>
      </c>
      <c r="L36" s="35">
        <f t="shared" si="22"/>
        <v>0</v>
      </c>
      <c r="M36" s="36">
        <f t="shared" si="23"/>
        <v>0</v>
      </c>
      <c r="N36" s="15">
        <v>10</v>
      </c>
      <c r="O36" s="15">
        <v>10</v>
      </c>
      <c r="P36" s="15">
        <v>90</v>
      </c>
      <c r="Q36" s="15"/>
      <c r="R36" s="15">
        <f t="shared" si="18"/>
        <v>110</v>
      </c>
      <c r="S36" s="38">
        <f t="shared" si="19"/>
        <v>110</v>
      </c>
      <c r="T36" s="39">
        <f t="shared" si="20"/>
        <v>0</v>
      </c>
      <c r="U36" s="47"/>
    </row>
    <row r="37" spans="1:21" x14ac:dyDescent="0.35">
      <c r="A37" s="15">
        <v>0</v>
      </c>
      <c r="B37" s="15" t="s">
        <v>190</v>
      </c>
      <c r="C37" s="15"/>
      <c r="D37" s="15">
        <v>23</v>
      </c>
      <c r="E37" s="15"/>
      <c r="F37" s="15"/>
      <c r="G37" s="15"/>
      <c r="H37" s="15"/>
      <c r="I37" s="15"/>
      <c r="J37" s="15"/>
      <c r="K37" s="35">
        <f t="shared" si="24"/>
        <v>0</v>
      </c>
      <c r="L37" s="35">
        <f t="shared" si="22"/>
        <v>0</v>
      </c>
      <c r="M37" s="36">
        <f t="shared" si="23"/>
        <v>0</v>
      </c>
      <c r="N37" s="15"/>
      <c r="O37" s="15"/>
      <c r="P37" s="15"/>
      <c r="Q37" s="15"/>
      <c r="R37" s="15">
        <f t="shared" si="18"/>
        <v>0</v>
      </c>
      <c r="S37" s="38">
        <f t="shared" si="19"/>
        <v>0</v>
      </c>
      <c r="T37" s="39">
        <f t="shared" si="20"/>
        <v>0</v>
      </c>
      <c r="U37" s="47"/>
    </row>
    <row r="38" spans="1:21" x14ac:dyDescent="0.35">
      <c r="A38" s="15">
        <v>0</v>
      </c>
      <c r="B38" s="15" t="s">
        <v>191</v>
      </c>
      <c r="C38" s="15"/>
      <c r="D38" s="15">
        <v>13</v>
      </c>
      <c r="E38" s="15">
        <v>103.13</v>
      </c>
      <c r="F38" s="15" t="s">
        <v>245</v>
      </c>
      <c r="G38" s="15"/>
      <c r="H38" s="15">
        <v>17.100000000000001</v>
      </c>
      <c r="I38" s="15"/>
      <c r="J38" s="15"/>
      <c r="K38" s="35">
        <f t="shared" si="24"/>
        <v>120.22999999999999</v>
      </c>
      <c r="L38" s="35">
        <f t="shared" si="22"/>
        <v>42.080499999999994</v>
      </c>
      <c r="M38" s="36">
        <f t="shared" si="23"/>
        <v>162.31049999999999</v>
      </c>
      <c r="N38" s="15"/>
      <c r="O38" s="15"/>
      <c r="P38" s="15"/>
      <c r="Q38" s="15"/>
      <c r="R38" s="15">
        <f t="shared" si="18"/>
        <v>0</v>
      </c>
      <c r="S38" s="38">
        <f t="shared" si="19"/>
        <v>162.31049999999999</v>
      </c>
      <c r="T38" s="39">
        <f t="shared" si="20"/>
        <v>0</v>
      </c>
      <c r="U38" s="47"/>
    </row>
    <row r="39" spans="1:21" x14ac:dyDescent="0.35">
      <c r="A39" s="15">
        <v>0</v>
      </c>
      <c r="B39" s="15" t="s">
        <v>195</v>
      </c>
      <c r="C39" s="15" t="s">
        <v>247</v>
      </c>
      <c r="D39" s="15">
        <v>16</v>
      </c>
      <c r="E39" s="15">
        <v>54.25</v>
      </c>
      <c r="F39" s="15" t="s">
        <v>248</v>
      </c>
      <c r="G39" s="15"/>
      <c r="H39" s="15"/>
      <c r="I39" s="15"/>
      <c r="J39" s="15"/>
      <c r="K39" s="35">
        <f t="shared" si="24"/>
        <v>54.25</v>
      </c>
      <c r="L39" s="35">
        <f t="shared" si="22"/>
        <v>18.987499999999997</v>
      </c>
      <c r="M39" s="36">
        <f t="shared" si="23"/>
        <v>73.237499999999997</v>
      </c>
      <c r="N39" s="15"/>
      <c r="O39" s="15"/>
      <c r="P39" s="15"/>
      <c r="Q39" s="15"/>
      <c r="R39" s="15">
        <f t="shared" si="18"/>
        <v>0</v>
      </c>
      <c r="S39" s="38">
        <f t="shared" si="19"/>
        <v>73.237499999999997</v>
      </c>
      <c r="T39" s="39">
        <f t="shared" si="20"/>
        <v>0</v>
      </c>
      <c r="U39" s="47"/>
    </row>
    <row r="40" spans="1:21" x14ac:dyDescent="0.35">
      <c r="A40" s="15">
        <v>0</v>
      </c>
      <c r="B40" s="15" t="s">
        <v>201</v>
      </c>
      <c r="C40" s="15"/>
      <c r="D40" s="15">
        <v>17</v>
      </c>
      <c r="E40" s="15">
        <v>60.39</v>
      </c>
      <c r="F40" s="15" t="s">
        <v>249</v>
      </c>
      <c r="G40" s="15"/>
      <c r="H40" s="15">
        <v>12.08</v>
      </c>
      <c r="I40" s="15"/>
      <c r="J40" s="15"/>
      <c r="K40" s="35">
        <f t="shared" si="24"/>
        <v>72.47</v>
      </c>
      <c r="L40" s="35">
        <f t="shared" si="22"/>
        <v>25.3645</v>
      </c>
      <c r="M40" s="36">
        <f t="shared" si="23"/>
        <v>97.834499999999991</v>
      </c>
      <c r="N40" s="15"/>
      <c r="O40" s="15"/>
      <c r="P40" s="15"/>
      <c r="Q40" s="15"/>
      <c r="R40" s="15">
        <f t="shared" si="18"/>
        <v>0</v>
      </c>
      <c r="S40" s="38">
        <f t="shared" si="19"/>
        <v>97.834499999999991</v>
      </c>
      <c r="T40" s="39">
        <f t="shared" si="20"/>
        <v>0</v>
      </c>
      <c r="U40" s="47"/>
    </row>
    <row r="41" spans="1:21" x14ac:dyDescent="0.35">
      <c r="A41" s="15">
        <v>0</v>
      </c>
      <c r="B41" s="15" t="s">
        <v>202</v>
      </c>
      <c r="C41" s="15"/>
      <c r="D41" s="15">
        <v>18</v>
      </c>
      <c r="E41" s="15">
        <v>88.71</v>
      </c>
      <c r="F41" s="15" t="s">
        <v>250</v>
      </c>
      <c r="G41" s="15"/>
      <c r="H41" s="15">
        <v>12.08</v>
      </c>
      <c r="I41" s="15"/>
      <c r="J41" s="15"/>
      <c r="K41" s="35">
        <f t="shared" si="24"/>
        <v>100.78999999999999</v>
      </c>
      <c r="L41" s="35">
        <f t="shared" si="22"/>
        <v>35.276499999999992</v>
      </c>
      <c r="M41" s="36">
        <f t="shared" si="23"/>
        <v>136.06649999999999</v>
      </c>
      <c r="N41" s="15"/>
      <c r="O41" s="15"/>
      <c r="P41" s="15"/>
      <c r="Q41" s="15"/>
      <c r="R41" s="15">
        <f t="shared" si="18"/>
        <v>0</v>
      </c>
      <c r="S41" s="38">
        <f t="shared" si="19"/>
        <v>136.06649999999999</v>
      </c>
      <c r="T41" s="39">
        <f t="shared" si="20"/>
        <v>0</v>
      </c>
      <c r="U41" s="47"/>
    </row>
    <row r="42" spans="1:21" x14ac:dyDescent="0.35">
      <c r="A42" s="15">
        <v>0</v>
      </c>
      <c r="B42" s="15" t="s">
        <v>72</v>
      </c>
      <c r="C42" s="15" t="s">
        <v>240</v>
      </c>
      <c r="D42" s="15">
        <v>2</v>
      </c>
      <c r="E42" s="15">
        <v>46.19</v>
      </c>
      <c r="F42" s="15" t="s">
        <v>241</v>
      </c>
      <c r="G42" s="44">
        <v>1013000040</v>
      </c>
      <c r="H42" s="15">
        <v>8.2899999999999991</v>
      </c>
      <c r="I42" s="15" t="s">
        <v>239</v>
      </c>
      <c r="J42" s="15">
        <v>90050056621</v>
      </c>
      <c r="K42" s="35">
        <f t="shared" si="24"/>
        <v>54.48</v>
      </c>
      <c r="L42" s="35">
        <f t="shared" si="22"/>
        <v>19.067999999999998</v>
      </c>
      <c r="M42" s="36">
        <f t="shared" si="23"/>
        <v>73.548000000000002</v>
      </c>
      <c r="N42" s="15"/>
      <c r="O42" s="15"/>
      <c r="P42" s="15"/>
      <c r="Q42" s="15"/>
      <c r="R42" s="15">
        <f t="shared" si="18"/>
        <v>0</v>
      </c>
      <c r="S42" s="38">
        <f t="shared" si="19"/>
        <v>73.548000000000002</v>
      </c>
      <c r="T42" s="39">
        <f t="shared" si="20"/>
        <v>0</v>
      </c>
      <c r="U42" s="47"/>
    </row>
    <row r="43" spans="1:21" x14ac:dyDescent="0.35">
      <c r="A43" s="15">
        <v>0</v>
      </c>
      <c r="B43" s="15" t="s">
        <v>72</v>
      </c>
      <c r="C43" s="15" t="s">
        <v>242</v>
      </c>
      <c r="D43" s="15">
        <v>3</v>
      </c>
      <c r="E43" s="15">
        <v>58.47</v>
      </c>
      <c r="F43" s="15" t="s">
        <v>243</v>
      </c>
      <c r="G43" s="44">
        <v>1013000013</v>
      </c>
      <c r="H43" s="15">
        <v>8.2899999999999991</v>
      </c>
      <c r="I43" s="15" t="s">
        <v>239</v>
      </c>
      <c r="J43" s="15">
        <v>90050056621</v>
      </c>
      <c r="K43" s="35">
        <f t="shared" si="24"/>
        <v>66.759999999999991</v>
      </c>
      <c r="L43" s="35">
        <f t="shared" si="22"/>
        <v>23.365999999999996</v>
      </c>
      <c r="M43" s="36">
        <f t="shared" si="23"/>
        <v>90.125999999999991</v>
      </c>
      <c r="N43" s="15"/>
      <c r="O43" s="15"/>
      <c r="P43" s="15"/>
      <c r="Q43" s="15"/>
      <c r="R43" s="15">
        <f t="shared" si="18"/>
        <v>0</v>
      </c>
      <c r="S43" s="38">
        <f t="shared" si="19"/>
        <v>90.125999999999991</v>
      </c>
      <c r="T43" s="39">
        <f t="shared" si="20"/>
        <v>0</v>
      </c>
      <c r="U43" s="47"/>
    </row>
    <row r="44" spans="1:21" x14ac:dyDescent="0.35">
      <c r="A44" s="15">
        <v>0</v>
      </c>
      <c r="B44" s="15" t="s">
        <v>213</v>
      </c>
      <c r="C44" s="15"/>
      <c r="D44" s="15"/>
      <c r="E44" s="15"/>
      <c r="F44" s="15"/>
      <c r="G44" s="15"/>
      <c r="H44" s="15"/>
      <c r="I44" s="15"/>
      <c r="J44" s="15"/>
      <c r="K44" s="35">
        <f t="shared" si="24"/>
        <v>0</v>
      </c>
      <c r="L44" s="35">
        <f t="shared" si="22"/>
        <v>0</v>
      </c>
      <c r="M44" s="36">
        <f t="shared" si="23"/>
        <v>0</v>
      </c>
      <c r="N44" s="15">
        <v>20</v>
      </c>
      <c r="O44" s="15">
        <v>12</v>
      </c>
      <c r="P44" s="15">
        <v>60</v>
      </c>
      <c r="Q44" s="15"/>
      <c r="R44" s="15">
        <f t="shared" si="18"/>
        <v>92</v>
      </c>
      <c r="S44" s="38">
        <f t="shared" si="19"/>
        <v>92</v>
      </c>
      <c r="T44" s="39">
        <f t="shared" si="20"/>
        <v>0</v>
      </c>
      <c r="U44" s="47"/>
    </row>
    <row r="45" spans="1:21" x14ac:dyDescent="0.35">
      <c r="A45" s="15">
        <v>0</v>
      </c>
      <c r="B45" s="15" t="s">
        <v>209</v>
      </c>
      <c r="C45" s="15"/>
      <c r="D45" s="15"/>
      <c r="E45" s="15"/>
      <c r="F45" s="15"/>
      <c r="G45" s="15"/>
      <c r="H45" s="15"/>
      <c r="I45" s="15"/>
      <c r="J45" s="15"/>
      <c r="K45" s="35">
        <f t="shared" si="24"/>
        <v>0</v>
      </c>
      <c r="L45" s="35">
        <f t="shared" si="22"/>
        <v>0</v>
      </c>
      <c r="M45" s="36">
        <f t="shared" si="23"/>
        <v>0</v>
      </c>
      <c r="N45" s="15"/>
      <c r="O45" s="15"/>
      <c r="P45" s="15"/>
      <c r="Q45" s="15"/>
      <c r="R45" s="15">
        <f t="shared" si="18"/>
        <v>0</v>
      </c>
      <c r="S45" s="38">
        <f t="shared" si="19"/>
        <v>0</v>
      </c>
      <c r="T45" s="39">
        <f t="shared" si="20"/>
        <v>0</v>
      </c>
      <c r="U45" s="47"/>
    </row>
    <row r="46" spans="1:21" x14ac:dyDescent="0.35">
      <c r="A46" s="15">
        <v>0</v>
      </c>
      <c r="B46" s="15" t="s">
        <v>210</v>
      </c>
      <c r="C46" s="15"/>
      <c r="D46" s="15"/>
      <c r="E46" s="15"/>
      <c r="F46" s="15"/>
      <c r="G46" s="15"/>
      <c r="H46" s="15"/>
      <c r="I46" s="15"/>
      <c r="J46" s="15"/>
      <c r="K46" s="35">
        <f t="shared" si="24"/>
        <v>0</v>
      </c>
      <c r="L46" s="35">
        <f t="shared" si="22"/>
        <v>0</v>
      </c>
      <c r="M46" s="36">
        <f t="shared" si="23"/>
        <v>0</v>
      </c>
      <c r="N46" s="15"/>
      <c r="O46" s="15"/>
      <c r="P46" s="15"/>
      <c r="Q46" s="15"/>
      <c r="R46" s="15">
        <f t="shared" si="18"/>
        <v>0</v>
      </c>
      <c r="S46" s="38">
        <f t="shared" si="19"/>
        <v>0</v>
      </c>
      <c r="T46" s="39">
        <f t="shared" si="20"/>
        <v>0</v>
      </c>
      <c r="U46" s="47"/>
    </row>
    <row r="47" spans="1:21" x14ac:dyDescent="0.35">
      <c r="A47" s="15">
        <v>0</v>
      </c>
      <c r="B47" s="15" t="s">
        <v>211</v>
      </c>
      <c r="C47" s="15"/>
      <c r="D47" s="15"/>
      <c r="E47" s="15"/>
      <c r="F47" s="15"/>
      <c r="G47" s="15"/>
      <c r="H47" s="15"/>
      <c r="I47" s="15"/>
      <c r="J47" s="15"/>
      <c r="K47" s="35">
        <f t="shared" si="24"/>
        <v>0</v>
      </c>
      <c r="L47" s="35">
        <f t="shared" si="22"/>
        <v>0</v>
      </c>
      <c r="M47" s="36">
        <f t="shared" si="23"/>
        <v>0</v>
      </c>
      <c r="N47" s="15"/>
      <c r="O47" s="15"/>
      <c r="P47" s="15"/>
      <c r="Q47" s="15"/>
      <c r="R47" s="15">
        <f t="shared" si="18"/>
        <v>0</v>
      </c>
      <c r="S47" s="38">
        <f t="shared" si="19"/>
        <v>0</v>
      </c>
      <c r="T47" s="39">
        <f t="shared" si="20"/>
        <v>0</v>
      </c>
      <c r="U47" s="47"/>
    </row>
    <row r="48" spans="1:21" x14ac:dyDescent="0.35">
      <c r="A48" s="15">
        <v>0</v>
      </c>
      <c r="B48" s="15" t="s">
        <v>212</v>
      </c>
      <c r="C48" s="15"/>
      <c r="D48" s="15"/>
      <c r="E48" s="15"/>
      <c r="F48" s="15"/>
      <c r="G48" s="15"/>
      <c r="H48" s="15"/>
      <c r="I48" s="15"/>
      <c r="J48" s="15"/>
      <c r="K48" s="35">
        <f t="shared" si="24"/>
        <v>0</v>
      </c>
      <c r="L48" s="35">
        <f t="shared" si="22"/>
        <v>0</v>
      </c>
      <c r="M48" s="36">
        <f t="shared" si="23"/>
        <v>0</v>
      </c>
      <c r="N48" s="15"/>
      <c r="O48" s="15"/>
      <c r="P48" s="15"/>
      <c r="Q48" s="15"/>
      <c r="R48" s="15">
        <f t="shared" si="18"/>
        <v>0</v>
      </c>
      <c r="S48" s="38">
        <f t="shared" si="19"/>
        <v>0</v>
      </c>
      <c r="T48" s="39">
        <f t="shared" si="20"/>
        <v>0</v>
      </c>
      <c r="U48" s="47"/>
    </row>
    <row r="49" spans="1:21" x14ac:dyDescent="0.35">
      <c r="A49" s="15">
        <v>0</v>
      </c>
      <c r="B49" s="15" t="s">
        <v>71</v>
      </c>
      <c r="C49" s="15"/>
      <c r="D49" s="15"/>
      <c r="E49" s="15">
        <v>52</v>
      </c>
      <c r="F49" s="15"/>
      <c r="G49" s="15"/>
      <c r="H49" s="15">
        <v>20</v>
      </c>
      <c r="I49" s="15"/>
      <c r="J49" s="15"/>
      <c r="K49" s="35">
        <f t="shared" si="24"/>
        <v>72</v>
      </c>
      <c r="L49" s="35">
        <f t="shared" ref="L49:L80" si="25">K49*35%</f>
        <v>25.2</v>
      </c>
      <c r="M49" s="36">
        <f t="shared" ref="M49:M80" si="26">SUM(K49:L49)</f>
        <v>97.2</v>
      </c>
      <c r="N49" s="15"/>
      <c r="O49" s="15"/>
      <c r="P49" s="15"/>
      <c r="Q49" s="15"/>
      <c r="R49" s="15">
        <f t="shared" si="18"/>
        <v>0</v>
      </c>
      <c r="S49" s="38">
        <f t="shared" si="19"/>
        <v>97.2</v>
      </c>
      <c r="T49" s="39">
        <f t="shared" si="20"/>
        <v>0</v>
      </c>
      <c r="U49" s="47"/>
    </row>
    <row r="50" spans="1:21" x14ac:dyDescent="0.35">
      <c r="A50" s="15">
        <v>0</v>
      </c>
      <c r="B50" s="15" t="s">
        <v>214</v>
      </c>
      <c r="C50" s="15"/>
      <c r="D50" s="15"/>
      <c r="E50" s="15">
        <v>4.99</v>
      </c>
      <c r="F50" s="15"/>
      <c r="G50" s="15"/>
      <c r="H50" s="15"/>
      <c r="I50" s="15"/>
      <c r="J50" s="15"/>
      <c r="K50" s="35">
        <f t="shared" si="24"/>
        <v>4.99</v>
      </c>
      <c r="L50" s="35">
        <f t="shared" si="25"/>
        <v>1.7464999999999999</v>
      </c>
      <c r="M50" s="36">
        <f t="shared" si="26"/>
        <v>6.7365000000000004</v>
      </c>
      <c r="N50" s="15"/>
      <c r="O50" s="15"/>
      <c r="P50" s="15"/>
      <c r="Q50" s="15"/>
      <c r="R50" s="15">
        <f t="shared" si="18"/>
        <v>0</v>
      </c>
      <c r="S50" s="38">
        <f t="shared" si="19"/>
        <v>6.7365000000000004</v>
      </c>
      <c r="T50" s="39">
        <f t="shared" si="20"/>
        <v>0</v>
      </c>
      <c r="U50" s="47"/>
    </row>
    <row r="51" spans="1:21" x14ac:dyDescent="0.35">
      <c r="A51" s="15">
        <v>0</v>
      </c>
      <c r="B51" s="15" t="s">
        <v>158</v>
      </c>
      <c r="C51" s="15"/>
      <c r="D51" s="15"/>
      <c r="E51" s="15"/>
      <c r="F51" s="15"/>
      <c r="G51" s="15"/>
      <c r="H51" s="15"/>
      <c r="I51" s="15"/>
      <c r="J51" s="15"/>
      <c r="K51" s="35">
        <f t="shared" si="24"/>
        <v>0</v>
      </c>
      <c r="L51" s="35">
        <f t="shared" si="25"/>
        <v>0</v>
      </c>
      <c r="M51" s="36">
        <f t="shared" si="26"/>
        <v>0</v>
      </c>
      <c r="N51" s="15"/>
      <c r="O51" s="15"/>
      <c r="P51" s="15"/>
      <c r="Q51" s="15"/>
      <c r="R51" s="15">
        <f t="shared" si="18"/>
        <v>0</v>
      </c>
      <c r="S51" s="38">
        <f t="shared" si="19"/>
        <v>0</v>
      </c>
      <c r="T51" s="39">
        <f t="shared" si="20"/>
        <v>0</v>
      </c>
      <c r="U51" s="47"/>
    </row>
    <row r="52" spans="1:21" x14ac:dyDescent="0.35">
      <c r="A52" s="15">
        <v>0</v>
      </c>
      <c r="B52" s="15" t="s">
        <v>215</v>
      </c>
      <c r="C52" s="15"/>
      <c r="D52" s="15"/>
      <c r="E52" s="37">
        <v>55.74</v>
      </c>
      <c r="F52" s="37"/>
      <c r="G52" s="37"/>
      <c r="H52" s="37">
        <v>8.61</v>
      </c>
      <c r="I52" s="37"/>
      <c r="J52" s="37"/>
      <c r="K52" s="35">
        <f t="shared" si="24"/>
        <v>64.349999999999994</v>
      </c>
      <c r="L52" s="35">
        <f t="shared" si="25"/>
        <v>22.522499999999997</v>
      </c>
      <c r="M52" s="36">
        <f t="shared" si="26"/>
        <v>86.872499999999988</v>
      </c>
      <c r="N52" s="15"/>
      <c r="O52" s="15"/>
      <c r="P52" s="15"/>
      <c r="Q52" s="15"/>
      <c r="R52" s="15">
        <f t="shared" si="18"/>
        <v>0</v>
      </c>
      <c r="S52" s="38">
        <f t="shared" si="19"/>
        <v>86.872499999999988</v>
      </c>
      <c r="T52" s="39">
        <f t="shared" si="20"/>
        <v>0</v>
      </c>
      <c r="U52" s="47"/>
    </row>
    <row r="53" spans="1:21" x14ac:dyDescent="0.35">
      <c r="A53" s="15">
        <v>0</v>
      </c>
      <c r="B53" s="15" t="s">
        <v>216</v>
      </c>
      <c r="C53" s="15"/>
      <c r="D53" s="15"/>
      <c r="E53" s="15">
        <v>55.74</v>
      </c>
      <c r="F53" s="15"/>
      <c r="G53" s="15"/>
      <c r="H53" s="15">
        <v>8.61</v>
      </c>
      <c r="I53" s="15"/>
      <c r="J53" s="15"/>
      <c r="K53" s="35">
        <f t="shared" si="24"/>
        <v>64.349999999999994</v>
      </c>
      <c r="L53" s="35">
        <f t="shared" si="25"/>
        <v>22.522499999999997</v>
      </c>
      <c r="M53" s="36">
        <f t="shared" si="26"/>
        <v>86.872499999999988</v>
      </c>
      <c r="N53" s="15"/>
      <c r="O53" s="15"/>
      <c r="P53" s="15"/>
      <c r="Q53" s="15"/>
      <c r="R53" s="15">
        <f t="shared" si="18"/>
        <v>0</v>
      </c>
      <c r="S53" s="38">
        <f t="shared" si="19"/>
        <v>86.872499999999988</v>
      </c>
      <c r="T53" s="39">
        <f t="shared" si="20"/>
        <v>0</v>
      </c>
      <c r="U53" s="47"/>
    </row>
    <row r="54" spans="1:21" x14ac:dyDescent="0.35">
      <c r="A54" s="15">
        <v>0</v>
      </c>
      <c r="B54" s="15" t="s">
        <v>217</v>
      </c>
      <c r="C54" s="15"/>
      <c r="D54" s="15"/>
      <c r="E54" s="15"/>
      <c r="F54" s="15"/>
      <c r="G54" s="15"/>
      <c r="H54" s="15"/>
      <c r="I54" s="15"/>
      <c r="J54" s="15"/>
      <c r="K54" s="35">
        <f t="shared" si="24"/>
        <v>0</v>
      </c>
      <c r="L54" s="35">
        <f t="shared" si="25"/>
        <v>0</v>
      </c>
      <c r="M54" s="36">
        <f t="shared" si="26"/>
        <v>0</v>
      </c>
      <c r="N54" s="15"/>
      <c r="O54" s="15"/>
      <c r="P54" s="15"/>
      <c r="Q54" s="15"/>
      <c r="R54" s="15">
        <f t="shared" si="18"/>
        <v>0</v>
      </c>
      <c r="S54" s="38">
        <f t="shared" si="19"/>
        <v>0</v>
      </c>
      <c r="T54" s="39">
        <f t="shared" si="20"/>
        <v>0</v>
      </c>
      <c r="U54" s="47"/>
    </row>
    <row r="55" spans="1:21" x14ac:dyDescent="0.35">
      <c r="A55" s="15">
        <v>0</v>
      </c>
      <c r="B55" s="15" t="s">
        <v>218</v>
      </c>
      <c r="C55" s="15"/>
      <c r="D55" s="15"/>
      <c r="E55" s="37">
        <v>55.83</v>
      </c>
      <c r="F55" s="15"/>
      <c r="G55" s="15"/>
      <c r="H55" s="15">
        <v>9.1300000000000008</v>
      </c>
      <c r="I55" s="15"/>
      <c r="J55" s="15"/>
      <c r="K55" s="35">
        <f t="shared" si="24"/>
        <v>64.959999999999994</v>
      </c>
      <c r="L55" s="35">
        <f t="shared" si="25"/>
        <v>22.735999999999997</v>
      </c>
      <c r="M55" s="36">
        <f t="shared" si="26"/>
        <v>87.695999999999998</v>
      </c>
      <c r="N55" s="15"/>
      <c r="O55" s="15"/>
      <c r="P55" s="15"/>
      <c r="Q55" s="15"/>
      <c r="R55" s="15">
        <f t="shared" si="18"/>
        <v>0</v>
      </c>
      <c r="S55" s="38">
        <f t="shared" si="19"/>
        <v>87.695999999999998</v>
      </c>
      <c r="T55" s="39">
        <f t="shared" si="20"/>
        <v>0</v>
      </c>
      <c r="U55" s="47"/>
    </row>
    <row r="56" spans="1:21" x14ac:dyDescent="0.35">
      <c r="A56" s="15">
        <v>0</v>
      </c>
      <c r="B56" s="15" t="s">
        <v>219</v>
      </c>
      <c r="C56" s="15"/>
      <c r="D56" s="15"/>
      <c r="E56" s="15"/>
      <c r="F56" s="15"/>
      <c r="G56" s="15"/>
      <c r="H56" s="15"/>
      <c r="I56" s="15"/>
      <c r="J56" s="15"/>
      <c r="K56" s="35">
        <f t="shared" si="24"/>
        <v>0</v>
      </c>
      <c r="L56" s="35">
        <f t="shared" si="25"/>
        <v>0</v>
      </c>
      <c r="M56" s="36">
        <f t="shared" si="26"/>
        <v>0</v>
      </c>
      <c r="N56" s="15"/>
      <c r="O56" s="15"/>
      <c r="P56" s="15"/>
      <c r="Q56" s="15"/>
      <c r="R56" s="15">
        <f t="shared" si="18"/>
        <v>0</v>
      </c>
      <c r="S56" s="38">
        <f t="shared" si="19"/>
        <v>0</v>
      </c>
      <c r="T56" s="39">
        <f t="shared" si="20"/>
        <v>0</v>
      </c>
      <c r="U56" s="47"/>
    </row>
    <row r="57" spans="1:21" x14ac:dyDescent="0.35">
      <c r="A57" s="15">
        <v>0</v>
      </c>
      <c r="B57" s="15" t="s">
        <v>220</v>
      </c>
      <c r="C57" s="15"/>
      <c r="D57" s="15"/>
      <c r="E57" s="15">
        <v>55.83</v>
      </c>
      <c r="F57" s="15"/>
      <c r="G57" s="15"/>
      <c r="H57" s="15">
        <v>9.1300000000000008</v>
      </c>
      <c r="I57" s="15"/>
      <c r="J57" s="15"/>
      <c r="K57" s="35">
        <f t="shared" si="24"/>
        <v>64.959999999999994</v>
      </c>
      <c r="L57" s="35">
        <f t="shared" si="25"/>
        <v>22.735999999999997</v>
      </c>
      <c r="M57" s="36">
        <f t="shared" si="26"/>
        <v>87.695999999999998</v>
      </c>
      <c r="N57" s="15"/>
      <c r="O57" s="15"/>
      <c r="P57" s="15"/>
      <c r="Q57" s="15"/>
      <c r="R57" s="15">
        <f t="shared" si="18"/>
        <v>0</v>
      </c>
      <c r="S57" s="38">
        <f t="shared" si="19"/>
        <v>87.695999999999998</v>
      </c>
      <c r="T57" s="39">
        <f t="shared" si="20"/>
        <v>0</v>
      </c>
      <c r="U57" s="47"/>
    </row>
    <row r="58" spans="1:21" x14ac:dyDescent="0.35">
      <c r="A58" s="15">
        <v>0</v>
      </c>
      <c r="B58" s="15" t="s">
        <v>221</v>
      </c>
      <c r="C58" s="15"/>
      <c r="D58" s="15"/>
      <c r="E58" s="15">
        <v>9.36</v>
      </c>
      <c r="F58" s="15"/>
      <c r="G58" s="15"/>
      <c r="H58" s="15"/>
      <c r="I58" s="15"/>
      <c r="J58" s="15"/>
      <c r="K58" s="35">
        <f t="shared" si="24"/>
        <v>9.36</v>
      </c>
      <c r="L58" s="35">
        <f t="shared" si="25"/>
        <v>3.2759999999999998</v>
      </c>
      <c r="M58" s="36">
        <f t="shared" si="26"/>
        <v>12.635999999999999</v>
      </c>
      <c r="N58" s="15"/>
      <c r="O58" s="15"/>
      <c r="P58" s="15"/>
      <c r="Q58" s="15"/>
      <c r="R58" s="15">
        <f t="shared" si="18"/>
        <v>0</v>
      </c>
      <c r="S58" s="38">
        <f t="shared" si="19"/>
        <v>12.635999999999999</v>
      </c>
      <c r="T58" s="39">
        <f t="shared" si="20"/>
        <v>0</v>
      </c>
      <c r="U58" s="47"/>
    </row>
    <row r="59" spans="1:21" x14ac:dyDescent="0.35">
      <c r="A59" s="15">
        <v>0</v>
      </c>
      <c r="B59" s="15" t="s">
        <v>223</v>
      </c>
      <c r="C59" s="15"/>
      <c r="D59" s="15"/>
      <c r="E59" s="15"/>
      <c r="F59" s="15"/>
      <c r="G59" s="15"/>
      <c r="H59" s="15"/>
      <c r="I59" s="15"/>
      <c r="J59" s="15"/>
      <c r="K59" s="35">
        <f t="shared" si="24"/>
        <v>0</v>
      </c>
      <c r="L59" s="35">
        <f t="shared" si="25"/>
        <v>0</v>
      </c>
      <c r="M59" s="36">
        <f t="shared" si="26"/>
        <v>0</v>
      </c>
      <c r="N59" s="15"/>
      <c r="O59" s="15"/>
      <c r="P59" s="15"/>
      <c r="Q59" s="15"/>
      <c r="R59" s="15">
        <f t="shared" si="18"/>
        <v>0</v>
      </c>
      <c r="S59" s="38">
        <f t="shared" si="19"/>
        <v>0</v>
      </c>
      <c r="T59" s="39">
        <f t="shared" si="20"/>
        <v>0</v>
      </c>
      <c r="U59" s="47"/>
    </row>
    <row r="60" spans="1:21" x14ac:dyDescent="0.35">
      <c r="A60" s="15">
        <v>0</v>
      </c>
      <c r="B60" s="15" t="s">
        <v>224</v>
      </c>
      <c r="C60" s="15"/>
      <c r="D60" s="15"/>
      <c r="E60" s="15"/>
      <c r="F60" s="15"/>
      <c r="G60" s="15"/>
      <c r="H60" s="15"/>
      <c r="I60" s="15"/>
      <c r="J60" s="15"/>
      <c r="K60" s="35">
        <f t="shared" si="24"/>
        <v>0</v>
      </c>
      <c r="L60" s="35">
        <f t="shared" si="25"/>
        <v>0</v>
      </c>
      <c r="M60" s="36">
        <f t="shared" si="26"/>
        <v>0</v>
      </c>
      <c r="N60" s="15"/>
      <c r="O60" s="15"/>
      <c r="P60" s="15"/>
      <c r="Q60" s="15"/>
      <c r="R60" s="15">
        <f t="shared" si="18"/>
        <v>0</v>
      </c>
      <c r="S60" s="38">
        <f t="shared" si="19"/>
        <v>0</v>
      </c>
      <c r="T60" s="39">
        <f t="shared" si="20"/>
        <v>0</v>
      </c>
      <c r="U60" s="47"/>
    </row>
    <row r="61" spans="1:21" x14ac:dyDescent="0.35">
      <c r="A61" s="15">
        <v>0</v>
      </c>
      <c r="B61" s="15" t="s">
        <v>225</v>
      </c>
      <c r="C61" s="15"/>
      <c r="D61" s="15"/>
      <c r="E61" s="15"/>
      <c r="F61" s="15"/>
      <c r="G61" s="15"/>
      <c r="H61" s="15"/>
      <c r="I61" s="15"/>
      <c r="J61" s="15"/>
      <c r="K61" s="35">
        <f t="shared" si="24"/>
        <v>0</v>
      </c>
      <c r="L61" s="35">
        <f t="shared" si="25"/>
        <v>0</v>
      </c>
      <c r="M61" s="36">
        <f t="shared" si="26"/>
        <v>0</v>
      </c>
      <c r="N61" s="15">
        <v>15</v>
      </c>
      <c r="O61" s="15">
        <v>6</v>
      </c>
      <c r="P61" s="15"/>
      <c r="Q61" s="15"/>
      <c r="R61" s="15">
        <f t="shared" si="18"/>
        <v>21</v>
      </c>
      <c r="S61" s="38">
        <f t="shared" si="19"/>
        <v>21</v>
      </c>
      <c r="T61" s="39">
        <f t="shared" si="20"/>
        <v>0</v>
      </c>
      <c r="U61" s="47"/>
    </row>
    <row r="62" spans="1:21" x14ac:dyDescent="0.35">
      <c r="A62" s="15">
        <v>0</v>
      </c>
      <c r="B62" s="15" t="s">
        <v>227</v>
      </c>
      <c r="C62" s="15"/>
      <c r="D62" s="15"/>
      <c r="E62" s="15"/>
      <c r="F62" s="15"/>
      <c r="G62" s="15"/>
      <c r="H62" s="15"/>
      <c r="I62" s="15"/>
      <c r="J62" s="15"/>
      <c r="K62" s="35">
        <f t="shared" ref="K62:K92" si="27">SUM(E62,H62)</f>
        <v>0</v>
      </c>
      <c r="L62" s="35">
        <f t="shared" si="25"/>
        <v>0</v>
      </c>
      <c r="M62" s="36">
        <f t="shared" si="26"/>
        <v>0</v>
      </c>
      <c r="N62" s="15">
        <v>10</v>
      </c>
      <c r="O62" s="15">
        <v>6</v>
      </c>
      <c r="P62" s="15"/>
      <c r="Q62" s="15"/>
      <c r="R62" s="15">
        <f t="shared" si="18"/>
        <v>16</v>
      </c>
      <c r="S62" s="38">
        <f t="shared" si="19"/>
        <v>16</v>
      </c>
      <c r="T62" s="39">
        <f t="shared" si="20"/>
        <v>0</v>
      </c>
      <c r="U62" s="47"/>
    </row>
    <row r="63" spans="1:21" x14ac:dyDescent="0.35">
      <c r="A63" s="15">
        <v>0</v>
      </c>
      <c r="B63" s="15" t="s">
        <v>66</v>
      </c>
      <c r="C63" s="15"/>
      <c r="D63" s="15"/>
      <c r="E63" s="15">
        <v>62</v>
      </c>
      <c r="F63" s="15"/>
      <c r="G63" s="15"/>
      <c r="H63" s="15">
        <v>5</v>
      </c>
      <c r="I63" s="15"/>
      <c r="J63" s="15"/>
      <c r="K63" s="35">
        <f t="shared" si="27"/>
        <v>67</v>
      </c>
      <c r="L63" s="35">
        <f t="shared" si="25"/>
        <v>23.45</v>
      </c>
      <c r="M63" s="36">
        <f t="shared" si="26"/>
        <v>90.45</v>
      </c>
      <c r="N63" s="15">
        <v>10</v>
      </c>
      <c r="O63" s="15">
        <v>6</v>
      </c>
      <c r="P63" s="15"/>
      <c r="Q63" s="15"/>
      <c r="R63" s="15">
        <f t="shared" si="18"/>
        <v>16</v>
      </c>
      <c r="S63" s="38">
        <f t="shared" si="19"/>
        <v>106.45</v>
      </c>
      <c r="T63" s="39">
        <f t="shared" si="20"/>
        <v>0</v>
      </c>
      <c r="U63" s="47"/>
    </row>
    <row r="64" spans="1:21" x14ac:dyDescent="0.35">
      <c r="A64" s="15">
        <v>0</v>
      </c>
      <c r="B64" s="15" t="s">
        <v>228</v>
      </c>
      <c r="C64" s="15"/>
      <c r="D64" s="15"/>
      <c r="E64" s="15"/>
      <c r="F64" s="15"/>
      <c r="G64" s="15"/>
      <c r="H64" s="15"/>
      <c r="I64" s="15"/>
      <c r="J64" s="15"/>
      <c r="K64" s="35">
        <f t="shared" si="27"/>
        <v>0</v>
      </c>
      <c r="L64" s="35">
        <f t="shared" si="25"/>
        <v>0</v>
      </c>
      <c r="M64" s="36">
        <f t="shared" si="26"/>
        <v>0</v>
      </c>
      <c r="N64" s="15"/>
      <c r="O64" s="15">
        <v>12</v>
      </c>
      <c r="P64" s="15"/>
      <c r="Q64" s="15"/>
      <c r="R64" s="15">
        <f t="shared" si="18"/>
        <v>12</v>
      </c>
      <c r="S64" s="38">
        <f t="shared" si="19"/>
        <v>12</v>
      </c>
      <c r="T64" s="39">
        <f t="shared" si="20"/>
        <v>0</v>
      </c>
      <c r="U64" s="47"/>
    </row>
    <row r="65" spans="1:21" x14ac:dyDescent="0.35">
      <c r="A65" s="15">
        <v>0</v>
      </c>
      <c r="B65" s="15" t="s">
        <v>229</v>
      </c>
      <c r="C65" s="15"/>
      <c r="D65" s="15"/>
      <c r="E65" s="15"/>
      <c r="F65" s="15"/>
      <c r="G65" s="15"/>
      <c r="H65" s="15"/>
      <c r="I65" s="15"/>
      <c r="J65" s="15"/>
      <c r="K65" s="35">
        <f t="shared" si="27"/>
        <v>0</v>
      </c>
      <c r="L65" s="35">
        <f t="shared" si="25"/>
        <v>0</v>
      </c>
      <c r="M65" s="36">
        <f t="shared" si="26"/>
        <v>0</v>
      </c>
      <c r="N65" s="15">
        <v>10</v>
      </c>
      <c r="O65" s="15">
        <v>6</v>
      </c>
      <c r="P65" s="15"/>
      <c r="Q65" s="15"/>
      <c r="R65" s="15">
        <f t="shared" si="18"/>
        <v>16</v>
      </c>
      <c r="S65" s="38">
        <f t="shared" si="19"/>
        <v>16</v>
      </c>
      <c r="T65" s="39">
        <f t="shared" si="20"/>
        <v>0</v>
      </c>
      <c r="U65" s="47"/>
    </row>
    <row r="66" spans="1:21" x14ac:dyDescent="0.35">
      <c r="A66" s="15">
        <v>0</v>
      </c>
      <c r="B66" s="15" t="s">
        <v>206</v>
      </c>
      <c r="C66" s="15"/>
      <c r="D66" s="15"/>
      <c r="E66" s="15"/>
      <c r="F66" s="15"/>
      <c r="G66" s="15"/>
      <c r="H66" s="15"/>
      <c r="I66" s="15"/>
      <c r="J66" s="15"/>
      <c r="K66" s="35">
        <f t="shared" si="27"/>
        <v>0</v>
      </c>
      <c r="L66" s="35">
        <f t="shared" si="25"/>
        <v>0</v>
      </c>
      <c r="M66" s="36">
        <f t="shared" si="26"/>
        <v>0</v>
      </c>
      <c r="N66" s="15">
        <v>10</v>
      </c>
      <c r="O66" s="15">
        <v>6</v>
      </c>
      <c r="P66" s="15"/>
      <c r="Q66" s="15"/>
      <c r="R66" s="15">
        <f t="shared" si="18"/>
        <v>16</v>
      </c>
      <c r="S66" s="38">
        <f t="shared" si="19"/>
        <v>16</v>
      </c>
      <c r="T66" s="39">
        <f t="shared" si="20"/>
        <v>0</v>
      </c>
      <c r="U66" s="47"/>
    </row>
    <row r="67" spans="1:21" x14ac:dyDescent="0.35">
      <c r="A67" s="15">
        <v>0</v>
      </c>
      <c r="B67" s="15" t="s">
        <v>198</v>
      </c>
      <c r="C67" s="15"/>
      <c r="D67" s="15"/>
      <c r="E67" s="15"/>
      <c r="F67" s="15"/>
      <c r="G67" s="15"/>
      <c r="H67" s="15"/>
      <c r="I67" s="15"/>
      <c r="J67" s="15"/>
      <c r="K67" s="35">
        <f t="shared" si="27"/>
        <v>0</v>
      </c>
      <c r="L67" s="35">
        <f t="shared" si="25"/>
        <v>0</v>
      </c>
      <c r="M67" s="36">
        <f t="shared" si="26"/>
        <v>0</v>
      </c>
      <c r="N67" s="15">
        <v>15</v>
      </c>
      <c r="O67" s="15">
        <v>6</v>
      </c>
      <c r="P67" s="15"/>
      <c r="Q67" s="15"/>
      <c r="R67" s="15">
        <f t="shared" si="18"/>
        <v>21</v>
      </c>
      <c r="S67" s="38">
        <f t="shared" si="19"/>
        <v>21</v>
      </c>
      <c r="T67" s="39">
        <f t="shared" si="20"/>
        <v>0</v>
      </c>
      <c r="U67" s="47"/>
    </row>
    <row r="68" spans="1:21" x14ac:dyDescent="0.35">
      <c r="A68" s="15">
        <v>0</v>
      </c>
      <c r="B68" s="15" t="s">
        <v>193</v>
      </c>
      <c r="C68" s="15"/>
      <c r="D68" s="15"/>
      <c r="E68" s="15"/>
      <c r="F68" s="15"/>
      <c r="G68" s="15"/>
      <c r="H68" s="15"/>
      <c r="I68" s="15"/>
      <c r="J68" s="15"/>
      <c r="K68" s="35">
        <f t="shared" si="27"/>
        <v>0</v>
      </c>
      <c r="L68" s="35">
        <f t="shared" si="25"/>
        <v>0</v>
      </c>
      <c r="M68" s="36">
        <f t="shared" si="26"/>
        <v>0</v>
      </c>
      <c r="N68" s="15">
        <v>10</v>
      </c>
      <c r="O68" s="15">
        <v>6</v>
      </c>
      <c r="P68" s="15"/>
      <c r="Q68" s="15"/>
      <c r="R68" s="15">
        <f t="shared" si="18"/>
        <v>16</v>
      </c>
      <c r="S68" s="38">
        <f t="shared" si="19"/>
        <v>16</v>
      </c>
      <c r="T68" s="39">
        <f t="shared" si="20"/>
        <v>0</v>
      </c>
      <c r="U68" s="47"/>
    </row>
    <row r="69" spans="1:21" x14ac:dyDescent="0.35">
      <c r="A69" s="15">
        <v>0</v>
      </c>
      <c r="B69" s="15" t="s">
        <v>74</v>
      </c>
      <c r="C69" s="15"/>
      <c r="D69" s="15"/>
      <c r="E69" s="15"/>
      <c r="F69" s="15"/>
      <c r="G69" s="15"/>
      <c r="H69" s="15"/>
      <c r="I69" s="15"/>
      <c r="J69" s="15"/>
      <c r="K69" s="35">
        <f t="shared" si="27"/>
        <v>0</v>
      </c>
      <c r="L69" s="35">
        <f t="shared" si="25"/>
        <v>0</v>
      </c>
      <c r="M69" s="36">
        <f t="shared" si="26"/>
        <v>0</v>
      </c>
      <c r="N69" s="15">
        <v>10</v>
      </c>
      <c r="O69" s="15">
        <v>6</v>
      </c>
      <c r="P69" s="15"/>
      <c r="Q69" s="15"/>
      <c r="R69" s="15">
        <f t="shared" si="18"/>
        <v>16</v>
      </c>
      <c r="S69" s="38">
        <f t="shared" si="19"/>
        <v>16</v>
      </c>
      <c r="T69" s="39">
        <f t="shared" si="20"/>
        <v>0</v>
      </c>
      <c r="U69" s="47"/>
    </row>
    <row r="70" spans="1:21" x14ac:dyDescent="0.35">
      <c r="A70" s="15">
        <v>0</v>
      </c>
      <c r="B70" s="15" t="s">
        <v>82</v>
      </c>
      <c r="C70" s="15"/>
      <c r="D70" s="15"/>
      <c r="E70" s="15"/>
      <c r="F70" s="15"/>
      <c r="G70" s="15"/>
      <c r="H70" s="15"/>
      <c r="I70" s="15"/>
      <c r="J70" s="15"/>
      <c r="K70" s="35">
        <f t="shared" si="27"/>
        <v>0</v>
      </c>
      <c r="L70" s="35">
        <f t="shared" si="25"/>
        <v>0</v>
      </c>
      <c r="M70" s="36">
        <f t="shared" si="26"/>
        <v>0</v>
      </c>
      <c r="N70" s="15">
        <v>15</v>
      </c>
      <c r="O70" s="15">
        <v>6</v>
      </c>
      <c r="P70" s="15"/>
      <c r="Q70" s="15"/>
      <c r="R70" s="15">
        <f t="shared" si="18"/>
        <v>21</v>
      </c>
      <c r="S70" s="38">
        <f t="shared" si="19"/>
        <v>21</v>
      </c>
      <c r="T70" s="39">
        <f t="shared" si="20"/>
        <v>0</v>
      </c>
      <c r="U70" s="47"/>
    </row>
    <row r="71" spans="1:21" x14ac:dyDescent="0.35">
      <c r="A71" s="15">
        <v>0</v>
      </c>
      <c r="B71" s="15" t="s">
        <v>75</v>
      </c>
      <c r="C71" s="15"/>
      <c r="D71" s="15"/>
      <c r="E71" s="15"/>
      <c r="F71" s="15"/>
      <c r="G71" s="15"/>
      <c r="H71" s="15"/>
      <c r="I71" s="15"/>
      <c r="J71" s="15"/>
      <c r="K71" s="35">
        <f t="shared" si="27"/>
        <v>0</v>
      </c>
      <c r="L71" s="35">
        <f t="shared" si="25"/>
        <v>0</v>
      </c>
      <c r="M71" s="36">
        <f t="shared" si="26"/>
        <v>0</v>
      </c>
      <c r="N71" s="15">
        <v>10</v>
      </c>
      <c r="O71" s="15">
        <v>6</v>
      </c>
      <c r="P71" s="15"/>
      <c r="Q71" s="15"/>
      <c r="R71" s="15">
        <f t="shared" si="18"/>
        <v>16</v>
      </c>
      <c r="S71" s="38">
        <f t="shared" si="19"/>
        <v>16</v>
      </c>
      <c r="T71" s="39">
        <f t="shared" si="20"/>
        <v>0</v>
      </c>
      <c r="U71" s="47"/>
    </row>
    <row r="72" spans="1:21" x14ac:dyDescent="0.35">
      <c r="A72" s="15">
        <v>0</v>
      </c>
      <c r="B72" s="15" t="s">
        <v>77</v>
      </c>
      <c r="C72" s="15"/>
      <c r="D72" s="15"/>
      <c r="E72" s="15">
        <v>19</v>
      </c>
      <c r="F72" s="15"/>
      <c r="G72" s="15"/>
      <c r="H72" s="15">
        <v>8.5</v>
      </c>
      <c r="I72" s="15"/>
      <c r="J72" s="15"/>
      <c r="K72" s="35">
        <f t="shared" si="27"/>
        <v>27.5</v>
      </c>
      <c r="L72" s="35">
        <f t="shared" si="25"/>
        <v>9.625</v>
      </c>
      <c r="M72" s="36">
        <f t="shared" si="26"/>
        <v>37.125</v>
      </c>
      <c r="N72" s="15">
        <v>20</v>
      </c>
      <c r="O72" s="15">
        <v>6</v>
      </c>
      <c r="P72" s="15"/>
      <c r="Q72" s="15">
        <v>75</v>
      </c>
      <c r="R72" s="15">
        <f t="shared" si="18"/>
        <v>101</v>
      </c>
      <c r="S72" s="38">
        <f t="shared" si="19"/>
        <v>138.125</v>
      </c>
      <c r="T72" s="39">
        <f t="shared" si="20"/>
        <v>0</v>
      </c>
      <c r="U72" s="47"/>
    </row>
    <row r="73" spans="1:21" x14ac:dyDescent="0.35">
      <c r="A73" s="15">
        <v>0</v>
      </c>
      <c r="B73" s="15" t="s">
        <v>73</v>
      </c>
      <c r="C73" s="15"/>
      <c r="D73" s="15"/>
      <c r="E73" s="15">
        <v>40</v>
      </c>
      <c r="F73" s="15"/>
      <c r="G73" s="15"/>
      <c r="H73" s="15">
        <v>10</v>
      </c>
      <c r="I73" s="15"/>
      <c r="J73" s="15"/>
      <c r="K73" s="35">
        <f t="shared" si="27"/>
        <v>50</v>
      </c>
      <c r="L73" s="35">
        <f t="shared" si="25"/>
        <v>17.5</v>
      </c>
      <c r="M73" s="36">
        <f t="shared" si="26"/>
        <v>67.5</v>
      </c>
      <c r="N73" s="15">
        <v>20</v>
      </c>
      <c r="O73" s="15">
        <v>6</v>
      </c>
      <c r="P73" s="15"/>
      <c r="Q73" s="15">
        <v>75</v>
      </c>
      <c r="R73" s="15">
        <f t="shared" si="18"/>
        <v>101</v>
      </c>
      <c r="S73" s="38">
        <f t="shared" si="19"/>
        <v>168.5</v>
      </c>
      <c r="T73" s="39">
        <f t="shared" si="20"/>
        <v>0</v>
      </c>
      <c r="U73" s="47"/>
    </row>
    <row r="74" spans="1:21" x14ac:dyDescent="0.35">
      <c r="A74" s="15">
        <v>0</v>
      </c>
      <c r="B74" s="15" t="s">
        <v>96</v>
      </c>
      <c r="C74" s="15"/>
      <c r="D74" s="15"/>
      <c r="E74" s="15"/>
      <c r="F74" s="15"/>
      <c r="G74" s="15"/>
      <c r="H74" s="15"/>
      <c r="I74" s="15"/>
      <c r="J74" s="15"/>
      <c r="K74" s="35">
        <f t="shared" si="27"/>
        <v>0</v>
      </c>
      <c r="L74" s="35">
        <f t="shared" si="25"/>
        <v>0</v>
      </c>
      <c r="M74" s="36">
        <f t="shared" si="26"/>
        <v>0</v>
      </c>
      <c r="N74" s="15">
        <v>10</v>
      </c>
      <c r="O74" s="15">
        <v>6</v>
      </c>
      <c r="P74" s="15"/>
      <c r="Q74" s="15"/>
      <c r="R74" s="15">
        <f t="shared" si="18"/>
        <v>16</v>
      </c>
      <c r="S74" s="38">
        <f t="shared" si="19"/>
        <v>16</v>
      </c>
      <c r="T74" s="39">
        <f t="shared" si="20"/>
        <v>0</v>
      </c>
      <c r="U74" s="47"/>
    </row>
    <row r="75" spans="1:21" x14ac:dyDescent="0.35">
      <c r="A75" s="15">
        <v>0</v>
      </c>
      <c r="B75" s="15" t="s">
        <v>76</v>
      </c>
      <c r="C75" s="15"/>
      <c r="D75" s="15"/>
      <c r="E75" s="15">
        <v>11</v>
      </c>
      <c r="F75" s="15"/>
      <c r="G75" s="15"/>
      <c r="H75" s="15">
        <v>7</v>
      </c>
      <c r="I75" s="15"/>
      <c r="J75" s="15"/>
      <c r="K75" s="35">
        <f t="shared" si="27"/>
        <v>18</v>
      </c>
      <c r="L75" s="35">
        <f t="shared" si="25"/>
        <v>6.3</v>
      </c>
      <c r="M75" s="36">
        <f t="shared" si="26"/>
        <v>24.3</v>
      </c>
      <c r="N75" s="15">
        <v>20</v>
      </c>
      <c r="O75" s="15">
        <v>12</v>
      </c>
      <c r="P75" s="15"/>
      <c r="Q75" s="15"/>
      <c r="R75" s="15">
        <f t="shared" si="18"/>
        <v>32</v>
      </c>
      <c r="S75" s="38">
        <f t="shared" si="19"/>
        <v>56.3</v>
      </c>
      <c r="T75" s="39">
        <f t="shared" si="20"/>
        <v>0</v>
      </c>
      <c r="U75" s="47"/>
    </row>
    <row r="76" spans="1:21" x14ac:dyDescent="0.35">
      <c r="A76" s="15">
        <v>0</v>
      </c>
      <c r="B76" s="15" t="s">
        <v>78</v>
      </c>
      <c r="C76" s="15"/>
      <c r="D76" s="15"/>
      <c r="E76" s="15"/>
      <c r="F76" s="15"/>
      <c r="G76" s="15"/>
      <c r="H76" s="15">
        <v>7</v>
      </c>
      <c r="I76" s="15"/>
      <c r="J76" s="15"/>
      <c r="K76" s="35">
        <f t="shared" si="27"/>
        <v>7</v>
      </c>
      <c r="L76" s="35">
        <f t="shared" si="25"/>
        <v>2.4499999999999997</v>
      </c>
      <c r="M76" s="36">
        <f t="shared" si="26"/>
        <v>9.4499999999999993</v>
      </c>
      <c r="N76" s="15">
        <v>10</v>
      </c>
      <c r="O76" s="15">
        <v>6</v>
      </c>
      <c r="P76" s="15"/>
      <c r="Q76" s="15"/>
      <c r="R76" s="15">
        <f t="shared" si="18"/>
        <v>16</v>
      </c>
      <c r="S76" s="38">
        <f t="shared" si="19"/>
        <v>25.45</v>
      </c>
      <c r="T76" s="39">
        <f t="shared" si="20"/>
        <v>0</v>
      </c>
      <c r="U76" s="47"/>
    </row>
    <row r="77" spans="1:21" x14ac:dyDescent="0.35">
      <c r="A77" s="15">
        <v>0</v>
      </c>
      <c r="B77" s="15" t="s">
        <v>80</v>
      </c>
      <c r="C77" s="15"/>
      <c r="D77" s="15"/>
      <c r="E77" s="15">
        <v>8</v>
      </c>
      <c r="F77" s="15"/>
      <c r="G77" s="15"/>
      <c r="H77" s="15"/>
      <c r="I77" s="15"/>
      <c r="J77" s="15"/>
      <c r="K77" s="35">
        <f t="shared" si="27"/>
        <v>8</v>
      </c>
      <c r="L77" s="35">
        <f t="shared" si="25"/>
        <v>2.8</v>
      </c>
      <c r="M77" s="36">
        <f t="shared" si="26"/>
        <v>10.8</v>
      </c>
      <c r="N77" s="15">
        <v>10</v>
      </c>
      <c r="O77" s="15">
        <v>6</v>
      </c>
      <c r="P77" s="15"/>
      <c r="Q77" s="15"/>
      <c r="R77" s="15">
        <f t="shared" si="18"/>
        <v>16</v>
      </c>
      <c r="S77" s="38">
        <f t="shared" si="19"/>
        <v>26.8</v>
      </c>
      <c r="T77" s="39">
        <f t="shared" si="20"/>
        <v>0</v>
      </c>
      <c r="U77" s="47"/>
    </row>
    <row r="78" spans="1:21" x14ac:dyDescent="0.35">
      <c r="A78" s="15">
        <v>0</v>
      </c>
      <c r="B78" s="15" t="s">
        <v>81</v>
      </c>
      <c r="C78" s="15"/>
      <c r="D78" s="15"/>
      <c r="E78" s="15">
        <v>416</v>
      </c>
      <c r="F78" s="15"/>
      <c r="G78" s="15"/>
      <c r="H78" s="15"/>
      <c r="I78" s="15"/>
      <c r="J78" s="15"/>
      <c r="K78" s="35">
        <f t="shared" si="27"/>
        <v>416</v>
      </c>
      <c r="L78" s="35">
        <f t="shared" si="25"/>
        <v>145.6</v>
      </c>
      <c r="M78" s="36">
        <f t="shared" si="26"/>
        <v>561.6</v>
      </c>
      <c r="N78" s="15"/>
      <c r="O78" s="15">
        <v>6</v>
      </c>
      <c r="P78" s="15"/>
      <c r="Q78" s="15"/>
      <c r="R78" s="15">
        <f t="shared" si="18"/>
        <v>6</v>
      </c>
      <c r="S78" s="38">
        <f t="shared" si="19"/>
        <v>567.6</v>
      </c>
      <c r="T78" s="39">
        <f t="shared" si="20"/>
        <v>0</v>
      </c>
      <c r="U78" s="47"/>
    </row>
    <row r="79" spans="1:21" x14ac:dyDescent="0.35">
      <c r="A79" s="15">
        <v>0</v>
      </c>
      <c r="B79" s="15" t="s">
        <v>68</v>
      </c>
      <c r="C79" s="15"/>
      <c r="D79" s="15"/>
      <c r="E79" s="15">
        <v>100</v>
      </c>
      <c r="F79" s="15"/>
      <c r="G79" s="15"/>
      <c r="H79" s="15">
        <v>5</v>
      </c>
      <c r="I79" s="15"/>
      <c r="J79" s="15"/>
      <c r="K79" s="35">
        <f t="shared" si="27"/>
        <v>105</v>
      </c>
      <c r="L79" s="35">
        <f t="shared" si="25"/>
        <v>36.75</v>
      </c>
      <c r="M79" s="36">
        <f t="shared" si="26"/>
        <v>141.75</v>
      </c>
      <c r="N79" s="15">
        <v>10</v>
      </c>
      <c r="O79" s="15">
        <v>6</v>
      </c>
      <c r="P79" s="15"/>
      <c r="Q79" s="15"/>
      <c r="R79" s="15">
        <f t="shared" si="18"/>
        <v>16</v>
      </c>
      <c r="S79" s="38">
        <f t="shared" si="19"/>
        <v>157.75</v>
      </c>
      <c r="T79" s="39">
        <f t="shared" si="20"/>
        <v>0</v>
      </c>
      <c r="U79" s="47"/>
    </row>
    <row r="80" spans="1:21" x14ac:dyDescent="0.35">
      <c r="A80" s="15">
        <v>0</v>
      </c>
      <c r="B80" s="15" t="s">
        <v>83</v>
      </c>
      <c r="C80" s="15"/>
      <c r="D80" s="15"/>
      <c r="E80" s="15">
        <v>712</v>
      </c>
      <c r="F80" s="15"/>
      <c r="G80" s="15"/>
      <c r="H80" s="15">
        <v>15</v>
      </c>
      <c r="I80" s="15"/>
      <c r="J80" s="15"/>
      <c r="K80" s="35">
        <f t="shared" si="27"/>
        <v>727</v>
      </c>
      <c r="L80" s="35">
        <f t="shared" si="25"/>
        <v>254.45</v>
      </c>
      <c r="M80" s="36">
        <f t="shared" si="26"/>
        <v>981.45</v>
      </c>
      <c r="N80" s="15">
        <v>10</v>
      </c>
      <c r="O80" s="15">
        <v>6</v>
      </c>
      <c r="P80" s="15"/>
      <c r="Q80" s="15"/>
      <c r="R80" s="15">
        <f t="shared" ref="R80:R86" si="28">SUM(N80:Q80)</f>
        <v>16</v>
      </c>
      <c r="S80" s="38">
        <f t="shared" ref="S80:S86" si="29">R80+M80</f>
        <v>997.45</v>
      </c>
      <c r="T80" s="39">
        <f t="shared" ref="T80:T86" si="30">S80*A80</f>
        <v>0</v>
      </c>
      <c r="U80" s="47"/>
    </row>
    <row r="81" spans="1:21" x14ac:dyDescent="0.35">
      <c r="A81" s="15">
        <v>0</v>
      </c>
      <c r="B81" s="15" t="s">
        <v>84</v>
      </c>
      <c r="C81" s="15"/>
      <c r="D81" s="15"/>
      <c r="E81" s="15">
        <v>866</v>
      </c>
      <c r="F81" s="15"/>
      <c r="G81" s="15"/>
      <c r="H81" s="15">
        <v>15</v>
      </c>
      <c r="I81" s="15"/>
      <c r="J81" s="15"/>
      <c r="K81" s="35">
        <f t="shared" si="27"/>
        <v>881</v>
      </c>
      <c r="L81" s="35">
        <f t="shared" ref="L81:L92" si="31">K81*35%</f>
        <v>308.34999999999997</v>
      </c>
      <c r="M81" s="36">
        <f t="shared" ref="M81:M92" si="32">SUM(K81:L81)</f>
        <v>1189.3499999999999</v>
      </c>
      <c r="N81" s="15">
        <v>10</v>
      </c>
      <c r="O81" s="15">
        <v>6</v>
      </c>
      <c r="P81" s="15"/>
      <c r="Q81" s="15"/>
      <c r="R81" s="15">
        <f t="shared" si="28"/>
        <v>16</v>
      </c>
      <c r="S81" s="38">
        <f t="shared" si="29"/>
        <v>1205.3499999999999</v>
      </c>
      <c r="T81" s="39">
        <f t="shared" si="30"/>
        <v>0</v>
      </c>
      <c r="U81" s="47"/>
    </row>
    <row r="82" spans="1:21" x14ac:dyDescent="0.35">
      <c r="A82" s="15">
        <v>0</v>
      </c>
      <c r="B82" s="15" t="s">
        <v>65</v>
      </c>
      <c r="C82" s="15"/>
      <c r="D82" s="15"/>
      <c r="E82" s="15">
        <v>62</v>
      </c>
      <c r="F82" s="15"/>
      <c r="G82" s="15"/>
      <c r="H82" s="15">
        <v>5</v>
      </c>
      <c r="I82" s="15"/>
      <c r="J82" s="15"/>
      <c r="K82" s="35">
        <f t="shared" si="27"/>
        <v>67</v>
      </c>
      <c r="L82" s="35">
        <f t="shared" si="31"/>
        <v>23.45</v>
      </c>
      <c r="M82" s="36">
        <f t="shared" si="32"/>
        <v>90.45</v>
      </c>
      <c r="N82" s="15">
        <v>10</v>
      </c>
      <c r="O82" s="15">
        <v>6</v>
      </c>
      <c r="P82" s="15"/>
      <c r="Q82" s="15"/>
      <c r="R82" s="15">
        <f t="shared" si="28"/>
        <v>16</v>
      </c>
      <c r="S82" s="38">
        <f t="shared" si="29"/>
        <v>106.45</v>
      </c>
      <c r="T82" s="39">
        <f t="shared" si="30"/>
        <v>0</v>
      </c>
      <c r="U82" s="47"/>
    </row>
    <row r="83" spans="1:21" x14ac:dyDescent="0.35">
      <c r="A83" s="15">
        <v>0</v>
      </c>
      <c r="B83" s="15" t="s">
        <v>89</v>
      </c>
      <c r="C83" s="15"/>
      <c r="D83" s="15"/>
      <c r="E83" s="15">
        <v>162</v>
      </c>
      <c r="F83" s="15"/>
      <c r="G83" s="15"/>
      <c r="H83" s="15">
        <v>10</v>
      </c>
      <c r="I83" s="15"/>
      <c r="J83" s="15"/>
      <c r="K83" s="35">
        <f t="shared" si="27"/>
        <v>172</v>
      </c>
      <c r="L83" s="35">
        <f t="shared" si="31"/>
        <v>60.199999999999996</v>
      </c>
      <c r="M83" s="36">
        <f t="shared" si="32"/>
        <v>232.2</v>
      </c>
      <c r="N83" s="15">
        <v>10</v>
      </c>
      <c r="O83" s="15">
        <v>6</v>
      </c>
      <c r="P83" s="15"/>
      <c r="Q83" s="15"/>
      <c r="R83" s="15">
        <f t="shared" si="28"/>
        <v>16</v>
      </c>
      <c r="S83" s="38">
        <f t="shared" si="29"/>
        <v>248.2</v>
      </c>
      <c r="T83" s="39">
        <f t="shared" si="30"/>
        <v>0</v>
      </c>
      <c r="U83" s="47"/>
    </row>
    <row r="84" spans="1:21" x14ac:dyDescent="0.35">
      <c r="A84" s="15">
        <v>0</v>
      </c>
      <c r="B84" s="15" t="s">
        <v>94</v>
      </c>
      <c r="C84" s="15"/>
      <c r="D84" s="15"/>
      <c r="E84" s="15">
        <v>6.95</v>
      </c>
      <c r="F84" s="15"/>
      <c r="G84" s="15"/>
      <c r="H84" s="15"/>
      <c r="I84" s="15"/>
      <c r="J84" s="15"/>
      <c r="K84" s="35">
        <f t="shared" si="27"/>
        <v>6.95</v>
      </c>
      <c r="L84" s="35">
        <f t="shared" si="31"/>
        <v>2.4325000000000001</v>
      </c>
      <c r="M84" s="36">
        <f t="shared" si="32"/>
        <v>9.3825000000000003</v>
      </c>
      <c r="N84" s="15">
        <v>10</v>
      </c>
      <c r="O84" s="15"/>
      <c r="P84" s="15"/>
      <c r="Q84" s="15"/>
      <c r="R84" s="15">
        <f t="shared" si="28"/>
        <v>10</v>
      </c>
      <c r="S84" s="38">
        <f t="shared" si="29"/>
        <v>19.3825</v>
      </c>
      <c r="T84" s="39">
        <f t="shared" si="30"/>
        <v>0</v>
      </c>
      <c r="U84" s="47"/>
    </row>
    <row r="85" spans="1:21" x14ac:dyDescent="0.35">
      <c r="A85" s="15">
        <v>0</v>
      </c>
      <c r="B85" s="15" t="s">
        <v>85</v>
      </c>
      <c r="C85" s="15"/>
      <c r="D85" s="15"/>
      <c r="E85" s="15">
        <v>94.5</v>
      </c>
      <c r="F85" s="15"/>
      <c r="G85" s="15"/>
      <c r="H85" s="15">
        <v>20</v>
      </c>
      <c r="I85" s="15"/>
      <c r="J85" s="15"/>
      <c r="K85" s="35">
        <f t="shared" si="27"/>
        <v>114.5</v>
      </c>
      <c r="L85" s="35">
        <f t="shared" si="31"/>
        <v>40.074999999999996</v>
      </c>
      <c r="M85" s="36">
        <f t="shared" si="32"/>
        <v>154.57499999999999</v>
      </c>
      <c r="N85" s="15"/>
      <c r="O85" s="15"/>
      <c r="P85" s="15"/>
      <c r="Q85" s="15"/>
      <c r="R85" s="15">
        <f t="shared" si="28"/>
        <v>0</v>
      </c>
      <c r="S85" s="38">
        <f t="shared" si="29"/>
        <v>154.57499999999999</v>
      </c>
      <c r="T85" s="39">
        <f t="shared" si="30"/>
        <v>0</v>
      </c>
      <c r="U85" s="47"/>
    </row>
    <row r="86" spans="1:21" x14ac:dyDescent="0.35">
      <c r="A86" s="15">
        <v>0</v>
      </c>
      <c r="B86" s="15" t="s">
        <v>86</v>
      </c>
      <c r="C86" s="15"/>
      <c r="D86" s="15"/>
      <c r="E86" s="15">
        <v>323</v>
      </c>
      <c r="F86" s="15"/>
      <c r="G86" s="15"/>
      <c r="H86" s="15"/>
      <c r="I86" s="15"/>
      <c r="J86" s="15"/>
      <c r="K86" s="35">
        <f t="shared" si="27"/>
        <v>323</v>
      </c>
      <c r="L86" s="35">
        <f t="shared" si="31"/>
        <v>113.05</v>
      </c>
      <c r="M86" s="36">
        <f t="shared" si="32"/>
        <v>436.05</v>
      </c>
      <c r="N86" s="15"/>
      <c r="O86" s="15"/>
      <c r="P86" s="15"/>
      <c r="Q86" s="15"/>
      <c r="R86" s="15">
        <f t="shared" si="28"/>
        <v>0</v>
      </c>
      <c r="S86" s="38">
        <f t="shared" si="29"/>
        <v>436.05</v>
      </c>
      <c r="T86" s="39">
        <f t="shared" si="30"/>
        <v>0</v>
      </c>
      <c r="U86" s="47"/>
    </row>
    <row r="87" spans="1:21" x14ac:dyDescent="0.35">
      <c r="A87" s="15">
        <v>0</v>
      </c>
      <c r="B87" s="15" t="s">
        <v>87</v>
      </c>
      <c r="C87" s="15"/>
      <c r="D87" s="15"/>
      <c r="E87" s="15">
        <v>103</v>
      </c>
      <c r="F87" s="15"/>
      <c r="G87" s="15"/>
      <c r="H87" s="15">
        <v>15</v>
      </c>
      <c r="I87" s="15"/>
      <c r="J87" s="15"/>
      <c r="K87" s="35">
        <f t="shared" si="27"/>
        <v>118</v>
      </c>
      <c r="L87" s="35">
        <f t="shared" si="31"/>
        <v>41.3</v>
      </c>
      <c r="M87" s="36">
        <f t="shared" si="32"/>
        <v>159.30000000000001</v>
      </c>
      <c r="N87" s="39">
        <f t="shared" ref="N87:N88" si="33">M87*A87</f>
        <v>0</v>
      </c>
      <c r="O87" s="15"/>
      <c r="P87" s="15"/>
      <c r="Q87" s="15"/>
      <c r="R87" s="15"/>
      <c r="S87" s="15"/>
      <c r="T87" s="15"/>
      <c r="U87" s="47"/>
    </row>
    <row r="88" spans="1:21" x14ac:dyDescent="0.35">
      <c r="A88" s="40">
        <v>0</v>
      </c>
      <c r="B88" s="40" t="s">
        <v>90</v>
      </c>
      <c r="C88" s="40"/>
      <c r="D88" s="40"/>
      <c r="E88" s="40">
        <v>197.6</v>
      </c>
      <c r="F88" s="40"/>
      <c r="G88" s="40"/>
      <c r="H88" s="40"/>
      <c r="I88" s="40"/>
      <c r="J88" s="40"/>
      <c r="K88" s="41">
        <f t="shared" si="27"/>
        <v>197.6</v>
      </c>
      <c r="L88" s="41">
        <f t="shared" si="31"/>
        <v>69.16</v>
      </c>
      <c r="M88" s="42">
        <f t="shared" si="32"/>
        <v>266.76</v>
      </c>
      <c r="N88" s="43">
        <f t="shared" si="33"/>
        <v>0</v>
      </c>
      <c r="O88" s="40"/>
      <c r="P88" s="40"/>
      <c r="Q88" s="40"/>
      <c r="R88" s="40"/>
      <c r="S88" s="40"/>
      <c r="T88" s="40"/>
      <c r="U88" s="47"/>
    </row>
    <row r="89" spans="1:21" x14ac:dyDescent="0.35">
      <c r="A89" s="71">
        <v>0</v>
      </c>
      <c r="B89" s="72" t="s">
        <v>91</v>
      </c>
      <c r="C89" s="72"/>
      <c r="D89" s="72"/>
      <c r="E89" s="75">
        <v>6.5</v>
      </c>
      <c r="F89" s="75"/>
      <c r="G89" s="75"/>
      <c r="H89" s="75"/>
      <c r="I89" s="75"/>
      <c r="J89" s="75"/>
      <c r="K89" s="73">
        <f t="shared" si="27"/>
        <v>6.5</v>
      </c>
      <c r="L89" s="73">
        <f t="shared" si="31"/>
        <v>2.2749999999999999</v>
      </c>
      <c r="M89" s="74">
        <f t="shared" si="32"/>
        <v>8.7750000000000004</v>
      </c>
      <c r="N89" s="77"/>
      <c r="P89" s="75"/>
      <c r="Q89" s="75"/>
      <c r="R89" s="75"/>
      <c r="S89" s="75"/>
      <c r="T89" s="75"/>
    </row>
    <row r="90" spans="1:21" x14ac:dyDescent="0.35">
      <c r="A90" s="71">
        <v>0</v>
      </c>
      <c r="B90" s="72" t="s">
        <v>92</v>
      </c>
      <c r="C90" s="72"/>
      <c r="D90" s="72"/>
      <c r="E90" s="75">
        <v>10</v>
      </c>
      <c r="F90" s="75"/>
      <c r="G90" s="75"/>
      <c r="H90" s="75"/>
      <c r="I90" s="75"/>
      <c r="J90" s="75"/>
      <c r="K90" s="73">
        <f t="shared" si="27"/>
        <v>10</v>
      </c>
      <c r="L90" s="73">
        <f t="shared" si="31"/>
        <v>3.5</v>
      </c>
      <c r="M90" s="74">
        <f t="shared" si="32"/>
        <v>13.5</v>
      </c>
      <c r="N90" s="77"/>
      <c r="P90" s="75"/>
      <c r="Q90" s="75"/>
      <c r="R90" s="75"/>
      <c r="S90" s="75"/>
      <c r="T90" s="75"/>
    </row>
    <row r="91" spans="1:21" x14ac:dyDescent="0.35">
      <c r="A91" s="71">
        <v>0</v>
      </c>
      <c r="B91" s="72" t="s">
        <v>230</v>
      </c>
      <c r="C91" s="72"/>
      <c r="D91" s="72"/>
      <c r="E91" s="75"/>
      <c r="F91" s="75"/>
      <c r="G91" s="75"/>
      <c r="H91" s="75"/>
      <c r="I91" s="75"/>
      <c r="J91" s="75"/>
      <c r="K91" s="73">
        <f t="shared" si="27"/>
        <v>0</v>
      </c>
      <c r="L91" s="73">
        <f t="shared" si="31"/>
        <v>0</v>
      </c>
      <c r="M91" s="74">
        <f t="shared" si="32"/>
        <v>0</v>
      </c>
      <c r="N91" s="77"/>
      <c r="P91" s="75"/>
      <c r="Q91" s="75"/>
      <c r="R91" s="75"/>
      <c r="S91" s="75"/>
      <c r="T91" s="75"/>
    </row>
    <row r="92" spans="1:21" x14ac:dyDescent="0.35">
      <c r="A92" s="71">
        <v>0</v>
      </c>
      <c r="B92" s="72" t="s">
        <v>231</v>
      </c>
      <c r="C92" s="72"/>
      <c r="D92" s="72"/>
      <c r="E92" s="75"/>
      <c r="F92" s="75"/>
      <c r="G92" s="75"/>
      <c r="H92" s="75"/>
      <c r="I92" s="75"/>
      <c r="J92" s="75"/>
      <c r="K92" s="73">
        <f t="shared" si="27"/>
        <v>0</v>
      </c>
      <c r="L92" s="73">
        <f t="shared" si="31"/>
        <v>0</v>
      </c>
      <c r="M92" s="74">
        <f t="shared" si="32"/>
        <v>0</v>
      </c>
      <c r="N92" s="77"/>
      <c r="P92" s="75"/>
      <c r="Q92" s="75"/>
      <c r="R92" s="75"/>
      <c r="S92" s="75"/>
      <c r="T92" s="75"/>
    </row>
    <row r="93" spans="1:21" x14ac:dyDescent="0.35">
      <c r="A93" s="71">
        <v>0</v>
      </c>
      <c r="B93" s="72" t="s">
        <v>230</v>
      </c>
      <c r="C93" s="72"/>
      <c r="D93" s="72"/>
      <c r="E93" s="73"/>
      <c r="F93" s="73">
        <f>E93*35%</f>
        <v>0</v>
      </c>
      <c r="G93" s="74">
        <f>SUM(E93:F93)</f>
        <v>0</v>
      </c>
      <c r="H93" s="75"/>
      <c r="I93" s="75"/>
      <c r="J93" s="75"/>
      <c r="K93" s="75"/>
      <c r="L93" s="75">
        <f>SUM(H93:K93)</f>
        <v>0</v>
      </c>
      <c r="M93" s="76">
        <f>L93+G93</f>
        <v>0</v>
      </c>
      <c r="N93" s="77"/>
      <c r="P93" s="75"/>
      <c r="Q93" s="75"/>
      <c r="R93" s="75"/>
      <c r="S93" s="75"/>
      <c r="T93" s="75"/>
    </row>
    <row r="94" spans="1:21" x14ac:dyDescent="0.35">
      <c r="A94" s="71">
        <v>0</v>
      </c>
      <c r="B94" s="72" t="s">
        <v>231</v>
      </c>
      <c r="C94" s="72"/>
      <c r="D94" s="72"/>
      <c r="E94" s="73"/>
      <c r="F94" s="73">
        <f>E94*35%</f>
        <v>0</v>
      </c>
      <c r="G94" s="74">
        <f>SUM(E94:F94)</f>
        <v>0</v>
      </c>
      <c r="H94" s="75"/>
      <c r="I94" s="75"/>
      <c r="J94" s="75"/>
      <c r="K94" s="75"/>
      <c r="L94" s="75">
        <f>SUM(H94:K94)</f>
        <v>0</v>
      </c>
      <c r="M94" s="76">
        <f>L94+G94</f>
        <v>0</v>
      </c>
      <c r="N94" s="77"/>
      <c r="P94" s="75"/>
      <c r="Q94" s="75"/>
      <c r="R94" s="75"/>
      <c r="S94" s="75"/>
      <c r="T94" s="75"/>
    </row>
    <row r="95" spans="1:21" ht="15" thickBot="1" x14ac:dyDescent="0.4">
      <c r="A95" s="71">
        <v>0</v>
      </c>
      <c r="B95" s="72" t="s">
        <v>331</v>
      </c>
      <c r="C95" s="72"/>
      <c r="D95" s="72"/>
      <c r="E95" s="73"/>
      <c r="F95" s="73"/>
      <c r="G95" s="74"/>
      <c r="H95" s="75"/>
      <c r="I95" s="75"/>
      <c r="J95" s="75"/>
      <c r="K95" s="75"/>
      <c r="L95" s="75"/>
      <c r="M95" s="76"/>
      <c r="N95" s="77"/>
      <c r="P95" s="75"/>
      <c r="Q95" s="75"/>
      <c r="R95" s="75"/>
      <c r="S95" s="75"/>
      <c r="T95" s="75"/>
    </row>
    <row r="96" spans="1:21" ht="15" thickBot="1" x14ac:dyDescent="0.4">
      <c r="A96" s="17"/>
      <c r="B96" s="18" t="s">
        <v>95</v>
      </c>
      <c r="C96" s="18"/>
      <c r="D96" s="18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48"/>
      <c r="P96" s="19"/>
      <c r="Q96" s="19"/>
      <c r="R96" s="19"/>
      <c r="S96" s="19"/>
      <c r="T96" s="19">
        <f>SUM(T5:T88)</f>
        <v>319.50799999999998</v>
      </c>
    </row>
  </sheetData>
  <sheetProtection autoFilter="0"/>
  <sortState xmlns:xlrd2="http://schemas.microsoft.com/office/spreadsheetml/2017/richdata2" ref="A3:M95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D557-01BE-4701-898E-B45305006A9B}">
  <sheetPr codeName="Tabelle11">
    <pageSetUpPr fitToPage="1"/>
  </sheetPr>
  <dimension ref="A1:U96"/>
  <sheetViews>
    <sheetView zoomScale="50" zoomScaleNormal="50" workbookViewId="0">
      <selection activeCell="W12" sqref="W12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08984375" bestFit="1" customWidth="1"/>
    <col min="7" max="7" width="13.6328125" customWidth="1"/>
    <col min="8" max="8" width="10.90625" bestFit="1" customWidth="1"/>
    <col min="9" max="9" width="18.08984375" bestFit="1" customWidth="1"/>
    <col min="10" max="10" width="13.453125" bestFit="1" customWidth="1"/>
    <col min="21" max="21" width="11.54296875" style="46"/>
  </cols>
  <sheetData>
    <row r="1" spans="1:21" ht="15" thickBot="1" x14ac:dyDescent="0.4">
      <c r="A1" s="6" t="s">
        <v>442</v>
      </c>
    </row>
    <row r="2" spans="1:21" ht="44" thickBot="1" x14ac:dyDescent="0.4">
      <c r="A2" s="57" t="s">
        <v>52</v>
      </c>
      <c r="B2" s="57" t="s">
        <v>53</v>
      </c>
      <c r="C2" s="57" t="s">
        <v>233</v>
      </c>
      <c r="D2" s="57" t="s">
        <v>234</v>
      </c>
      <c r="E2" s="58" t="s">
        <v>54</v>
      </c>
      <c r="F2" s="58" t="s">
        <v>235</v>
      </c>
      <c r="G2" s="58" t="s">
        <v>236</v>
      </c>
      <c r="H2" s="58" t="s">
        <v>55</v>
      </c>
      <c r="I2" s="58" t="s">
        <v>235</v>
      </c>
      <c r="J2" s="58" t="s">
        <v>236</v>
      </c>
      <c r="K2" s="58" t="s">
        <v>56</v>
      </c>
      <c r="L2" s="58" t="s">
        <v>57</v>
      </c>
      <c r="M2" s="58" t="s">
        <v>58</v>
      </c>
      <c r="N2" s="58" t="s">
        <v>59</v>
      </c>
      <c r="O2" s="59" t="s">
        <v>60</v>
      </c>
      <c r="P2" s="57" t="s">
        <v>61</v>
      </c>
      <c r="Q2" s="57" t="s">
        <v>62</v>
      </c>
      <c r="R2" s="57" t="s">
        <v>207</v>
      </c>
      <c r="S2" s="57" t="s">
        <v>63</v>
      </c>
      <c r="T2" s="57" t="s">
        <v>64</v>
      </c>
      <c r="U2" s="60" t="s">
        <v>208</v>
      </c>
    </row>
    <row r="3" spans="1:21" x14ac:dyDescent="0.35">
      <c r="A3" s="78">
        <v>2</v>
      </c>
      <c r="B3" s="78" t="s">
        <v>199</v>
      </c>
      <c r="C3" s="78">
        <v>7</v>
      </c>
      <c r="D3" s="78">
        <v>7</v>
      </c>
      <c r="E3" s="78"/>
      <c r="F3" s="78"/>
      <c r="G3" s="78"/>
      <c r="H3" s="78"/>
      <c r="I3" s="78"/>
      <c r="J3" s="78"/>
      <c r="K3" s="62">
        <f>SUM(E3,H3)</f>
        <v>0</v>
      </c>
      <c r="L3" s="62">
        <f>K3*35%</f>
        <v>0</v>
      </c>
      <c r="M3" s="63">
        <f>SUM(K3:L3)</f>
        <v>0</v>
      </c>
      <c r="N3" s="55"/>
      <c r="O3" s="54"/>
      <c r="P3" s="54"/>
      <c r="Q3" s="54"/>
      <c r="R3" s="54"/>
      <c r="S3" s="54"/>
      <c r="T3" s="54"/>
      <c r="U3" s="56"/>
    </row>
    <row r="4" spans="1:21" x14ac:dyDescent="0.35">
      <c r="A4" s="15">
        <v>2</v>
      </c>
      <c r="B4" s="15" t="s">
        <v>392</v>
      </c>
      <c r="C4" s="15"/>
      <c r="D4" s="15"/>
      <c r="E4" s="35"/>
      <c r="F4" s="35"/>
      <c r="G4" s="36"/>
      <c r="H4" s="15"/>
      <c r="I4" s="15"/>
      <c r="J4" s="15"/>
      <c r="K4" s="15"/>
      <c r="L4" s="15"/>
      <c r="M4" s="38"/>
      <c r="N4" s="37">
        <v>20</v>
      </c>
      <c r="O4" s="53">
        <v>12</v>
      </c>
      <c r="P4" s="53">
        <v>60</v>
      </c>
      <c r="Q4" s="53"/>
      <c r="R4" s="15">
        <f t="shared" ref="R4:R13" si="0">SUM(N4:Q4)</f>
        <v>92</v>
      </c>
      <c r="S4" s="38">
        <f t="shared" ref="S4:S13" si="1">R4+M4</f>
        <v>92</v>
      </c>
      <c r="T4" s="39">
        <f t="shared" ref="T4:T13" si="2">S4*A4</f>
        <v>184</v>
      </c>
      <c r="U4" s="61"/>
    </row>
    <row r="5" spans="1:21" x14ac:dyDescent="0.35">
      <c r="A5" s="15">
        <v>1</v>
      </c>
      <c r="B5" s="15" t="s">
        <v>398</v>
      </c>
      <c r="C5" s="15"/>
      <c r="D5" s="15"/>
      <c r="E5" s="35"/>
      <c r="F5" s="35"/>
      <c r="G5" s="36"/>
      <c r="H5" s="15"/>
      <c r="I5" s="15"/>
      <c r="J5" s="15"/>
      <c r="K5" s="15"/>
      <c r="L5" s="15"/>
      <c r="M5" s="38"/>
      <c r="N5" s="15"/>
      <c r="O5" s="15"/>
      <c r="P5" s="15"/>
      <c r="Q5" s="15"/>
      <c r="R5" s="15">
        <f t="shared" si="0"/>
        <v>0</v>
      </c>
      <c r="S5" s="38">
        <f t="shared" si="1"/>
        <v>0</v>
      </c>
      <c r="T5" s="39">
        <f t="shared" si="2"/>
        <v>0</v>
      </c>
      <c r="U5" s="52"/>
    </row>
    <row r="6" spans="1:21" x14ac:dyDescent="0.35">
      <c r="A6" s="15">
        <v>1</v>
      </c>
      <c r="B6" s="15" t="s">
        <v>205</v>
      </c>
      <c r="C6" s="15">
        <v>10</v>
      </c>
      <c r="D6" s="15">
        <v>10</v>
      </c>
      <c r="E6" s="15">
        <v>112</v>
      </c>
      <c r="F6" s="15" t="s">
        <v>250</v>
      </c>
      <c r="G6" s="15"/>
      <c r="H6" s="15">
        <v>12.08</v>
      </c>
      <c r="I6" s="15"/>
      <c r="J6" s="15"/>
      <c r="K6" s="35">
        <f>SUM(E6,H6)</f>
        <v>124.08</v>
      </c>
      <c r="L6" s="35">
        <f>K6*35%</f>
        <v>43.427999999999997</v>
      </c>
      <c r="M6" s="36">
        <f>SUM(K6:L6)</f>
        <v>167.50799999999998</v>
      </c>
      <c r="N6" s="15">
        <v>20</v>
      </c>
      <c r="O6" s="15">
        <v>12</v>
      </c>
      <c r="P6" s="15">
        <v>120</v>
      </c>
      <c r="Q6" s="15"/>
      <c r="R6" s="15">
        <f t="shared" si="0"/>
        <v>152</v>
      </c>
      <c r="S6" s="38">
        <f t="shared" si="1"/>
        <v>319.50799999999998</v>
      </c>
      <c r="T6" s="39">
        <f t="shared" si="2"/>
        <v>319.50799999999998</v>
      </c>
      <c r="U6" s="52"/>
    </row>
    <row r="7" spans="1:21" x14ac:dyDescent="0.35">
      <c r="A7" s="15">
        <v>0</v>
      </c>
      <c r="B7" s="15" t="s">
        <v>88</v>
      </c>
      <c r="C7" s="15"/>
      <c r="D7" s="15"/>
      <c r="E7" s="15">
        <v>132</v>
      </c>
      <c r="F7" s="15"/>
      <c r="G7" s="15"/>
      <c r="H7" s="15">
        <v>15</v>
      </c>
      <c r="I7" s="15"/>
      <c r="J7" s="15"/>
      <c r="K7" s="35">
        <f>SUM(E7,H7)</f>
        <v>147</v>
      </c>
      <c r="L7" s="35">
        <f>K7*35%</f>
        <v>51.449999999999996</v>
      </c>
      <c r="M7" s="36">
        <f>SUM(K7:L7)</f>
        <v>198.45</v>
      </c>
      <c r="N7" s="15">
        <v>10</v>
      </c>
      <c r="O7" s="15">
        <v>6</v>
      </c>
      <c r="P7" s="15">
        <v>120</v>
      </c>
      <c r="Q7" s="15"/>
      <c r="R7" s="15">
        <f t="shared" si="0"/>
        <v>136</v>
      </c>
      <c r="S7" s="38">
        <f t="shared" si="1"/>
        <v>334.45</v>
      </c>
      <c r="T7" s="39">
        <f t="shared" si="2"/>
        <v>0</v>
      </c>
      <c r="U7" s="52"/>
    </row>
    <row r="8" spans="1:21" x14ac:dyDescent="0.35">
      <c r="A8" s="53">
        <v>0</v>
      </c>
      <c r="B8" s="53" t="s">
        <v>296</v>
      </c>
      <c r="C8" s="53" t="s">
        <v>306</v>
      </c>
      <c r="D8" s="50"/>
      <c r="E8" s="51"/>
      <c r="F8" s="51"/>
      <c r="G8" s="51"/>
      <c r="H8" s="51"/>
      <c r="I8" s="51"/>
      <c r="J8" s="51"/>
      <c r="K8" s="51"/>
      <c r="L8" s="51"/>
      <c r="M8" s="51"/>
      <c r="N8" s="15">
        <v>15</v>
      </c>
      <c r="O8" s="15">
        <v>6</v>
      </c>
      <c r="P8" s="15">
        <v>180</v>
      </c>
      <c r="Q8" s="15"/>
      <c r="R8" s="15">
        <f t="shared" si="0"/>
        <v>201</v>
      </c>
      <c r="S8" s="38">
        <f t="shared" si="1"/>
        <v>201</v>
      </c>
      <c r="T8" s="39">
        <f t="shared" si="2"/>
        <v>0</v>
      </c>
      <c r="U8" s="52"/>
    </row>
    <row r="9" spans="1:21" x14ac:dyDescent="0.35">
      <c r="A9" s="53">
        <v>0</v>
      </c>
      <c r="B9" s="53" t="s">
        <v>219</v>
      </c>
      <c r="C9" s="53" t="s">
        <v>306</v>
      </c>
      <c r="D9" s="50"/>
      <c r="E9" s="51"/>
      <c r="F9" s="51"/>
      <c r="G9" s="51"/>
      <c r="H9" s="51"/>
      <c r="I9" s="51"/>
      <c r="J9" s="51"/>
      <c r="K9" s="51"/>
      <c r="L9" s="51"/>
      <c r="M9" s="51"/>
      <c r="N9" s="15">
        <v>15</v>
      </c>
      <c r="O9" s="15">
        <v>6</v>
      </c>
      <c r="P9" s="15">
        <v>180</v>
      </c>
      <c r="Q9" s="15"/>
      <c r="R9" s="15">
        <f t="shared" si="0"/>
        <v>201</v>
      </c>
      <c r="S9" s="38">
        <f t="shared" si="1"/>
        <v>201</v>
      </c>
      <c r="T9" s="39">
        <f t="shared" si="2"/>
        <v>0</v>
      </c>
      <c r="U9" s="52"/>
    </row>
    <row r="10" spans="1:21" x14ac:dyDescent="0.35">
      <c r="A10" s="15">
        <v>0</v>
      </c>
      <c r="B10" s="15" t="s">
        <v>79</v>
      </c>
      <c r="C10" s="15"/>
      <c r="D10" s="15"/>
      <c r="E10" s="15">
        <v>72</v>
      </c>
      <c r="F10" s="15"/>
      <c r="G10" s="15"/>
      <c r="H10" s="15">
        <v>7</v>
      </c>
      <c r="I10" s="15"/>
      <c r="J10" s="15"/>
      <c r="K10" s="35">
        <f>SUM(E10,H10)</f>
        <v>79</v>
      </c>
      <c r="L10" s="35">
        <f>K10*35%</f>
        <v>27.65</v>
      </c>
      <c r="M10" s="36">
        <f>SUM(K10:L10)</f>
        <v>106.65</v>
      </c>
      <c r="N10" s="15">
        <v>15</v>
      </c>
      <c r="O10" s="15">
        <v>6</v>
      </c>
      <c r="P10" s="15">
        <v>180</v>
      </c>
      <c r="Q10" s="15"/>
      <c r="R10" s="15">
        <f t="shared" si="0"/>
        <v>201</v>
      </c>
      <c r="S10" s="38">
        <f t="shared" si="1"/>
        <v>307.64999999999998</v>
      </c>
      <c r="T10" s="39">
        <f t="shared" si="2"/>
        <v>0</v>
      </c>
      <c r="U10" s="52"/>
    </row>
    <row r="11" spans="1:21" x14ac:dyDescent="0.35">
      <c r="A11" s="53">
        <v>0</v>
      </c>
      <c r="B11" s="53" t="s">
        <v>312</v>
      </c>
      <c r="C11" s="53"/>
      <c r="D11" s="53"/>
      <c r="E11" s="37"/>
      <c r="F11" s="37"/>
      <c r="G11" s="37"/>
      <c r="H11" s="37"/>
      <c r="I11" s="37"/>
      <c r="J11" s="37"/>
      <c r="K11" s="35"/>
      <c r="L11" s="35"/>
      <c r="M11" s="36"/>
      <c r="N11" s="15">
        <v>10</v>
      </c>
      <c r="O11" s="15">
        <v>6</v>
      </c>
      <c r="P11" s="15">
        <v>60</v>
      </c>
      <c r="Q11" s="15"/>
      <c r="R11" s="15">
        <f t="shared" si="0"/>
        <v>76</v>
      </c>
      <c r="S11" s="38">
        <f t="shared" si="1"/>
        <v>76</v>
      </c>
      <c r="T11" s="39">
        <f t="shared" si="2"/>
        <v>0</v>
      </c>
      <c r="U11" s="52"/>
    </row>
    <row r="12" spans="1:21" x14ac:dyDescent="0.35">
      <c r="A12" s="15">
        <v>0</v>
      </c>
      <c r="B12" s="15" t="s">
        <v>93</v>
      </c>
      <c r="C12" s="15">
        <v>11</v>
      </c>
      <c r="D12" s="15">
        <v>11</v>
      </c>
      <c r="E12" s="15">
        <v>12.95</v>
      </c>
      <c r="F12" s="15" t="s">
        <v>246</v>
      </c>
      <c r="G12" s="15"/>
      <c r="H12" s="15"/>
      <c r="I12" s="15"/>
      <c r="J12" s="15"/>
      <c r="K12" s="35">
        <f>SUM(E12,H12)</f>
        <v>12.95</v>
      </c>
      <c r="L12" s="35">
        <f>K12*35%</f>
        <v>4.5324999999999998</v>
      </c>
      <c r="M12" s="36">
        <f>SUM(K12:L12)</f>
        <v>17.482499999999998</v>
      </c>
      <c r="N12" s="15">
        <v>10</v>
      </c>
      <c r="O12" s="15">
        <v>12</v>
      </c>
      <c r="P12" s="15">
        <v>180</v>
      </c>
      <c r="Q12" s="15"/>
      <c r="R12" s="15">
        <f t="shared" si="0"/>
        <v>202</v>
      </c>
      <c r="S12" s="38">
        <f t="shared" si="1"/>
        <v>219.48249999999999</v>
      </c>
      <c r="T12" s="39">
        <f t="shared" si="2"/>
        <v>0</v>
      </c>
      <c r="U12" s="52"/>
    </row>
    <row r="13" spans="1:21" x14ac:dyDescent="0.35">
      <c r="A13" s="15">
        <v>0</v>
      </c>
      <c r="B13" s="15" t="s">
        <v>319</v>
      </c>
      <c r="C13" s="15"/>
      <c r="D13" s="15"/>
      <c r="E13" s="35"/>
      <c r="F13" s="35"/>
      <c r="G13" s="36"/>
      <c r="H13" s="15"/>
      <c r="I13" s="15"/>
      <c r="J13" s="15"/>
      <c r="K13" s="15"/>
      <c r="L13" s="15"/>
      <c r="M13" s="38"/>
      <c r="N13" s="15">
        <v>10</v>
      </c>
      <c r="O13" s="15">
        <v>6</v>
      </c>
      <c r="P13" s="15">
        <v>30</v>
      </c>
      <c r="Q13" s="15"/>
      <c r="R13" s="15">
        <f t="shared" si="0"/>
        <v>46</v>
      </c>
      <c r="S13" s="38">
        <f t="shared" si="1"/>
        <v>46</v>
      </c>
      <c r="T13" s="39">
        <f t="shared" si="2"/>
        <v>0</v>
      </c>
      <c r="U13" s="61"/>
    </row>
    <row r="14" spans="1:21" x14ac:dyDescent="0.35">
      <c r="A14" s="15">
        <v>0</v>
      </c>
      <c r="B14" s="15" t="s">
        <v>344</v>
      </c>
      <c r="C14" s="15"/>
      <c r="D14" s="15"/>
      <c r="E14" s="35"/>
      <c r="F14" s="35"/>
      <c r="G14" s="36"/>
      <c r="H14" s="15"/>
      <c r="I14" s="15"/>
      <c r="J14" s="15"/>
      <c r="K14" s="15"/>
      <c r="L14" s="15"/>
      <c r="M14" s="38"/>
      <c r="N14" s="15"/>
      <c r="O14" s="15"/>
      <c r="P14" s="15"/>
      <c r="Q14" s="15"/>
      <c r="R14" s="15"/>
      <c r="S14" s="38"/>
      <c r="T14" s="39"/>
      <c r="U14" s="61"/>
    </row>
    <row r="15" spans="1:21" x14ac:dyDescent="0.35">
      <c r="A15" s="15">
        <v>0</v>
      </c>
      <c r="B15" s="15" t="s">
        <v>345</v>
      </c>
      <c r="C15" s="15"/>
      <c r="D15" s="15"/>
      <c r="E15" s="35"/>
      <c r="F15" s="35"/>
      <c r="G15" s="36"/>
      <c r="H15" s="15"/>
      <c r="I15" s="15"/>
      <c r="J15" s="15"/>
      <c r="K15" s="15"/>
      <c r="L15" s="15"/>
      <c r="M15" s="38"/>
      <c r="N15" s="15">
        <v>10</v>
      </c>
      <c r="O15" s="15">
        <v>10</v>
      </c>
      <c r="P15" s="15">
        <v>30</v>
      </c>
      <c r="Q15" s="15"/>
      <c r="R15" s="15">
        <f>SUM(N15:Q15)</f>
        <v>50</v>
      </c>
      <c r="S15" s="38">
        <f>R15+M15</f>
        <v>50</v>
      </c>
      <c r="T15" s="39">
        <f>S15*A15</f>
        <v>0</v>
      </c>
      <c r="U15" s="47">
        <v>43227</v>
      </c>
    </row>
    <row r="16" spans="1:21" x14ac:dyDescent="0.35">
      <c r="A16" s="15">
        <v>0</v>
      </c>
      <c r="B16" s="15" t="s">
        <v>324</v>
      </c>
      <c r="C16" s="15"/>
      <c r="D16" s="15"/>
      <c r="E16" s="35"/>
      <c r="F16" s="35"/>
      <c r="G16" s="36"/>
      <c r="H16" s="15"/>
      <c r="I16" s="15"/>
      <c r="J16" s="15"/>
      <c r="K16" s="15"/>
      <c r="L16" s="15"/>
      <c r="M16" s="38"/>
      <c r="N16" s="15"/>
      <c r="O16" s="15"/>
      <c r="P16" s="15"/>
      <c r="Q16" s="15"/>
      <c r="R16" s="15">
        <f t="shared" ref="R16:R79" si="3">SUM(N16:Q16)</f>
        <v>0</v>
      </c>
      <c r="S16" s="38">
        <f t="shared" ref="S16:S79" si="4">R16+M16</f>
        <v>0</v>
      </c>
      <c r="T16" s="39">
        <f t="shared" ref="T16:T79" si="5">S16*A16</f>
        <v>0</v>
      </c>
      <c r="U16" s="47"/>
    </row>
    <row r="17" spans="1:21" x14ac:dyDescent="0.35">
      <c r="A17" s="53">
        <v>0</v>
      </c>
      <c r="B17" s="53" t="s">
        <v>298</v>
      </c>
      <c r="C17" s="53" t="s">
        <v>310</v>
      </c>
      <c r="D17" s="53"/>
      <c r="E17" s="37">
        <v>70.849999999999994</v>
      </c>
      <c r="F17" s="37"/>
      <c r="G17" s="37"/>
      <c r="H17" s="37"/>
      <c r="I17" s="37"/>
      <c r="J17" s="37"/>
      <c r="K17" s="35">
        <f t="shared" ref="K17:K28" si="6">SUM(E17,H17)</f>
        <v>70.849999999999994</v>
      </c>
      <c r="L17" s="35">
        <f t="shared" ref="L17:L80" si="7">K17*35%</f>
        <v>24.797499999999996</v>
      </c>
      <c r="M17" s="36">
        <f t="shared" ref="M17:M80" si="8">SUM(K17:L17)</f>
        <v>95.647499999999994</v>
      </c>
      <c r="N17" s="15"/>
      <c r="O17" s="15"/>
      <c r="P17" s="15"/>
      <c r="Q17" s="15"/>
      <c r="R17" s="15">
        <f t="shared" si="3"/>
        <v>0</v>
      </c>
      <c r="S17" s="38">
        <f t="shared" si="4"/>
        <v>95.647499999999994</v>
      </c>
      <c r="T17" s="39">
        <f t="shared" si="5"/>
        <v>0</v>
      </c>
      <c r="U17" s="47"/>
    </row>
    <row r="18" spans="1:21" x14ac:dyDescent="0.35">
      <c r="A18" s="53">
        <v>0</v>
      </c>
      <c r="B18" s="53" t="s">
        <v>297</v>
      </c>
      <c r="C18" s="53"/>
      <c r="D18" s="53"/>
      <c r="E18" s="37">
        <v>62</v>
      </c>
      <c r="F18" s="37"/>
      <c r="G18" s="37"/>
      <c r="H18" s="37">
        <v>5</v>
      </c>
      <c r="I18" s="37"/>
      <c r="J18" s="37"/>
      <c r="K18" s="35">
        <f t="shared" si="6"/>
        <v>67</v>
      </c>
      <c r="L18" s="35">
        <f t="shared" si="7"/>
        <v>23.45</v>
      </c>
      <c r="M18" s="36">
        <f t="shared" si="8"/>
        <v>90.45</v>
      </c>
      <c r="N18" s="15"/>
      <c r="O18" s="15"/>
      <c r="P18" s="15"/>
      <c r="Q18" s="15"/>
      <c r="R18" s="15">
        <f t="shared" si="3"/>
        <v>0</v>
      </c>
      <c r="S18" s="38">
        <f t="shared" si="4"/>
        <v>90.45</v>
      </c>
      <c r="T18" s="39">
        <f t="shared" si="5"/>
        <v>0</v>
      </c>
      <c r="U18" s="47"/>
    </row>
    <row r="19" spans="1:21" x14ac:dyDescent="0.35">
      <c r="A19" s="53">
        <v>0</v>
      </c>
      <c r="B19" s="53" t="s">
        <v>68</v>
      </c>
      <c r="C19" s="53"/>
      <c r="D19" s="53"/>
      <c r="E19" s="37">
        <v>100</v>
      </c>
      <c r="F19" s="37"/>
      <c r="G19" s="37"/>
      <c r="H19" s="37">
        <v>5</v>
      </c>
      <c r="I19" s="37"/>
      <c r="J19" s="37"/>
      <c r="K19" s="35">
        <f t="shared" si="6"/>
        <v>105</v>
      </c>
      <c r="L19" s="35">
        <f t="shared" si="7"/>
        <v>36.75</v>
      </c>
      <c r="M19" s="36">
        <f t="shared" si="8"/>
        <v>141.75</v>
      </c>
      <c r="N19" s="15">
        <v>10</v>
      </c>
      <c r="O19" s="15">
        <v>10</v>
      </c>
      <c r="P19" s="15">
        <v>90</v>
      </c>
      <c r="Q19" s="15"/>
      <c r="R19" s="15">
        <f t="shared" si="3"/>
        <v>110</v>
      </c>
      <c r="S19" s="38">
        <f t="shared" si="4"/>
        <v>251.75</v>
      </c>
      <c r="T19" s="39">
        <f t="shared" si="5"/>
        <v>0</v>
      </c>
      <c r="U19" s="47">
        <v>43227</v>
      </c>
    </row>
    <row r="20" spans="1:21" x14ac:dyDescent="0.35">
      <c r="A20" s="53">
        <v>0</v>
      </c>
      <c r="B20" s="53" t="s">
        <v>71</v>
      </c>
      <c r="C20" s="53"/>
      <c r="D20" s="53"/>
      <c r="E20" s="37">
        <v>52</v>
      </c>
      <c r="F20" s="37"/>
      <c r="G20" s="37"/>
      <c r="H20" s="37">
        <v>20</v>
      </c>
      <c r="I20" s="37"/>
      <c r="J20" s="37"/>
      <c r="K20" s="35">
        <f t="shared" si="6"/>
        <v>72</v>
      </c>
      <c r="L20" s="35">
        <f t="shared" si="7"/>
        <v>25.2</v>
      </c>
      <c r="M20" s="36">
        <f t="shared" si="8"/>
        <v>97.2</v>
      </c>
      <c r="N20" s="15">
        <v>10</v>
      </c>
      <c r="O20" s="15">
        <v>6</v>
      </c>
      <c r="P20" s="15">
        <v>15</v>
      </c>
      <c r="Q20" s="15"/>
      <c r="R20" s="15">
        <f t="shared" si="3"/>
        <v>31</v>
      </c>
      <c r="S20" s="38">
        <f t="shared" si="4"/>
        <v>128.19999999999999</v>
      </c>
      <c r="T20" s="39">
        <f t="shared" si="5"/>
        <v>0</v>
      </c>
      <c r="U20" s="47">
        <v>43227</v>
      </c>
    </row>
    <row r="21" spans="1:21" x14ac:dyDescent="0.35">
      <c r="A21" s="53">
        <v>0</v>
      </c>
      <c r="B21" s="53" t="s">
        <v>299</v>
      </c>
      <c r="C21" s="53"/>
      <c r="D21" s="53"/>
      <c r="E21" s="37">
        <v>21.75</v>
      </c>
      <c r="F21" s="37"/>
      <c r="G21" s="37"/>
      <c r="H21" s="37"/>
      <c r="I21" s="37"/>
      <c r="J21" s="37"/>
      <c r="K21" s="35">
        <f t="shared" si="6"/>
        <v>21.75</v>
      </c>
      <c r="L21" s="35">
        <f t="shared" si="7"/>
        <v>7.6124999999999998</v>
      </c>
      <c r="M21" s="36">
        <f t="shared" si="8"/>
        <v>29.362500000000001</v>
      </c>
      <c r="N21" s="15">
        <v>10</v>
      </c>
      <c r="O21" s="15">
        <v>6</v>
      </c>
      <c r="P21" s="15">
        <v>30</v>
      </c>
      <c r="Q21" s="15"/>
      <c r="R21" s="15">
        <f t="shared" si="3"/>
        <v>46</v>
      </c>
      <c r="S21" s="38">
        <f t="shared" si="4"/>
        <v>75.362499999999997</v>
      </c>
      <c r="T21" s="39">
        <f t="shared" si="5"/>
        <v>0</v>
      </c>
      <c r="U21" s="47">
        <v>43227</v>
      </c>
    </row>
    <row r="22" spans="1:21" x14ac:dyDescent="0.35">
      <c r="A22" s="15">
        <v>0</v>
      </c>
      <c r="B22" s="15" t="s">
        <v>70</v>
      </c>
      <c r="C22" s="15"/>
      <c r="D22" s="15"/>
      <c r="E22" s="15">
        <v>133</v>
      </c>
      <c r="F22" s="15"/>
      <c r="G22" s="15"/>
      <c r="H22" s="15">
        <v>5</v>
      </c>
      <c r="I22" s="15"/>
      <c r="J22" s="15"/>
      <c r="K22" s="35">
        <f t="shared" si="6"/>
        <v>138</v>
      </c>
      <c r="L22" s="35">
        <f t="shared" si="7"/>
        <v>48.3</v>
      </c>
      <c r="M22" s="36">
        <f t="shared" si="8"/>
        <v>186.3</v>
      </c>
      <c r="N22" s="15">
        <v>10</v>
      </c>
      <c r="O22" s="15">
        <v>10</v>
      </c>
      <c r="P22" s="15">
        <v>120</v>
      </c>
      <c r="Q22" s="15"/>
      <c r="R22" s="15">
        <f t="shared" si="3"/>
        <v>140</v>
      </c>
      <c r="S22" s="38">
        <f t="shared" si="4"/>
        <v>326.3</v>
      </c>
      <c r="T22" s="39">
        <f t="shared" si="5"/>
        <v>0</v>
      </c>
      <c r="U22" s="47">
        <v>43227</v>
      </c>
    </row>
    <row r="23" spans="1:21" x14ac:dyDescent="0.35">
      <c r="A23" s="15">
        <v>0</v>
      </c>
      <c r="B23" s="15" t="s">
        <v>69</v>
      </c>
      <c r="C23" s="15"/>
      <c r="D23" s="15"/>
      <c r="E23" s="15">
        <v>103</v>
      </c>
      <c r="F23" s="15"/>
      <c r="G23" s="15"/>
      <c r="H23" s="15">
        <v>5</v>
      </c>
      <c r="I23" s="15"/>
      <c r="J23" s="15"/>
      <c r="K23" s="35">
        <f t="shared" si="6"/>
        <v>108</v>
      </c>
      <c r="L23" s="35">
        <f t="shared" si="7"/>
        <v>37.799999999999997</v>
      </c>
      <c r="M23" s="36">
        <f t="shared" si="8"/>
        <v>145.80000000000001</v>
      </c>
      <c r="N23" s="15">
        <v>10</v>
      </c>
      <c r="O23" s="15">
        <v>10</v>
      </c>
      <c r="P23" s="15">
        <v>120</v>
      </c>
      <c r="Q23" s="15"/>
      <c r="R23" s="15">
        <f t="shared" si="3"/>
        <v>140</v>
      </c>
      <c r="S23" s="38">
        <f t="shared" si="4"/>
        <v>285.8</v>
      </c>
      <c r="T23" s="39">
        <f t="shared" si="5"/>
        <v>0</v>
      </c>
      <c r="U23" s="47">
        <v>43227</v>
      </c>
    </row>
    <row r="24" spans="1:21" x14ac:dyDescent="0.35">
      <c r="A24" s="15">
        <v>0</v>
      </c>
      <c r="B24" s="15" t="s">
        <v>67</v>
      </c>
      <c r="C24" s="15"/>
      <c r="D24" s="15"/>
      <c r="E24" s="15">
        <v>53</v>
      </c>
      <c r="F24" s="15"/>
      <c r="G24" s="15"/>
      <c r="H24" s="15">
        <v>5</v>
      </c>
      <c r="I24" s="15"/>
      <c r="J24" s="15"/>
      <c r="K24" s="35">
        <f t="shared" si="6"/>
        <v>58</v>
      </c>
      <c r="L24" s="35">
        <f t="shared" si="7"/>
        <v>20.299999999999997</v>
      </c>
      <c r="M24" s="36">
        <f t="shared" si="8"/>
        <v>78.3</v>
      </c>
      <c r="N24" s="15"/>
      <c r="O24" s="15"/>
      <c r="P24" s="15"/>
      <c r="Q24" s="15"/>
      <c r="R24" s="15">
        <f t="shared" si="3"/>
        <v>0</v>
      </c>
      <c r="S24" s="38">
        <f t="shared" si="4"/>
        <v>78.3</v>
      </c>
      <c r="T24" s="39">
        <f t="shared" si="5"/>
        <v>0</v>
      </c>
      <c r="U24" s="47">
        <v>43227</v>
      </c>
    </row>
    <row r="25" spans="1:21" x14ac:dyDescent="0.35">
      <c r="A25" s="53">
        <v>0</v>
      </c>
      <c r="B25" s="53" t="s">
        <v>65</v>
      </c>
      <c r="C25" s="53"/>
      <c r="D25" s="53"/>
      <c r="E25" s="37">
        <v>62</v>
      </c>
      <c r="F25" s="37"/>
      <c r="G25" s="37"/>
      <c r="H25" s="37">
        <v>5</v>
      </c>
      <c r="I25" s="37"/>
      <c r="J25" s="37"/>
      <c r="K25" s="35">
        <f t="shared" si="6"/>
        <v>67</v>
      </c>
      <c r="L25" s="35">
        <f t="shared" si="7"/>
        <v>23.45</v>
      </c>
      <c r="M25" s="36">
        <f t="shared" si="8"/>
        <v>90.45</v>
      </c>
      <c r="N25" s="15">
        <v>10</v>
      </c>
      <c r="O25" s="15">
        <v>10</v>
      </c>
      <c r="P25" s="15">
        <v>90</v>
      </c>
      <c r="Q25" s="15"/>
      <c r="R25" s="15">
        <f t="shared" si="3"/>
        <v>110</v>
      </c>
      <c r="S25" s="38">
        <f t="shared" si="4"/>
        <v>200.45</v>
      </c>
      <c r="T25" s="39">
        <f t="shared" si="5"/>
        <v>0</v>
      </c>
      <c r="U25" s="47">
        <v>43227</v>
      </c>
    </row>
    <row r="26" spans="1:21" x14ac:dyDescent="0.35">
      <c r="A26" s="53">
        <v>0</v>
      </c>
      <c r="B26" s="53" t="s">
        <v>307</v>
      </c>
      <c r="C26" s="53"/>
      <c r="D26" s="53"/>
      <c r="E26" s="37">
        <v>53</v>
      </c>
      <c r="F26" s="37"/>
      <c r="G26" s="37"/>
      <c r="H26" s="37">
        <v>5</v>
      </c>
      <c r="I26" s="37"/>
      <c r="J26" s="37"/>
      <c r="K26" s="35">
        <f t="shared" si="6"/>
        <v>58</v>
      </c>
      <c r="L26" s="35">
        <f t="shared" si="7"/>
        <v>20.299999999999997</v>
      </c>
      <c r="M26" s="36">
        <f t="shared" si="8"/>
        <v>78.3</v>
      </c>
      <c r="N26" s="15">
        <v>10</v>
      </c>
      <c r="O26" s="15">
        <v>10</v>
      </c>
      <c r="P26" s="15">
        <v>60</v>
      </c>
      <c r="Q26" s="15"/>
      <c r="R26" s="15">
        <f t="shared" si="3"/>
        <v>80</v>
      </c>
      <c r="S26" s="38">
        <f t="shared" si="4"/>
        <v>158.30000000000001</v>
      </c>
      <c r="T26" s="39">
        <f t="shared" si="5"/>
        <v>0</v>
      </c>
      <c r="U26" s="47">
        <v>43227</v>
      </c>
    </row>
    <row r="27" spans="1:21" x14ac:dyDescent="0.35">
      <c r="A27" s="53">
        <v>0</v>
      </c>
      <c r="B27" s="53" t="s">
        <v>308</v>
      </c>
      <c r="C27" s="53"/>
      <c r="D27" s="53"/>
      <c r="E27" s="37">
        <v>103</v>
      </c>
      <c r="F27" s="37"/>
      <c r="G27" s="37"/>
      <c r="H27" s="37">
        <v>5</v>
      </c>
      <c r="I27" s="37"/>
      <c r="J27" s="37"/>
      <c r="K27" s="35">
        <f t="shared" si="6"/>
        <v>108</v>
      </c>
      <c r="L27" s="35">
        <f t="shared" si="7"/>
        <v>37.799999999999997</v>
      </c>
      <c r="M27" s="36">
        <f t="shared" si="8"/>
        <v>145.80000000000001</v>
      </c>
      <c r="N27" s="15">
        <v>10</v>
      </c>
      <c r="O27" s="15">
        <v>10</v>
      </c>
      <c r="P27" s="15">
        <v>60</v>
      </c>
      <c r="Q27" s="15"/>
      <c r="R27" s="15">
        <f t="shared" si="3"/>
        <v>80</v>
      </c>
      <c r="S27" s="38">
        <f t="shared" si="4"/>
        <v>225.8</v>
      </c>
      <c r="T27" s="39">
        <f t="shared" si="5"/>
        <v>0</v>
      </c>
      <c r="U27" s="47">
        <v>43227</v>
      </c>
    </row>
    <row r="28" spans="1:21" x14ac:dyDescent="0.35">
      <c r="A28" s="53">
        <v>0</v>
      </c>
      <c r="B28" s="53" t="s">
        <v>309</v>
      </c>
      <c r="C28" s="53"/>
      <c r="D28" s="53"/>
      <c r="E28" s="37">
        <v>133</v>
      </c>
      <c r="F28" s="37"/>
      <c r="G28" s="37"/>
      <c r="H28" s="37">
        <v>5</v>
      </c>
      <c r="I28" s="37"/>
      <c r="J28" s="37"/>
      <c r="K28" s="35">
        <f t="shared" si="6"/>
        <v>138</v>
      </c>
      <c r="L28" s="35">
        <f t="shared" si="7"/>
        <v>48.3</v>
      </c>
      <c r="M28" s="36">
        <f t="shared" si="8"/>
        <v>186.3</v>
      </c>
      <c r="N28" s="15">
        <v>10</v>
      </c>
      <c r="O28" s="15">
        <v>10</v>
      </c>
      <c r="P28" s="15">
        <v>60</v>
      </c>
      <c r="Q28" s="15"/>
      <c r="R28" s="15">
        <f t="shared" si="3"/>
        <v>80</v>
      </c>
      <c r="S28" s="38">
        <f t="shared" si="4"/>
        <v>266.3</v>
      </c>
      <c r="T28" s="39">
        <f t="shared" si="5"/>
        <v>0</v>
      </c>
      <c r="U28" s="47">
        <v>43227</v>
      </c>
    </row>
    <row r="29" spans="1:21" ht="14.25" customHeight="1" x14ac:dyDescent="0.35">
      <c r="A29" s="15">
        <v>0</v>
      </c>
      <c r="B29" s="15" t="s">
        <v>222</v>
      </c>
      <c r="C29" s="15"/>
      <c r="D29" s="15"/>
      <c r="E29" s="15">
        <v>139.96</v>
      </c>
      <c r="F29" s="15"/>
      <c r="G29" s="15"/>
      <c r="H29" s="15"/>
      <c r="I29" s="15"/>
      <c r="J29" s="15"/>
      <c r="K29" s="35"/>
      <c r="L29" s="35">
        <f t="shared" si="7"/>
        <v>0</v>
      </c>
      <c r="M29" s="36">
        <f t="shared" si="8"/>
        <v>0</v>
      </c>
      <c r="N29" s="15">
        <v>10</v>
      </c>
      <c r="O29" s="15">
        <v>20</v>
      </c>
      <c r="P29" s="15">
        <v>90</v>
      </c>
      <c r="Q29" s="15"/>
      <c r="R29" s="15">
        <f t="shared" si="3"/>
        <v>120</v>
      </c>
      <c r="S29" s="38">
        <f t="shared" si="4"/>
        <v>120</v>
      </c>
      <c r="T29" s="39">
        <f t="shared" si="5"/>
        <v>0</v>
      </c>
      <c r="U29" s="47"/>
    </row>
    <row r="30" spans="1:21" x14ac:dyDescent="0.35">
      <c r="A30" s="15">
        <v>0</v>
      </c>
      <c r="B30" s="15" t="s">
        <v>226</v>
      </c>
      <c r="C30" s="15"/>
      <c r="D30" s="15"/>
      <c r="E30" s="15"/>
      <c r="F30" s="15"/>
      <c r="G30" s="15"/>
      <c r="H30" s="15"/>
      <c r="I30" s="15"/>
      <c r="J30" s="15"/>
      <c r="K30" s="35">
        <f t="shared" ref="K30:K92" si="9">SUM(E30,H30)</f>
        <v>0</v>
      </c>
      <c r="L30" s="35">
        <f t="shared" si="7"/>
        <v>0</v>
      </c>
      <c r="M30" s="36">
        <f t="shared" si="8"/>
        <v>0</v>
      </c>
      <c r="N30" s="15"/>
      <c r="O30" s="15">
        <v>20</v>
      </c>
      <c r="P30" s="15">
        <v>90</v>
      </c>
      <c r="Q30" s="15"/>
      <c r="R30" s="15">
        <f t="shared" si="3"/>
        <v>110</v>
      </c>
      <c r="S30" s="38">
        <f t="shared" si="4"/>
        <v>110</v>
      </c>
      <c r="T30" s="39">
        <f t="shared" si="5"/>
        <v>0</v>
      </c>
      <c r="U30" s="47"/>
    </row>
    <row r="31" spans="1:21" x14ac:dyDescent="0.35">
      <c r="A31" s="15">
        <v>0</v>
      </c>
      <c r="B31" s="15" t="s">
        <v>72</v>
      </c>
      <c r="C31" s="15" t="s">
        <v>237</v>
      </c>
      <c r="D31" s="15">
        <v>1</v>
      </c>
      <c r="E31" s="15">
        <v>46.19</v>
      </c>
      <c r="F31" s="15" t="s">
        <v>238</v>
      </c>
      <c r="G31" s="44">
        <v>1013000039</v>
      </c>
      <c r="H31" s="15">
        <v>8.2899999999999991</v>
      </c>
      <c r="I31" s="15" t="s">
        <v>239</v>
      </c>
      <c r="J31" s="15">
        <v>90050056621</v>
      </c>
      <c r="K31" s="35">
        <f t="shared" si="9"/>
        <v>54.48</v>
      </c>
      <c r="L31" s="35">
        <f t="shared" si="7"/>
        <v>19.067999999999998</v>
      </c>
      <c r="M31" s="36">
        <f t="shared" si="8"/>
        <v>73.548000000000002</v>
      </c>
      <c r="N31" s="15">
        <v>10</v>
      </c>
      <c r="O31" s="15">
        <v>10</v>
      </c>
      <c r="P31" s="15">
        <v>60</v>
      </c>
      <c r="Q31" s="15"/>
      <c r="R31" s="15">
        <f t="shared" si="3"/>
        <v>80</v>
      </c>
      <c r="S31" s="38">
        <f t="shared" si="4"/>
        <v>153.548</v>
      </c>
      <c r="T31" s="39">
        <f t="shared" si="5"/>
        <v>0</v>
      </c>
      <c r="U31" s="47"/>
    </row>
    <row r="32" spans="1:21" x14ac:dyDescent="0.35">
      <c r="A32" s="15">
        <v>0</v>
      </c>
      <c r="B32" s="15" t="s">
        <v>189</v>
      </c>
      <c r="C32" s="15">
        <v>8</v>
      </c>
      <c r="D32" s="15">
        <v>8</v>
      </c>
      <c r="E32" s="15"/>
      <c r="F32" s="15"/>
      <c r="G32" s="15"/>
      <c r="H32" s="15"/>
      <c r="I32" s="15"/>
      <c r="J32" s="15"/>
      <c r="K32" s="35">
        <f t="shared" si="9"/>
        <v>0</v>
      </c>
      <c r="L32" s="35">
        <f t="shared" si="7"/>
        <v>0</v>
      </c>
      <c r="M32" s="36">
        <f t="shared" si="8"/>
        <v>0</v>
      </c>
      <c r="N32" s="15"/>
      <c r="O32" s="15"/>
      <c r="P32" s="15"/>
      <c r="Q32" s="15"/>
      <c r="R32" s="15">
        <f t="shared" si="3"/>
        <v>0</v>
      </c>
      <c r="S32" s="38">
        <f t="shared" si="4"/>
        <v>0</v>
      </c>
      <c r="T32" s="39">
        <f t="shared" si="5"/>
        <v>0</v>
      </c>
      <c r="U32" s="47"/>
    </row>
    <row r="33" spans="1:21" x14ac:dyDescent="0.35">
      <c r="A33" s="15">
        <v>0</v>
      </c>
      <c r="B33" s="15" t="s">
        <v>196</v>
      </c>
      <c r="C33" s="15">
        <v>9</v>
      </c>
      <c r="D33" s="15">
        <v>9</v>
      </c>
      <c r="E33" s="15"/>
      <c r="F33" s="15"/>
      <c r="G33" s="15"/>
      <c r="H33" s="15"/>
      <c r="I33" s="15"/>
      <c r="J33" s="15"/>
      <c r="K33" s="35">
        <f t="shared" si="9"/>
        <v>0</v>
      </c>
      <c r="L33" s="35">
        <f t="shared" si="7"/>
        <v>0</v>
      </c>
      <c r="M33" s="36">
        <f t="shared" si="8"/>
        <v>0</v>
      </c>
      <c r="N33" s="15">
        <v>10</v>
      </c>
      <c r="O33" s="15">
        <v>10</v>
      </c>
      <c r="P33" s="15">
        <v>90</v>
      </c>
      <c r="Q33" s="15"/>
      <c r="R33" s="15">
        <f t="shared" si="3"/>
        <v>110</v>
      </c>
      <c r="S33" s="38">
        <f t="shared" si="4"/>
        <v>110</v>
      </c>
      <c r="T33" s="39">
        <f t="shared" si="5"/>
        <v>0</v>
      </c>
      <c r="U33" s="47"/>
    </row>
    <row r="34" spans="1:21" x14ac:dyDescent="0.35">
      <c r="A34" s="15">
        <v>0</v>
      </c>
      <c r="B34" s="15" t="s">
        <v>200</v>
      </c>
      <c r="C34" s="15" t="s">
        <v>244</v>
      </c>
      <c r="D34" s="15">
        <v>12</v>
      </c>
      <c r="E34" s="15">
        <v>10.51</v>
      </c>
      <c r="F34" s="15"/>
      <c r="G34" s="15"/>
      <c r="H34" s="15">
        <v>7.5</v>
      </c>
      <c r="I34" s="15"/>
      <c r="J34" s="15"/>
      <c r="K34" s="35">
        <f t="shared" si="9"/>
        <v>18.009999999999998</v>
      </c>
      <c r="L34" s="35">
        <f t="shared" si="7"/>
        <v>6.3034999999999988</v>
      </c>
      <c r="M34" s="36">
        <f t="shared" si="8"/>
        <v>24.313499999999998</v>
      </c>
      <c r="N34" s="15">
        <v>10</v>
      </c>
      <c r="O34" s="15">
        <v>10</v>
      </c>
      <c r="P34" s="15">
        <v>30</v>
      </c>
      <c r="Q34" s="15"/>
      <c r="R34" s="15">
        <f t="shared" si="3"/>
        <v>50</v>
      </c>
      <c r="S34" s="38">
        <f t="shared" si="4"/>
        <v>74.313500000000005</v>
      </c>
      <c r="T34" s="39">
        <f t="shared" si="5"/>
        <v>0</v>
      </c>
      <c r="U34" s="47"/>
    </row>
    <row r="35" spans="1:21" x14ac:dyDescent="0.35">
      <c r="A35" s="15">
        <v>0</v>
      </c>
      <c r="B35" s="15" t="s">
        <v>197</v>
      </c>
      <c r="C35" s="15"/>
      <c r="D35" s="15">
        <v>14</v>
      </c>
      <c r="E35" s="15">
        <v>683.93</v>
      </c>
      <c r="F35" s="15" t="s">
        <v>251</v>
      </c>
      <c r="G35" s="15"/>
      <c r="H35" s="15">
        <v>15.81</v>
      </c>
      <c r="I35" s="15"/>
      <c r="J35" s="15"/>
      <c r="K35" s="35">
        <f t="shared" si="9"/>
        <v>699.7399999999999</v>
      </c>
      <c r="L35" s="35">
        <f t="shared" si="7"/>
        <v>244.90899999999993</v>
      </c>
      <c r="M35" s="36">
        <f t="shared" si="8"/>
        <v>944.64899999999989</v>
      </c>
      <c r="N35" s="15"/>
      <c r="O35" s="15"/>
      <c r="P35" s="15"/>
      <c r="Q35" s="15"/>
      <c r="R35" s="15">
        <f t="shared" si="3"/>
        <v>0</v>
      </c>
      <c r="S35" s="38">
        <f t="shared" si="4"/>
        <v>944.64899999999989</v>
      </c>
      <c r="T35" s="39">
        <f t="shared" si="5"/>
        <v>0</v>
      </c>
      <c r="U35" s="47"/>
    </row>
    <row r="36" spans="1:21" x14ac:dyDescent="0.35">
      <c r="A36" s="15">
        <v>0</v>
      </c>
      <c r="B36" s="15" t="s">
        <v>157</v>
      </c>
      <c r="C36" s="15"/>
      <c r="D36" s="15">
        <v>15</v>
      </c>
      <c r="E36" s="15"/>
      <c r="F36" s="15"/>
      <c r="G36" s="15"/>
      <c r="H36" s="15"/>
      <c r="I36" s="15"/>
      <c r="J36" s="15"/>
      <c r="K36" s="35">
        <f t="shared" si="9"/>
        <v>0</v>
      </c>
      <c r="L36" s="35">
        <f t="shared" si="7"/>
        <v>0</v>
      </c>
      <c r="M36" s="36">
        <f t="shared" si="8"/>
        <v>0</v>
      </c>
      <c r="N36" s="15">
        <v>10</v>
      </c>
      <c r="O36" s="15">
        <v>10</v>
      </c>
      <c r="P36" s="15">
        <v>90</v>
      </c>
      <c r="Q36" s="15"/>
      <c r="R36" s="15">
        <f t="shared" si="3"/>
        <v>110</v>
      </c>
      <c r="S36" s="38">
        <f t="shared" si="4"/>
        <v>110</v>
      </c>
      <c r="T36" s="39">
        <f t="shared" si="5"/>
        <v>0</v>
      </c>
      <c r="U36" s="47"/>
    </row>
    <row r="37" spans="1:21" x14ac:dyDescent="0.35">
      <c r="A37" s="15">
        <v>0</v>
      </c>
      <c r="B37" s="15" t="s">
        <v>190</v>
      </c>
      <c r="C37" s="15"/>
      <c r="D37" s="15">
        <v>23</v>
      </c>
      <c r="E37" s="15"/>
      <c r="F37" s="15"/>
      <c r="G37" s="15"/>
      <c r="H37" s="15"/>
      <c r="I37" s="15"/>
      <c r="J37" s="15"/>
      <c r="K37" s="35">
        <f t="shared" si="9"/>
        <v>0</v>
      </c>
      <c r="L37" s="35">
        <f t="shared" si="7"/>
        <v>0</v>
      </c>
      <c r="M37" s="36">
        <f t="shared" si="8"/>
        <v>0</v>
      </c>
      <c r="N37" s="15"/>
      <c r="O37" s="15"/>
      <c r="P37" s="15"/>
      <c r="Q37" s="15"/>
      <c r="R37" s="15">
        <f t="shared" si="3"/>
        <v>0</v>
      </c>
      <c r="S37" s="38">
        <f t="shared" si="4"/>
        <v>0</v>
      </c>
      <c r="T37" s="39">
        <f t="shared" si="5"/>
        <v>0</v>
      </c>
      <c r="U37" s="47"/>
    </row>
    <row r="38" spans="1:21" x14ac:dyDescent="0.35">
      <c r="A38" s="15">
        <v>0</v>
      </c>
      <c r="B38" s="15" t="s">
        <v>191</v>
      </c>
      <c r="C38" s="15"/>
      <c r="D38" s="15">
        <v>13</v>
      </c>
      <c r="E38" s="15">
        <v>103.13</v>
      </c>
      <c r="F38" s="15" t="s">
        <v>245</v>
      </c>
      <c r="G38" s="15"/>
      <c r="H38" s="15">
        <v>17.100000000000001</v>
      </c>
      <c r="I38" s="15"/>
      <c r="J38" s="15"/>
      <c r="K38" s="35">
        <f t="shared" si="9"/>
        <v>120.22999999999999</v>
      </c>
      <c r="L38" s="35">
        <f t="shared" si="7"/>
        <v>42.080499999999994</v>
      </c>
      <c r="M38" s="36">
        <f t="shared" si="8"/>
        <v>162.31049999999999</v>
      </c>
      <c r="N38" s="15"/>
      <c r="O38" s="15"/>
      <c r="P38" s="15"/>
      <c r="Q38" s="15"/>
      <c r="R38" s="15">
        <f t="shared" si="3"/>
        <v>0</v>
      </c>
      <c r="S38" s="38">
        <f t="shared" si="4"/>
        <v>162.31049999999999</v>
      </c>
      <c r="T38" s="39">
        <f t="shared" si="5"/>
        <v>0</v>
      </c>
      <c r="U38" s="47"/>
    </row>
    <row r="39" spans="1:21" x14ac:dyDescent="0.35">
      <c r="A39" s="15">
        <v>0</v>
      </c>
      <c r="B39" s="15" t="s">
        <v>195</v>
      </c>
      <c r="C39" s="15" t="s">
        <v>247</v>
      </c>
      <c r="D39" s="15">
        <v>16</v>
      </c>
      <c r="E39" s="15">
        <v>54.25</v>
      </c>
      <c r="F39" s="15" t="s">
        <v>248</v>
      </c>
      <c r="G39" s="15"/>
      <c r="H39" s="15"/>
      <c r="I39" s="15"/>
      <c r="J39" s="15"/>
      <c r="K39" s="35">
        <f t="shared" si="9"/>
        <v>54.25</v>
      </c>
      <c r="L39" s="35">
        <f t="shared" si="7"/>
        <v>18.987499999999997</v>
      </c>
      <c r="M39" s="36">
        <f t="shared" si="8"/>
        <v>73.237499999999997</v>
      </c>
      <c r="N39" s="15"/>
      <c r="O39" s="15"/>
      <c r="P39" s="15"/>
      <c r="Q39" s="15"/>
      <c r="R39" s="15">
        <f t="shared" si="3"/>
        <v>0</v>
      </c>
      <c r="S39" s="38">
        <f t="shared" si="4"/>
        <v>73.237499999999997</v>
      </c>
      <c r="T39" s="39">
        <f t="shared" si="5"/>
        <v>0</v>
      </c>
      <c r="U39" s="47"/>
    </row>
    <row r="40" spans="1:21" x14ac:dyDescent="0.35">
      <c r="A40" s="15">
        <v>0</v>
      </c>
      <c r="B40" s="15" t="s">
        <v>201</v>
      </c>
      <c r="C40" s="15"/>
      <c r="D40" s="15">
        <v>17</v>
      </c>
      <c r="E40" s="15">
        <v>60.39</v>
      </c>
      <c r="F40" s="15" t="s">
        <v>249</v>
      </c>
      <c r="G40" s="15"/>
      <c r="H40" s="15">
        <v>12.08</v>
      </c>
      <c r="I40" s="15"/>
      <c r="J40" s="15"/>
      <c r="K40" s="35">
        <f t="shared" si="9"/>
        <v>72.47</v>
      </c>
      <c r="L40" s="35">
        <f t="shared" si="7"/>
        <v>25.3645</v>
      </c>
      <c r="M40" s="36">
        <f t="shared" si="8"/>
        <v>97.834499999999991</v>
      </c>
      <c r="N40" s="15"/>
      <c r="O40" s="15"/>
      <c r="P40" s="15"/>
      <c r="Q40" s="15"/>
      <c r="R40" s="15">
        <f t="shared" si="3"/>
        <v>0</v>
      </c>
      <c r="S40" s="38">
        <f t="shared" si="4"/>
        <v>97.834499999999991</v>
      </c>
      <c r="T40" s="39">
        <f t="shared" si="5"/>
        <v>0</v>
      </c>
      <c r="U40" s="47"/>
    </row>
    <row r="41" spans="1:21" x14ac:dyDescent="0.35">
      <c r="A41" s="15">
        <v>0</v>
      </c>
      <c r="B41" s="15" t="s">
        <v>202</v>
      </c>
      <c r="C41" s="15"/>
      <c r="D41" s="15">
        <v>18</v>
      </c>
      <c r="E41" s="15">
        <v>88.71</v>
      </c>
      <c r="F41" s="15" t="s">
        <v>250</v>
      </c>
      <c r="G41" s="15"/>
      <c r="H41" s="15">
        <v>12.08</v>
      </c>
      <c r="I41" s="15"/>
      <c r="J41" s="15"/>
      <c r="K41" s="35">
        <f t="shared" si="9"/>
        <v>100.78999999999999</v>
      </c>
      <c r="L41" s="35">
        <f t="shared" si="7"/>
        <v>35.276499999999992</v>
      </c>
      <c r="M41" s="36">
        <f t="shared" si="8"/>
        <v>136.06649999999999</v>
      </c>
      <c r="N41" s="15"/>
      <c r="O41" s="15"/>
      <c r="P41" s="15"/>
      <c r="Q41" s="15"/>
      <c r="R41" s="15">
        <f t="shared" si="3"/>
        <v>0</v>
      </c>
      <c r="S41" s="38">
        <f t="shared" si="4"/>
        <v>136.06649999999999</v>
      </c>
      <c r="T41" s="39">
        <f t="shared" si="5"/>
        <v>0</v>
      </c>
      <c r="U41" s="47"/>
    </row>
    <row r="42" spans="1:21" x14ac:dyDescent="0.35">
      <c r="A42" s="15">
        <v>0</v>
      </c>
      <c r="B42" s="15" t="s">
        <v>72</v>
      </c>
      <c r="C42" s="15" t="s">
        <v>240</v>
      </c>
      <c r="D42" s="15">
        <v>2</v>
      </c>
      <c r="E42" s="15">
        <v>46.19</v>
      </c>
      <c r="F42" s="15" t="s">
        <v>241</v>
      </c>
      <c r="G42" s="44">
        <v>1013000040</v>
      </c>
      <c r="H42" s="15">
        <v>8.2899999999999991</v>
      </c>
      <c r="I42" s="15" t="s">
        <v>239</v>
      </c>
      <c r="J42" s="15">
        <v>90050056621</v>
      </c>
      <c r="K42" s="35">
        <f t="shared" si="9"/>
        <v>54.48</v>
      </c>
      <c r="L42" s="35">
        <f t="shared" si="7"/>
        <v>19.067999999999998</v>
      </c>
      <c r="M42" s="36">
        <f t="shared" si="8"/>
        <v>73.548000000000002</v>
      </c>
      <c r="N42" s="15"/>
      <c r="O42" s="15"/>
      <c r="P42" s="15"/>
      <c r="Q42" s="15"/>
      <c r="R42" s="15">
        <f t="shared" si="3"/>
        <v>0</v>
      </c>
      <c r="S42" s="38">
        <f t="shared" si="4"/>
        <v>73.548000000000002</v>
      </c>
      <c r="T42" s="39">
        <f t="shared" si="5"/>
        <v>0</v>
      </c>
      <c r="U42" s="47"/>
    </row>
    <row r="43" spans="1:21" x14ac:dyDescent="0.35">
      <c r="A43" s="15">
        <v>0</v>
      </c>
      <c r="B43" s="15" t="s">
        <v>72</v>
      </c>
      <c r="C43" s="15" t="s">
        <v>242</v>
      </c>
      <c r="D43" s="15">
        <v>3</v>
      </c>
      <c r="E43" s="15">
        <v>58.47</v>
      </c>
      <c r="F43" s="15" t="s">
        <v>243</v>
      </c>
      <c r="G43" s="44">
        <v>1013000013</v>
      </c>
      <c r="H43" s="15">
        <v>8.2899999999999991</v>
      </c>
      <c r="I43" s="15" t="s">
        <v>239</v>
      </c>
      <c r="J43" s="15">
        <v>90050056621</v>
      </c>
      <c r="K43" s="35">
        <f t="shared" si="9"/>
        <v>66.759999999999991</v>
      </c>
      <c r="L43" s="35">
        <f t="shared" si="7"/>
        <v>23.365999999999996</v>
      </c>
      <c r="M43" s="36">
        <f t="shared" si="8"/>
        <v>90.125999999999991</v>
      </c>
      <c r="N43" s="15"/>
      <c r="O43" s="15"/>
      <c r="P43" s="15"/>
      <c r="Q43" s="15"/>
      <c r="R43" s="15">
        <f t="shared" si="3"/>
        <v>0</v>
      </c>
      <c r="S43" s="38">
        <f t="shared" si="4"/>
        <v>90.125999999999991</v>
      </c>
      <c r="T43" s="39">
        <f t="shared" si="5"/>
        <v>0</v>
      </c>
      <c r="U43" s="47"/>
    </row>
    <row r="44" spans="1:21" x14ac:dyDescent="0.35">
      <c r="A44" s="15">
        <v>0</v>
      </c>
      <c r="B44" s="15" t="s">
        <v>213</v>
      </c>
      <c r="C44" s="15"/>
      <c r="D44" s="15"/>
      <c r="E44" s="15"/>
      <c r="F44" s="15"/>
      <c r="G44" s="15"/>
      <c r="H44" s="15"/>
      <c r="I44" s="15"/>
      <c r="J44" s="15"/>
      <c r="K44" s="35">
        <f t="shared" si="9"/>
        <v>0</v>
      </c>
      <c r="L44" s="35">
        <f t="shared" si="7"/>
        <v>0</v>
      </c>
      <c r="M44" s="36">
        <f t="shared" si="8"/>
        <v>0</v>
      </c>
      <c r="N44" s="15">
        <v>20</v>
      </c>
      <c r="O44" s="15">
        <v>12</v>
      </c>
      <c r="P44" s="15">
        <v>60</v>
      </c>
      <c r="Q44" s="15"/>
      <c r="R44" s="15">
        <f t="shared" si="3"/>
        <v>92</v>
      </c>
      <c r="S44" s="38">
        <f t="shared" si="4"/>
        <v>92</v>
      </c>
      <c r="T44" s="39">
        <f t="shared" si="5"/>
        <v>0</v>
      </c>
      <c r="U44" s="47"/>
    </row>
    <row r="45" spans="1:21" x14ac:dyDescent="0.35">
      <c r="A45" s="15">
        <v>0</v>
      </c>
      <c r="B45" s="15" t="s">
        <v>209</v>
      </c>
      <c r="C45" s="15"/>
      <c r="D45" s="15"/>
      <c r="E45" s="15"/>
      <c r="F45" s="15"/>
      <c r="G45" s="15"/>
      <c r="H45" s="15"/>
      <c r="I45" s="15"/>
      <c r="J45" s="15"/>
      <c r="K45" s="35">
        <f t="shared" si="9"/>
        <v>0</v>
      </c>
      <c r="L45" s="35">
        <f t="shared" si="7"/>
        <v>0</v>
      </c>
      <c r="M45" s="36">
        <f t="shared" si="8"/>
        <v>0</v>
      </c>
      <c r="N45" s="15"/>
      <c r="O45" s="15"/>
      <c r="P45" s="15"/>
      <c r="Q45" s="15"/>
      <c r="R45" s="15">
        <f t="shared" si="3"/>
        <v>0</v>
      </c>
      <c r="S45" s="38">
        <f t="shared" si="4"/>
        <v>0</v>
      </c>
      <c r="T45" s="39">
        <f t="shared" si="5"/>
        <v>0</v>
      </c>
      <c r="U45" s="47"/>
    </row>
    <row r="46" spans="1:21" x14ac:dyDescent="0.35">
      <c r="A46" s="15">
        <v>0</v>
      </c>
      <c r="B46" s="15" t="s">
        <v>210</v>
      </c>
      <c r="C46" s="15"/>
      <c r="D46" s="15"/>
      <c r="E46" s="15"/>
      <c r="F46" s="15"/>
      <c r="G46" s="15"/>
      <c r="H46" s="15"/>
      <c r="I46" s="15"/>
      <c r="J46" s="15"/>
      <c r="K46" s="35">
        <f t="shared" si="9"/>
        <v>0</v>
      </c>
      <c r="L46" s="35">
        <f t="shared" si="7"/>
        <v>0</v>
      </c>
      <c r="M46" s="36">
        <f t="shared" si="8"/>
        <v>0</v>
      </c>
      <c r="N46" s="15"/>
      <c r="O46" s="15"/>
      <c r="P46" s="15"/>
      <c r="Q46" s="15"/>
      <c r="R46" s="15">
        <f t="shared" si="3"/>
        <v>0</v>
      </c>
      <c r="S46" s="38">
        <f t="shared" si="4"/>
        <v>0</v>
      </c>
      <c r="T46" s="39">
        <f t="shared" si="5"/>
        <v>0</v>
      </c>
      <c r="U46" s="47"/>
    </row>
    <row r="47" spans="1:21" x14ac:dyDescent="0.35">
      <c r="A47" s="15">
        <v>0</v>
      </c>
      <c r="B47" s="15" t="s">
        <v>211</v>
      </c>
      <c r="C47" s="15"/>
      <c r="D47" s="15"/>
      <c r="E47" s="15"/>
      <c r="F47" s="15"/>
      <c r="G47" s="15"/>
      <c r="H47" s="15"/>
      <c r="I47" s="15"/>
      <c r="J47" s="15"/>
      <c r="K47" s="35">
        <f t="shared" si="9"/>
        <v>0</v>
      </c>
      <c r="L47" s="35">
        <f t="shared" si="7"/>
        <v>0</v>
      </c>
      <c r="M47" s="36">
        <f t="shared" si="8"/>
        <v>0</v>
      </c>
      <c r="N47" s="15"/>
      <c r="O47" s="15"/>
      <c r="P47" s="15"/>
      <c r="Q47" s="15"/>
      <c r="R47" s="15">
        <f t="shared" si="3"/>
        <v>0</v>
      </c>
      <c r="S47" s="38">
        <f t="shared" si="4"/>
        <v>0</v>
      </c>
      <c r="T47" s="39">
        <f t="shared" si="5"/>
        <v>0</v>
      </c>
      <c r="U47" s="47"/>
    </row>
    <row r="48" spans="1:21" x14ac:dyDescent="0.35">
      <c r="A48" s="15">
        <v>0</v>
      </c>
      <c r="B48" s="15" t="s">
        <v>212</v>
      </c>
      <c r="C48" s="15"/>
      <c r="D48" s="15"/>
      <c r="E48" s="15"/>
      <c r="F48" s="15"/>
      <c r="G48" s="15"/>
      <c r="H48" s="15"/>
      <c r="I48" s="15"/>
      <c r="J48" s="15"/>
      <c r="K48" s="35">
        <f t="shared" si="9"/>
        <v>0</v>
      </c>
      <c r="L48" s="35">
        <f t="shared" si="7"/>
        <v>0</v>
      </c>
      <c r="M48" s="36">
        <f t="shared" si="8"/>
        <v>0</v>
      </c>
      <c r="N48" s="15"/>
      <c r="O48" s="15"/>
      <c r="P48" s="15"/>
      <c r="Q48" s="15"/>
      <c r="R48" s="15">
        <f t="shared" si="3"/>
        <v>0</v>
      </c>
      <c r="S48" s="38">
        <f t="shared" si="4"/>
        <v>0</v>
      </c>
      <c r="T48" s="39">
        <f t="shared" si="5"/>
        <v>0</v>
      </c>
      <c r="U48" s="47"/>
    </row>
    <row r="49" spans="1:21" x14ac:dyDescent="0.35">
      <c r="A49" s="15">
        <v>0</v>
      </c>
      <c r="B49" s="15" t="s">
        <v>71</v>
      </c>
      <c r="C49" s="15"/>
      <c r="D49" s="15"/>
      <c r="E49" s="15">
        <v>52</v>
      </c>
      <c r="F49" s="15"/>
      <c r="G49" s="15"/>
      <c r="H49" s="15">
        <v>20</v>
      </c>
      <c r="I49" s="15"/>
      <c r="J49" s="15"/>
      <c r="K49" s="35">
        <f t="shared" si="9"/>
        <v>72</v>
      </c>
      <c r="L49" s="35">
        <f t="shared" si="7"/>
        <v>25.2</v>
      </c>
      <c r="M49" s="36">
        <f t="shared" si="8"/>
        <v>97.2</v>
      </c>
      <c r="N49" s="15"/>
      <c r="O49" s="15"/>
      <c r="P49" s="15"/>
      <c r="Q49" s="15"/>
      <c r="R49" s="15">
        <f t="shared" si="3"/>
        <v>0</v>
      </c>
      <c r="S49" s="38">
        <f t="shared" si="4"/>
        <v>97.2</v>
      </c>
      <c r="T49" s="39">
        <f t="shared" si="5"/>
        <v>0</v>
      </c>
      <c r="U49" s="47"/>
    </row>
    <row r="50" spans="1:21" x14ac:dyDescent="0.35">
      <c r="A50" s="15">
        <v>0</v>
      </c>
      <c r="B50" s="15" t="s">
        <v>214</v>
      </c>
      <c r="C50" s="15"/>
      <c r="D50" s="15"/>
      <c r="E50" s="15">
        <v>4.99</v>
      </c>
      <c r="F50" s="15"/>
      <c r="G50" s="15"/>
      <c r="H50" s="15"/>
      <c r="I50" s="15"/>
      <c r="J50" s="15"/>
      <c r="K50" s="35">
        <f t="shared" si="9"/>
        <v>4.99</v>
      </c>
      <c r="L50" s="35">
        <f t="shared" si="7"/>
        <v>1.7464999999999999</v>
      </c>
      <c r="M50" s="36">
        <f t="shared" si="8"/>
        <v>6.7365000000000004</v>
      </c>
      <c r="N50" s="15"/>
      <c r="O50" s="15"/>
      <c r="P50" s="15"/>
      <c r="Q50" s="15"/>
      <c r="R50" s="15">
        <f t="shared" si="3"/>
        <v>0</v>
      </c>
      <c r="S50" s="38">
        <f t="shared" si="4"/>
        <v>6.7365000000000004</v>
      </c>
      <c r="T50" s="39">
        <f t="shared" si="5"/>
        <v>0</v>
      </c>
      <c r="U50" s="47"/>
    </row>
    <row r="51" spans="1:21" x14ac:dyDescent="0.35">
      <c r="A51" s="15">
        <v>0</v>
      </c>
      <c r="B51" s="15" t="s">
        <v>158</v>
      </c>
      <c r="C51" s="15"/>
      <c r="D51" s="15"/>
      <c r="E51" s="15"/>
      <c r="F51" s="15"/>
      <c r="G51" s="15"/>
      <c r="H51" s="15"/>
      <c r="I51" s="15"/>
      <c r="J51" s="15"/>
      <c r="K51" s="35">
        <f t="shared" si="9"/>
        <v>0</v>
      </c>
      <c r="L51" s="35">
        <f t="shared" si="7"/>
        <v>0</v>
      </c>
      <c r="M51" s="36">
        <f t="shared" si="8"/>
        <v>0</v>
      </c>
      <c r="N51" s="15"/>
      <c r="O51" s="15"/>
      <c r="P51" s="15"/>
      <c r="Q51" s="15"/>
      <c r="R51" s="15">
        <f t="shared" si="3"/>
        <v>0</v>
      </c>
      <c r="S51" s="38">
        <f t="shared" si="4"/>
        <v>0</v>
      </c>
      <c r="T51" s="39">
        <f t="shared" si="5"/>
        <v>0</v>
      </c>
      <c r="U51" s="47"/>
    </row>
    <row r="52" spans="1:21" x14ac:dyDescent="0.35">
      <c r="A52" s="15">
        <v>0</v>
      </c>
      <c r="B52" s="15" t="s">
        <v>215</v>
      </c>
      <c r="C52" s="15"/>
      <c r="D52" s="15"/>
      <c r="E52" s="37">
        <v>55.74</v>
      </c>
      <c r="F52" s="37"/>
      <c r="G52" s="37"/>
      <c r="H52" s="37">
        <v>8.61</v>
      </c>
      <c r="I52" s="37"/>
      <c r="J52" s="37"/>
      <c r="K52" s="35">
        <f t="shared" si="9"/>
        <v>64.349999999999994</v>
      </c>
      <c r="L52" s="35">
        <f t="shared" si="7"/>
        <v>22.522499999999997</v>
      </c>
      <c r="M52" s="36">
        <f t="shared" si="8"/>
        <v>86.872499999999988</v>
      </c>
      <c r="N52" s="15"/>
      <c r="O52" s="15"/>
      <c r="P52" s="15"/>
      <c r="Q52" s="15"/>
      <c r="R52" s="15">
        <f t="shared" si="3"/>
        <v>0</v>
      </c>
      <c r="S52" s="38">
        <f t="shared" si="4"/>
        <v>86.872499999999988</v>
      </c>
      <c r="T52" s="39">
        <f t="shared" si="5"/>
        <v>0</v>
      </c>
      <c r="U52" s="47"/>
    </row>
    <row r="53" spans="1:21" x14ac:dyDescent="0.35">
      <c r="A53" s="15">
        <v>0</v>
      </c>
      <c r="B53" s="15" t="s">
        <v>216</v>
      </c>
      <c r="C53" s="15"/>
      <c r="D53" s="15"/>
      <c r="E53" s="15">
        <v>55.74</v>
      </c>
      <c r="F53" s="15"/>
      <c r="G53" s="15"/>
      <c r="H53" s="15">
        <v>8.61</v>
      </c>
      <c r="I53" s="15"/>
      <c r="J53" s="15"/>
      <c r="K53" s="35">
        <f t="shared" si="9"/>
        <v>64.349999999999994</v>
      </c>
      <c r="L53" s="35">
        <f t="shared" si="7"/>
        <v>22.522499999999997</v>
      </c>
      <c r="M53" s="36">
        <f t="shared" si="8"/>
        <v>86.872499999999988</v>
      </c>
      <c r="N53" s="15"/>
      <c r="O53" s="15"/>
      <c r="P53" s="15"/>
      <c r="Q53" s="15"/>
      <c r="R53" s="15">
        <f t="shared" si="3"/>
        <v>0</v>
      </c>
      <c r="S53" s="38">
        <f t="shared" si="4"/>
        <v>86.872499999999988</v>
      </c>
      <c r="T53" s="39">
        <f t="shared" si="5"/>
        <v>0</v>
      </c>
      <c r="U53" s="47"/>
    </row>
    <row r="54" spans="1:21" x14ac:dyDescent="0.35">
      <c r="A54" s="15">
        <v>0</v>
      </c>
      <c r="B54" s="15" t="s">
        <v>217</v>
      </c>
      <c r="C54" s="15"/>
      <c r="D54" s="15"/>
      <c r="E54" s="15"/>
      <c r="F54" s="15"/>
      <c r="G54" s="15"/>
      <c r="H54" s="15"/>
      <c r="I54" s="15"/>
      <c r="J54" s="15"/>
      <c r="K54" s="35">
        <f t="shared" si="9"/>
        <v>0</v>
      </c>
      <c r="L54" s="35">
        <f t="shared" si="7"/>
        <v>0</v>
      </c>
      <c r="M54" s="36">
        <f t="shared" si="8"/>
        <v>0</v>
      </c>
      <c r="N54" s="15"/>
      <c r="O54" s="15"/>
      <c r="P54" s="15"/>
      <c r="Q54" s="15"/>
      <c r="R54" s="15">
        <f t="shared" si="3"/>
        <v>0</v>
      </c>
      <c r="S54" s="38">
        <f t="shared" si="4"/>
        <v>0</v>
      </c>
      <c r="T54" s="39">
        <f t="shared" si="5"/>
        <v>0</v>
      </c>
      <c r="U54" s="47"/>
    </row>
    <row r="55" spans="1:21" x14ac:dyDescent="0.35">
      <c r="A55" s="15">
        <v>0</v>
      </c>
      <c r="B55" s="15" t="s">
        <v>218</v>
      </c>
      <c r="C55" s="15"/>
      <c r="D55" s="15"/>
      <c r="E55" s="37">
        <v>55.83</v>
      </c>
      <c r="F55" s="15"/>
      <c r="G55" s="15"/>
      <c r="H55" s="15">
        <v>9.1300000000000008</v>
      </c>
      <c r="I55" s="15"/>
      <c r="J55" s="15"/>
      <c r="K55" s="35">
        <f t="shared" si="9"/>
        <v>64.959999999999994</v>
      </c>
      <c r="L55" s="35">
        <f t="shared" si="7"/>
        <v>22.735999999999997</v>
      </c>
      <c r="M55" s="36">
        <f t="shared" si="8"/>
        <v>87.695999999999998</v>
      </c>
      <c r="N55" s="15"/>
      <c r="O55" s="15"/>
      <c r="P55" s="15"/>
      <c r="Q55" s="15"/>
      <c r="R55" s="15">
        <f t="shared" si="3"/>
        <v>0</v>
      </c>
      <c r="S55" s="38">
        <f t="shared" si="4"/>
        <v>87.695999999999998</v>
      </c>
      <c r="T55" s="39">
        <f t="shared" si="5"/>
        <v>0</v>
      </c>
      <c r="U55" s="47"/>
    </row>
    <row r="56" spans="1:21" x14ac:dyDescent="0.35">
      <c r="A56" s="15">
        <v>0</v>
      </c>
      <c r="B56" s="15" t="s">
        <v>219</v>
      </c>
      <c r="C56" s="15"/>
      <c r="D56" s="15"/>
      <c r="E56" s="15"/>
      <c r="F56" s="15"/>
      <c r="G56" s="15"/>
      <c r="H56" s="15"/>
      <c r="I56" s="15"/>
      <c r="J56" s="15"/>
      <c r="K56" s="35">
        <f t="shared" si="9"/>
        <v>0</v>
      </c>
      <c r="L56" s="35">
        <f t="shared" si="7"/>
        <v>0</v>
      </c>
      <c r="M56" s="36">
        <f t="shared" si="8"/>
        <v>0</v>
      </c>
      <c r="N56" s="15"/>
      <c r="O56" s="15"/>
      <c r="P56" s="15"/>
      <c r="Q56" s="15"/>
      <c r="R56" s="15">
        <f t="shared" si="3"/>
        <v>0</v>
      </c>
      <c r="S56" s="38">
        <f t="shared" si="4"/>
        <v>0</v>
      </c>
      <c r="T56" s="39">
        <f t="shared" si="5"/>
        <v>0</v>
      </c>
      <c r="U56" s="47"/>
    </row>
    <row r="57" spans="1:21" x14ac:dyDescent="0.35">
      <c r="A57" s="15">
        <v>0</v>
      </c>
      <c r="B57" s="15" t="s">
        <v>220</v>
      </c>
      <c r="C57" s="15"/>
      <c r="D57" s="15"/>
      <c r="E57" s="15">
        <v>55.83</v>
      </c>
      <c r="F57" s="15"/>
      <c r="G57" s="15"/>
      <c r="H57" s="15">
        <v>9.1300000000000008</v>
      </c>
      <c r="I57" s="15"/>
      <c r="J57" s="15"/>
      <c r="K57" s="35">
        <f t="shared" si="9"/>
        <v>64.959999999999994</v>
      </c>
      <c r="L57" s="35">
        <f t="shared" si="7"/>
        <v>22.735999999999997</v>
      </c>
      <c r="M57" s="36">
        <f t="shared" si="8"/>
        <v>87.695999999999998</v>
      </c>
      <c r="N57" s="15"/>
      <c r="O57" s="15"/>
      <c r="P57" s="15"/>
      <c r="Q57" s="15"/>
      <c r="R57" s="15">
        <f t="shared" si="3"/>
        <v>0</v>
      </c>
      <c r="S57" s="38">
        <f t="shared" si="4"/>
        <v>87.695999999999998</v>
      </c>
      <c r="T57" s="39">
        <f t="shared" si="5"/>
        <v>0</v>
      </c>
      <c r="U57" s="47"/>
    </row>
    <row r="58" spans="1:21" x14ac:dyDescent="0.35">
      <c r="A58" s="15">
        <v>0</v>
      </c>
      <c r="B58" s="15" t="s">
        <v>221</v>
      </c>
      <c r="C58" s="15"/>
      <c r="D58" s="15"/>
      <c r="E58" s="15">
        <v>9.36</v>
      </c>
      <c r="F58" s="15"/>
      <c r="G58" s="15"/>
      <c r="H58" s="15"/>
      <c r="I58" s="15"/>
      <c r="J58" s="15"/>
      <c r="K58" s="35">
        <f t="shared" si="9"/>
        <v>9.36</v>
      </c>
      <c r="L58" s="35">
        <f t="shared" si="7"/>
        <v>3.2759999999999998</v>
      </c>
      <c r="M58" s="36">
        <f t="shared" si="8"/>
        <v>12.635999999999999</v>
      </c>
      <c r="N58" s="15"/>
      <c r="O58" s="15"/>
      <c r="P58" s="15"/>
      <c r="Q58" s="15"/>
      <c r="R58" s="15">
        <f t="shared" si="3"/>
        <v>0</v>
      </c>
      <c r="S58" s="38">
        <f t="shared" si="4"/>
        <v>12.635999999999999</v>
      </c>
      <c r="T58" s="39">
        <f t="shared" si="5"/>
        <v>0</v>
      </c>
      <c r="U58" s="47"/>
    </row>
    <row r="59" spans="1:21" x14ac:dyDescent="0.35">
      <c r="A59" s="15">
        <v>0</v>
      </c>
      <c r="B59" s="15" t="s">
        <v>223</v>
      </c>
      <c r="C59" s="15"/>
      <c r="D59" s="15"/>
      <c r="E59" s="15"/>
      <c r="F59" s="15"/>
      <c r="G59" s="15"/>
      <c r="H59" s="15"/>
      <c r="I59" s="15"/>
      <c r="J59" s="15"/>
      <c r="K59" s="35">
        <f t="shared" si="9"/>
        <v>0</v>
      </c>
      <c r="L59" s="35">
        <f t="shared" si="7"/>
        <v>0</v>
      </c>
      <c r="M59" s="36">
        <f t="shared" si="8"/>
        <v>0</v>
      </c>
      <c r="N59" s="15"/>
      <c r="O59" s="15"/>
      <c r="P59" s="15"/>
      <c r="Q59" s="15"/>
      <c r="R59" s="15">
        <f t="shared" si="3"/>
        <v>0</v>
      </c>
      <c r="S59" s="38">
        <f t="shared" si="4"/>
        <v>0</v>
      </c>
      <c r="T59" s="39">
        <f t="shared" si="5"/>
        <v>0</v>
      </c>
      <c r="U59" s="47"/>
    </row>
    <row r="60" spans="1:21" x14ac:dyDescent="0.35">
      <c r="A60" s="15">
        <v>0</v>
      </c>
      <c r="B60" s="15" t="s">
        <v>224</v>
      </c>
      <c r="C60" s="15"/>
      <c r="D60" s="15"/>
      <c r="E60" s="15"/>
      <c r="F60" s="15"/>
      <c r="G60" s="15"/>
      <c r="H60" s="15"/>
      <c r="I60" s="15"/>
      <c r="J60" s="15"/>
      <c r="K60" s="35">
        <f t="shared" si="9"/>
        <v>0</v>
      </c>
      <c r="L60" s="35">
        <f t="shared" si="7"/>
        <v>0</v>
      </c>
      <c r="M60" s="36">
        <f t="shared" si="8"/>
        <v>0</v>
      </c>
      <c r="N60" s="15"/>
      <c r="O60" s="15"/>
      <c r="P60" s="15"/>
      <c r="Q60" s="15"/>
      <c r="R60" s="15">
        <f t="shared" si="3"/>
        <v>0</v>
      </c>
      <c r="S60" s="38">
        <f t="shared" si="4"/>
        <v>0</v>
      </c>
      <c r="T60" s="39">
        <f t="shared" si="5"/>
        <v>0</v>
      </c>
      <c r="U60" s="47"/>
    </row>
    <row r="61" spans="1:21" x14ac:dyDescent="0.35">
      <c r="A61" s="15">
        <v>0</v>
      </c>
      <c r="B61" s="15" t="s">
        <v>225</v>
      </c>
      <c r="C61" s="15"/>
      <c r="D61" s="15"/>
      <c r="E61" s="15"/>
      <c r="F61" s="15"/>
      <c r="G61" s="15"/>
      <c r="H61" s="15"/>
      <c r="I61" s="15"/>
      <c r="J61" s="15"/>
      <c r="K61" s="35">
        <f t="shared" si="9"/>
        <v>0</v>
      </c>
      <c r="L61" s="35">
        <f t="shared" si="7"/>
        <v>0</v>
      </c>
      <c r="M61" s="36">
        <f t="shared" si="8"/>
        <v>0</v>
      </c>
      <c r="N61" s="15">
        <v>15</v>
      </c>
      <c r="O61" s="15">
        <v>6</v>
      </c>
      <c r="P61" s="15"/>
      <c r="Q61" s="15"/>
      <c r="R61" s="15">
        <f t="shared" si="3"/>
        <v>21</v>
      </c>
      <c r="S61" s="38">
        <f t="shared" si="4"/>
        <v>21</v>
      </c>
      <c r="T61" s="39">
        <f t="shared" si="5"/>
        <v>0</v>
      </c>
      <c r="U61" s="47"/>
    </row>
    <row r="62" spans="1:21" x14ac:dyDescent="0.35">
      <c r="A62" s="15">
        <v>0</v>
      </c>
      <c r="B62" s="15" t="s">
        <v>227</v>
      </c>
      <c r="C62" s="15"/>
      <c r="D62" s="15"/>
      <c r="E62" s="15"/>
      <c r="F62" s="15"/>
      <c r="G62" s="15"/>
      <c r="H62" s="15"/>
      <c r="I62" s="15"/>
      <c r="J62" s="15"/>
      <c r="K62" s="35">
        <f t="shared" si="9"/>
        <v>0</v>
      </c>
      <c r="L62" s="35">
        <f t="shared" si="7"/>
        <v>0</v>
      </c>
      <c r="M62" s="36">
        <f t="shared" si="8"/>
        <v>0</v>
      </c>
      <c r="N62" s="15">
        <v>10</v>
      </c>
      <c r="O62" s="15">
        <v>6</v>
      </c>
      <c r="P62" s="15"/>
      <c r="Q62" s="15"/>
      <c r="R62" s="15">
        <f t="shared" si="3"/>
        <v>16</v>
      </c>
      <c r="S62" s="38">
        <f t="shared" si="4"/>
        <v>16</v>
      </c>
      <c r="T62" s="39">
        <f t="shared" si="5"/>
        <v>0</v>
      </c>
      <c r="U62" s="47"/>
    </row>
    <row r="63" spans="1:21" x14ac:dyDescent="0.35">
      <c r="A63" s="15">
        <v>0</v>
      </c>
      <c r="B63" s="15" t="s">
        <v>66</v>
      </c>
      <c r="C63" s="15"/>
      <c r="D63" s="15"/>
      <c r="E63" s="15">
        <v>62</v>
      </c>
      <c r="F63" s="15"/>
      <c r="G63" s="15"/>
      <c r="H63" s="15">
        <v>5</v>
      </c>
      <c r="I63" s="15"/>
      <c r="J63" s="15"/>
      <c r="K63" s="35">
        <f t="shared" si="9"/>
        <v>67</v>
      </c>
      <c r="L63" s="35">
        <f t="shared" si="7"/>
        <v>23.45</v>
      </c>
      <c r="M63" s="36">
        <f t="shared" si="8"/>
        <v>90.45</v>
      </c>
      <c r="N63" s="15">
        <v>10</v>
      </c>
      <c r="O63" s="15">
        <v>6</v>
      </c>
      <c r="P63" s="15"/>
      <c r="Q63" s="15"/>
      <c r="R63" s="15">
        <f t="shared" si="3"/>
        <v>16</v>
      </c>
      <c r="S63" s="38">
        <f t="shared" si="4"/>
        <v>106.45</v>
      </c>
      <c r="T63" s="39">
        <f t="shared" si="5"/>
        <v>0</v>
      </c>
      <c r="U63" s="47"/>
    </row>
    <row r="64" spans="1:21" x14ac:dyDescent="0.35">
      <c r="A64" s="15">
        <v>0</v>
      </c>
      <c r="B64" s="15" t="s">
        <v>228</v>
      </c>
      <c r="C64" s="15"/>
      <c r="D64" s="15"/>
      <c r="E64" s="15"/>
      <c r="F64" s="15"/>
      <c r="G64" s="15"/>
      <c r="H64" s="15"/>
      <c r="I64" s="15"/>
      <c r="J64" s="15"/>
      <c r="K64" s="35">
        <f t="shared" si="9"/>
        <v>0</v>
      </c>
      <c r="L64" s="35">
        <f t="shared" si="7"/>
        <v>0</v>
      </c>
      <c r="M64" s="36">
        <f t="shared" si="8"/>
        <v>0</v>
      </c>
      <c r="N64" s="15"/>
      <c r="O64" s="15">
        <v>12</v>
      </c>
      <c r="P64" s="15"/>
      <c r="Q64" s="15"/>
      <c r="R64" s="15">
        <f t="shared" si="3"/>
        <v>12</v>
      </c>
      <c r="S64" s="38">
        <f t="shared" si="4"/>
        <v>12</v>
      </c>
      <c r="T64" s="39">
        <f t="shared" si="5"/>
        <v>0</v>
      </c>
      <c r="U64" s="47"/>
    </row>
    <row r="65" spans="1:21" x14ac:dyDescent="0.35">
      <c r="A65" s="15">
        <v>0</v>
      </c>
      <c r="B65" s="15" t="s">
        <v>229</v>
      </c>
      <c r="C65" s="15"/>
      <c r="D65" s="15"/>
      <c r="E65" s="15"/>
      <c r="F65" s="15"/>
      <c r="G65" s="15"/>
      <c r="H65" s="15"/>
      <c r="I65" s="15"/>
      <c r="J65" s="15"/>
      <c r="K65" s="35">
        <f t="shared" si="9"/>
        <v>0</v>
      </c>
      <c r="L65" s="35">
        <f t="shared" si="7"/>
        <v>0</v>
      </c>
      <c r="M65" s="36">
        <f t="shared" si="8"/>
        <v>0</v>
      </c>
      <c r="N65" s="15">
        <v>10</v>
      </c>
      <c r="O65" s="15">
        <v>6</v>
      </c>
      <c r="P65" s="15"/>
      <c r="Q65" s="15"/>
      <c r="R65" s="15">
        <f t="shared" si="3"/>
        <v>16</v>
      </c>
      <c r="S65" s="38">
        <f t="shared" si="4"/>
        <v>16</v>
      </c>
      <c r="T65" s="39">
        <f t="shared" si="5"/>
        <v>0</v>
      </c>
      <c r="U65" s="47"/>
    </row>
    <row r="66" spans="1:21" x14ac:dyDescent="0.35">
      <c r="A66" s="15">
        <v>0</v>
      </c>
      <c r="B66" s="15" t="s">
        <v>206</v>
      </c>
      <c r="C66" s="15"/>
      <c r="D66" s="15"/>
      <c r="E66" s="15"/>
      <c r="F66" s="15"/>
      <c r="G66" s="15"/>
      <c r="H66" s="15"/>
      <c r="I66" s="15"/>
      <c r="J66" s="15"/>
      <c r="K66" s="35">
        <f t="shared" si="9"/>
        <v>0</v>
      </c>
      <c r="L66" s="35">
        <f t="shared" si="7"/>
        <v>0</v>
      </c>
      <c r="M66" s="36">
        <f t="shared" si="8"/>
        <v>0</v>
      </c>
      <c r="N66" s="15">
        <v>10</v>
      </c>
      <c r="O66" s="15">
        <v>6</v>
      </c>
      <c r="P66" s="15"/>
      <c r="Q66" s="15"/>
      <c r="R66" s="15">
        <f t="shared" si="3"/>
        <v>16</v>
      </c>
      <c r="S66" s="38">
        <f t="shared" si="4"/>
        <v>16</v>
      </c>
      <c r="T66" s="39">
        <f t="shared" si="5"/>
        <v>0</v>
      </c>
      <c r="U66" s="47"/>
    </row>
    <row r="67" spans="1:21" x14ac:dyDescent="0.35">
      <c r="A67" s="15">
        <v>0</v>
      </c>
      <c r="B67" s="15" t="s">
        <v>198</v>
      </c>
      <c r="C67" s="15"/>
      <c r="D67" s="15"/>
      <c r="E67" s="15"/>
      <c r="F67" s="15"/>
      <c r="G67" s="15"/>
      <c r="H67" s="15"/>
      <c r="I67" s="15"/>
      <c r="J67" s="15"/>
      <c r="K67" s="35">
        <f t="shared" si="9"/>
        <v>0</v>
      </c>
      <c r="L67" s="35">
        <f t="shared" si="7"/>
        <v>0</v>
      </c>
      <c r="M67" s="36">
        <f t="shared" si="8"/>
        <v>0</v>
      </c>
      <c r="N67" s="15">
        <v>15</v>
      </c>
      <c r="O67" s="15">
        <v>6</v>
      </c>
      <c r="P67" s="15"/>
      <c r="Q67" s="15"/>
      <c r="R67" s="15">
        <f t="shared" si="3"/>
        <v>21</v>
      </c>
      <c r="S67" s="38">
        <f t="shared" si="4"/>
        <v>21</v>
      </c>
      <c r="T67" s="39">
        <f t="shared" si="5"/>
        <v>0</v>
      </c>
      <c r="U67" s="47"/>
    </row>
    <row r="68" spans="1:21" x14ac:dyDescent="0.35">
      <c r="A68" s="15">
        <v>0</v>
      </c>
      <c r="B68" s="15" t="s">
        <v>193</v>
      </c>
      <c r="C68" s="15"/>
      <c r="D68" s="15"/>
      <c r="E68" s="15"/>
      <c r="F68" s="15"/>
      <c r="G68" s="15"/>
      <c r="H68" s="15"/>
      <c r="I68" s="15"/>
      <c r="J68" s="15"/>
      <c r="K68" s="35">
        <f t="shared" si="9"/>
        <v>0</v>
      </c>
      <c r="L68" s="35">
        <f t="shared" si="7"/>
        <v>0</v>
      </c>
      <c r="M68" s="36">
        <f t="shared" si="8"/>
        <v>0</v>
      </c>
      <c r="N68" s="15">
        <v>10</v>
      </c>
      <c r="O68" s="15">
        <v>6</v>
      </c>
      <c r="P68" s="15"/>
      <c r="Q68" s="15"/>
      <c r="R68" s="15">
        <f t="shared" si="3"/>
        <v>16</v>
      </c>
      <c r="S68" s="38">
        <f t="shared" si="4"/>
        <v>16</v>
      </c>
      <c r="T68" s="39">
        <f t="shared" si="5"/>
        <v>0</v>
      </c>
      <c r="U68" s="47"/>
    </row>
    <row r="69" spans="1:21" x14ac:dyDescent="0.35">
      <c r="A69" s="15">
        <v>0</v>
      </c>
      <c r="B69" s="15" t="s">
        <v>74</v>
      </c>
      <c r="C69" s="15"/>
      <c r="D69" s="15"/>
      <c r="E69" s="15"/>
      <c r="F69" s="15"/>
      <c r="G69" s="15"/>
      <c r="H69" s="15"/>
      <c r="I69" s="15"/>
      <c r="J69" s="15"/>
      <c r="K69" s="35">
        <f t="shared" si="9"/>
        <v>0</v>
      </c>
      <c r="L69" s="35">
        <f t="shared" si="7"/>
        <v>0</v>
      </c>
      <c r="M69" s="36">
        <f t="shared" si="8"/>
        <v>0</v>
      </c>
      <c r="N69" s="15">
        <v>10</v>
      </c>
      <c r="O69" s="15">
        <v>6</v>
      </c>
      <c r="P69" s="15"/>
      <c r="Q69" s="15"/>
      <c r="R69" s="15">
        <f t="shared" si="3"/>
        <v>16</v>
      </c>
      <c r="S69" s="38">
        <f t="shared" si="4"/>
        <v>16</v>
      </c>
      <c r="T69" s="39">
        <f t="shared" si="5"/>
        <v>0</v>
      </c>
      <c r="U69" s="47"/>
    </row>
    <row r="70" spans="1:21" x14ac:dyDescent="0.35">
      <c r="A70" s="15">
        <v>0</v>
      </c>
      <c r="B70" s="15" t="s">
        <v>82</v>
      </c>
      <c r="C70" s="15"/>
      <c r="D70" s="15"/>
      <c r="E70" s="15"/>
      <c r="F70" s="15"/>
      <c r="G70" s="15"/>
      <c r="H70" s="15"/>
      <c r="I70" s="15"/>
      <c r="J70" s="15"/>
      <c r="K70" s="35">
        <f t="shared" si="9"/>
        <v>0</v>
      </c>
      <c r="L70" s="35">
        <f t="shared" si="7"/>
        <v>0</v>
      </c>
      <c r="M70" s="36">
        <f t="shared" si="8"/>
        <v>0</v>
      </c>
      <c r="N70" s="15">
        <v>15</v>
      </c>
      <c r="O70" s="15">
        <v>6</v>
      </c>
      <c r="P70" s="15"/>
      <c r="Q70" s="15"/>
      <c r="R70" s="15">
        <f t="shared" si="3"/>
        <v>21</v>
      </c>
      <c r="S70" s="38">
        <f t="shared" si="4"/>
        <v>21</v>
      </c>
      <c r="T70" s="39">
        <f t="shared" si="5"/>
        <v>0</v>
      </c>
      <c r="U70" s="47"/>
    </row>
    <row r="71" spans="1:21" x14ac:dyDescent="0.35">
      <c r="A71" s="15">
        <v>0</v>
      </c>
      <c r="B71" s="15" t="s">
        <v>75</v>
      </c>
      <c r="C71" s="15"/>
      <c r="D71" s="15"/>
      <c r="E71" s="15"/>
      <c r="F71" s="15"/>
      <c r="G71" s="15"/>
      <c r="H71" s="15"/>
      <c r="I71" s="15"/>
      <c r="J71" s="15"/>
      <c r="K71" s="35">
        <f t="shared" si="9"/>
        <v>0</v>
      </c>
      <c r="L71" s="35">
        <f t="shared" si="7"/>
        <v>0</v>
      </c>
      <c r="M71" s="36">
        <f t="shared" si="8"/>
        <v>0</v>
      </c>
      <c r="N71" s="15">
        <v>10</v>
      </c>
      <c r="O71" s="15">
        <v>6</v>
      </c>
      <c r="P71" s="15"/>
      <c r="Q71" s="15"/>
      <c r="R71" s="15">
        <f t="shared" si="3"/>
        <v>16</v>
      </c>
      <c r="S71" s="38">
        <f t="shared" si="4"/>
        <v>16</v>
      </c>
      <c r="T71" s="39">
        <f t="shared" si="5"/>
        <v>0</v>
      </c>
      <c r="U71" s="47"/>
    </row>
    <row r="72" spans="1:21" x14ac:dyDescent="0.35">
      <c r="A72" s="15">
        <v>0</v>
      </c>
      <c r="B72" s="15" t="s">
        <v>77</v>
      </c>
      <c r="C72" s="15"/>
      <c r="D72" s="15"/>
      <c r="E72" s="15">
        <v>19</v>
      </c>
      <c r="F72" s="15"/>
      <c r="G72" s="15"/>
      <c r="H72" s="15">
        <v>8.5</v>
      </c>
      <c r="I72" s="15"/>
      <c r="J72" s="15"/>
      <c r="K72" s="35">
        <f t="shared" si="9"/>
        <v>27.5</v>
      </c>
      <c r="L72" s="35">
        <f t="shared" si="7"/>
        <v>9.625</v>
      </c>
      <c r="M72" s="36">
        <f t="shared" si="8"/>
        <v>37.125</v>
      </c>
      <c r="N72" s="15">
        <v>20</v>
      </c>
      <c r="O72" s="15">
        <v>6</v>
      </c>
      <c r="P72" s="15"/>
      <c r="Q72" s="15">
        <v>75</v>
      </c>
      <c r="R72" s="15">
        <f t="shared" si="3"/>
        <v>101</v>
      </c>
      <c r="S72" s="38">
        <f t="shared" si="4"/>
        <v>138.125</v>
      </c>
      <c r="T72" s="39">
        <f t="shared" si="5"/>
        <v>0</v>
      </c>
      <c r="U72" s="47"/>
    </row>
    <row r="73" spans="1:21" x14ac:dyDescent="0.35">
      <c r="A73" s="15">
        <v>0</v>
      </c>
      <c r="B73" s="15" t="s">
        <v>73</v>
      </c>
      <c r="C73" s="15"/>
      <c r="D73" s="15"/>
      <c r="E73" s="15">
        <v>40</v>
      </c>
      <c r="F73" s="15"/>
      <c r="G73" s="15"/>
      <c r="H73" s="15">
        <v>10</v>
      </c>
      <c r="I73" s="15"/>
      <c r="J73" s="15"/>
      <c r="K73" s="35">
        <f t="shared" si="9"/>
        <v>50</v>
      </c>
      <c r="L73" s="35">
        <f t="shared" si="7"/>
        <v>17.5</v>
      </c>
      <c r="M73" s="36">
        <f t="shared" si="8"/>
        <v>67.5</v>
      </c>
      <c r="N73" s="15">
        <v>20</v>
      </c>
      <c r="O73" s="15">
        <v>6</v>
      </c>
      <c r="P73" s="15"/>
      <c r="Q73" s="15">
        <v>75</v>
      </c>
      <c r="R73" s="15">
        <f t="shared" si="3"/>
        <v>101</v>
      </c>
      <c r="S73" s="38">
        <f t="shared" si="4"/>
        <v>168.5</v>
      </c>
      <c r="T73" s="39">
        <f t="shared" si="5"/>
        <v>0</v>
      </c>
      <c r="U73" s="47"/>
    </row>
    <row r="74" spans="1:21" x14ac:dyDescent="0.35">
      <c r="A74" s="15">
        <v>0</v>
      </c>
      <c r="B74" s="15" t="s">
        <v>96</v>
      </c>
      <c r="C74" s="15"/>
      <c r="D74" s="15"/>
      <c r="E74" s="15"/>
      <c r="F74" s="15"/>
      <c r="G74" s="15"/>
      <c r="H74" s="15"/>
      <c r="I74" s="15"/>
      <c r="J74" s="15"/>
      <c r="K74" s="35">
        <f t="shared" si="9"/>
        <v>0</v>
      </c>
      <c r="L74" s="35">
        <f t="shared" si="7"/>
        <v>0</v>
      </c>
      <c r="M74" s="36">
        <f t="shared" si="8"/>
        <v>0</v>
      </c>
      <c r="N74" s="15">
        <v>10</v>
      </c>
      <c r="O74" s="15">
        <v>6</v>
      </c>
      <c r="P74" s="15"/>
      <c r="Q74" s="15"/>
      <c r="R74" s="15">
        <f t="shared" si="3"/>
        <v>16</v>
      </c>
      <c r="S74" s="38">
        <f t="shared" si="4"/>
        <v>16</v>
      </c>
      <c r="T74" s="39">
        <f t="shared" si="5"/>
        <v>0</v>
      </c>
      <c r="U74" s="47"/>
    </row>
    <row r="75" spans="1:21" x14ac:dyDescent="0.35">
      <c r="A75" s="15">
        <v>0</v>
      </c>
      <c r="B75" s="15" t="s">
        <v>76</v>
      </c>
      <c r="C75" s="15"/>
      <c r="D75" s="15"/>
      <c r="E75" s="15">
        <v>11</v>
      </c>
      <c r="F75" s="15"/>
      <c r="G75" s="15"/>
      <c r="H75" s="15">
        <v>7</v>
      </c>
      <c r="I75" s="15"/>
      <c r="J75" s="15"/>
      <c r="K75" s="35">
        <f t="shared" si="9"/>
        <v>18</v>
      </c>
      <c r="L75" s="35">
        <f t="shared" si="7"/>
        <v>6.3</v>
      </c>
      <c r="M75" s="36">
        <f t="shared" si="8"/>
        <v>24.3</v>
      </c>
      <c r="N75" s="15">
        <v>20</v>
      </c>
      <c r="O75" s="15">
        <v>12</v>
      </c>
      <c r="P75" s="15"/>
      <c r="Q75" s="15"/>
      <c r="R75" s="15">
        <f t="shared" si="3"/>
        <v>32</v>
      </c>
      <c r="S75" s="38">
        <f t="shared" si="4"/>
        <v>56.3</v>
      </c>
      <c r="T75" s="39">
        <f t="shared" si="5"/>
        <v>0</v>
      </c>
      <c r="U75" s="47"/>
    </row>
    <row r="76" spans="1:21" x14ac:dyDescent="0.35">
      <c r="A76" s="15">
        <v>0</v>
      </c>
      <c r="B76" s="15" t="s">
        <v>78</v>
      </c>
      <c r="C76" s="15"/>
      <c r="D76" s="15"/>
      <c r="E76" s="15"/>
      <c r="F76" s="15"/>
      <c r="G76" s="15"/>
      <c r="H76" s="15">
        <v>7</v>
      </c>
      <c r="I76" s="15"/>
      <c r="J76" s="15"/>
      <c r="K76" s="35">
        <f t="shared" si="9"/>
        <v>7</v>
      </c>
      <c r="L76" s="35">
        <f t="shared" si="7"/>
        <v>2.4499999999999997</v>
      </c>
      <c r="M76" s="36">
        <f t="shared" si="8"/>
        <v>9.4499999999999993</v>
      </c>
      <c r="N76" s="15">
        <v>10</v>
      </c>
      <c r="O76" s="15">
        <v>6</v>
      </c>
      <c r="P76" s="15"/>
      <c r="Q76" s="15"/>
      <c r="R76" s="15">
        <f t="shared" si="3"/>
        <v>16</v>
      </c>
      <c r="S76" s="38">
        <f t="shared" si="4"/>
        <v>25.45</v>
      </c>
      <c r="T76" s="39">
        <f t="shared" si="5"/>
        <v>0</v>
      </c>
      <c r="U76" s="47"/>
    </row>
    <row r="77" spans="1:21" x14ac:dyDescent="0.35">
      <c r="A77" s="15">
        <v>0</v>
      </c>
      <c r="B77" s="15" t="s">
        <v>80</v>
      </c>
      <c r="C77" s="15"/>
      <c r="D77" s="15"/>
      <c r="E77" s="15">
        <v>8</v>
      </c>
      <c r="F77" s="15"/>
      <c r="G77" s="15"/>
      <c r="H77" s="15"/>
      <c r="I77" s="15"/>
      <c r="J77" s="15"/>
      <c r="K77" s="35">
        <f t="shared" si="9"/>
        <v>8</v>
      </c>
      <c r="L77" s="35">
        <f t="shared" si="7"/>
        <v>2.8</v>
      </c>
      <c r="M77" s="36">
        <f t="shared" si="8"/>
        <v>10.8</v>
      </c>
      <c r="N77" s="15">
        <v>10</v>
      </c>
      <c r="O77" s="15">
        <v>6</v>
      </c>
      <c r="P77" s="15"/>
      <c r="Q77" s="15"/>
      <c r="R77" s="15">
        <f t="shared" si="3"/>
        <v>16</v>
      </c>
      <c r="S77" s="38">
        <f t="shared" si="4"/>
        <v>26.8</v>
      </c>
      <c r="T77" s="39">
        <f t="shared" si="5"/>
        <v>0</v>
      </c>
      <c r="U77" s="47"/>
    </row>
    <row r="78" spans="1:21" x14ac:dyDescent="0.35">
      <c r="A78" s="15">
        <v>0</v>
      </c>
      <c r="B78" s="15" t="s">
        <v>81</v>
      </c>
      <c r="C78" s="15"/>
      <c r="D78" s="15"/>
      <c r="E78" s="15">
        <v>416</v>
      </c>
      <c r="F78" s="15"/>
      <c r="G78" s="15"/>
      <c r="H78" s="15"/>
      <c r="I78" s="15"/>
      <c r="J78" s="15"/>
      <c r="K78" s="35">
        <f t="shared" si="9"/>
        <v>416</v>
      </c>
      <c r="L78" s="35">
        <f t="shared" si="7"/>
        <v>145.6</v>
      </c>
      <c r="M78" s="36">
        <f t="shared" si="8"/>
        <v>561.6</v>
      </c>
      <c r="N78" s="15"/>
      <c r="O78" s="15">
        <v>6</v>
      </c>
      <c r="P78" s="15"/>
      <c r="Q78" s="15"/>
      <c r="R78" s="15">
        <f t="shared" si="3"/>
        <v>6</v>
      </c>
      <c r="S78" s="38">
        <f t="shared" si="4"/>
        <v>567.6</v>
      </c>
      <c r="T78" s="39">
        <f t="shared" si="5"/>
        <v>0</v>
      </c>
      <c r="U78" s="47"/>
    </row>
    <row r="79" spans="1:21" x14ac:dyDescent="0.35">
      <c r="A79" s="15">
        <v>0</v>
      </c>
      <c r="B79" s="15" t="s">
        <v>68</v>
      </c>
      <c r="C79" s="15"/>
      <c r="D79" s="15"/>
      <c r="E79" s="15">
        <v>100</v>
      </c>
      <c r="F79" s="15"/>
      <c r="G79" s="15"/>
      <c r="H79" s="15">
        <v>5</v>
      </c>
      <c r="I79" s="15"/>
      <c r="J79" s="15"/>
      <c r="K79" s="35">
        <f t="shared" si="9"/>
        <v>105</v>
      </c>
      <c r="L79" s="35">
        <f t="shared" si="7"/>
        <v>36.75</v>
      </c>
      <c r="M79" s="36">
        <f t="shared" si="8"/>
        <v>141.75</v>
      </c>
      <c r="N79" s="15">
        <v>10</v>
      </c>
      <c r="O79" s="15">
        <v>6</v>
      </c>
      <c r="P79" s="15"/>
      <c r="Q79" s="15"/>
      <c r="R79" s="15">
        <f t="shared" si="3"/>
        <v>16</v>
      </c>
      <c r="S79" s="38">
        <f t="shared" si="4"/>
        <v>157.75</v>
      </c>
      <c r="T79" s="39">
        <f t="shared" si="5"/>
        <v>0</v>
      </c>
      <c r="U79" s="47"/>
    </row>
    <row r="80" spans="1:21" x14ac:dyDescent="0.35">
      <c r="A80" s="15">
        <v>0</v>
      </c>
      <c r="B80" s="15" t="s">
        <v>83</v>
      </c>
      <c r="C80" s="15"/>
      <c r="D80" s="15"/>
      <c r="E80" s="15">
        <v>712</v>
      </c>
      <c r="F80" s="15"/>
      <c r="G80" s="15"/>
      <c r="H80" s="15">
        <v>15</v>
      </c>
      <c r="I80" s="15"/>
      <c r="J80" s="15"/>
      <c r="K80" s="35">
        <f t="shared" si="9"/>
        <v>727</v>
      </c>
      <c r="L80" s="35">
        <f t="shared" si="7"/>
        <v>254.45</v>
      </c>
      <c r="M80" s="36">
        <f t="shared" si="8"/>
        <v>981.45</v>
      </c>
      <c r="N80" s="15">
        <v>10</v>
      </c>
      <c r="O80" s="15">
        <v>6</v>
      </c>
      <c r="P80" s="15"/>
      <c r="Q80" s="15"/>
      <c r="R80" s="15">
        <f t="shared" ref="R80:R86" si="10">SUM(N80:Q80)</f>
        <v>16</v>
      </c>
      <c r="S80" s="38">
        <f t="shared" ref="S80:S86" si="11">R80+M80</f>
        <v>997.45</v>
      </c>
      <c r="T80" s="39">
        <f t="shared" ref="T80:T86" si="12">S80*A80</f>
        <v>0</v>
      </c>
      <c r="U80" s="47"/>
    </row>
    <row r="81" spans="1:21" x14ac:dyDescent="0.35">
      <c r="A81" s="15">
        <v>0</v>
      </c>
      <c r="B81" s="15" t="s">
        <v>84</v>
      </c>
      <c r="C81" s="15"/>
      <c r="D81" s="15"/>
      <c r="E81" s="15">
        <v>866</v>
      </c>
      <c r="F81" s="15"/>
      <c r="G81" s="15"/>
      <c r="H81" s="15">
        <v>15</v>
      </c>
      <c r="I81" s="15"/>
      <c r="J81" s="15"/>
      <c r="K81" s="35">
        <f t="shared" si="9"/>
        <v>881</v>
      </c>
      <c r="L81" s="35">
        <f t="shared" ref="L81:L92" si="13">K81*35%</f>
        <v>308.34999999999997</v>
      </c>
      <c r="M81" s="36">
        <f t="shared" ref="M81:M92" si="14">SUM(K81:L81)</f>
        <v>1189.3499999999999</v>
      </c>
      <c r="N81" s="15">
        <v>10</v>
      </c>
      <c r="O81" s="15">
        <v>6</v>
      </c>
      <c r="P81" s="15"/>
      <c r="Q81" s="15"/>
      <c r="R81" s="15">
        <f t="shared" si="10"/>
        <v>16</v>
      </c>
      <c r="S81" s="38">
        <f t="shared" si="11"/>
        <v>1205.3499999999999</v>
      </c>
      <c r="T81" s="39">
        <f t="shared" si="12"/>
        <v>0</v>
      </c>
      <c r="U81" s="47"/>
    </row>
    <row r="82" spans="1:21" x14ac:dyDescent="0.35">
      <c r="A82" s="15">
        <v>0</v>
      </c>
      <c r="B82" s="15" t="s">
        <v>65</v>
      </c>
      <c r="C82" s="15"/>
      <c r="D82" s="15"/>
      <c r="E82" s="15">
        <v>62</v>
      </c>
      <c r="F82" s="15"/>
      <c r="G82" s="15"/>
      <c r="H82" s="15">
        <v>5</v>
      </c>
      <c r="I82" s="15"/>
      <c r="J82" s="15"/>
      <c r="K82" s="35">
        <f t="shared" si="9"/>
        <v>67</v>
      </c>
      <c r="L82" s="35">
        <f t="shared" si="13"/>
        <v>23.45</v>
      </c>
      <c r="M82" s="36">
        <f t="shared" si="14"/>
        <v>90.45</v>
      </c>
      <c r="N82" s="15">
        <v>10</v>
      </c>
      <c r="O82" s="15">
        <v>6</v>
      </c>
      <c r="P82" s="15"/>
      <c r="Q82" s="15"/>
      <c r="R82" s="15">
        <f t="shared" si="10"/>
        <v>16</v>
      </c>
      <c r="S82" s="38">
        <f t="shared" si="11"/>
        <v>106.45</v>
      </c>
      <c r="T82" s="39">
        <f t="shared" si="12"/>
        <v>0</v>
      </c>
      <c r="U82" s="47"/>
    </row>
    <row r="83" spans="1:21" x14ac:dyDescent="0.35">
      <c r="A83" s="15">
        <v>0</v>
      </c>
      <c r="B83" s="15" t="s">
        <v>89</v>
      </c>
      <c r="C83" s="15"/>
      <c r="D83" s="15"/>
      <c r="E83" s="15">
        <v>162</v>
      </c>
      <c r="F83" s="15"/>
      <c r="G83" s="15"/>
      <c r="H83" s="15">
        <v>10</v>
      </c>
      <c r="I83" s="15"/>
      <c r="J83" s="15"/>
      <c r="K83" s="35">
        <f t="shared" si="9"/>
        <v>172</v>
      </c>
      <c r="L83" s="35">
        <f t="shared" si="13"/>
        <v>60.199999999999996</v>
      </c>
      <c r="M83" s="36">
        <f t="shared" si="14"/>
        <v>232.2</v>
      </c>
      <c r="N83" s="15">
        <v>10</v>
      </c>
      <c r="O83" s="15">
        <v>6</v>
      </c>
      <c r="P83" s="15"/>
      <c r="Q83" s="15"/>
      <c r="R83" s="15">
        <f t="shared" si="10"/>
        <v>16</v>
      </c>
      <c r="S83" s="38">
        <f t="shared" si="11"/>
        <v>248.2</v>
      </c>
      <c r="T83" s="39">
        <f t="shared" si="12"/>
        <v>0</v>
      </c>
      <c r="U83" s="47"/>
    </row>
    <row r="84" spans="1:21" x14ac:dyDescent="0.35">
      <c r="A84" s="15">
        <v>0</v>
      </c>
      <c r="B84" s="15" t="s">
        <v>94</v>
      </c>
      <c r="C84" s="15"/>
      <c r="D84" s="15"/>
      <c r="E84" s="15">
        <v>6.95</v>
      </c>
      <c r="F84" s="15"/>
      <c r="G84" s="15"/>
      <c r="H84" s="15"/>
      <c r="I84" s="15"/>
      <c r="J84" s="15"/>
      <c r="K84" s="35">
        <f t="shared" si="9"/>
        <v>6.95</v>
      </c>
      <c r="L84" s="35">
        <f t="shared" si="13"/>
        <v>2.4325000000000001</v>
      </c>
      <c r="M84" s="36">
        <f t="shared" si="14"/>
        <v>9.3825000000000003</v>
      </c>
      <c r="N84" s="15">
        <v>10</v>
      </c>
      <c r="O84" s="15"/>
      <c r="P84" s="15"/>
      <c r="Q84" s="15"/>
      <c r="R84" s="15">
        <f t="shared" si="10"/>
        <v>10</v>
      </c>
      <c r="S84" s="38">
        <f t="shared" si="11"/>
        <v>19.3825</v>
      </c>
      <c r="T84" s="39">
        <f t="shared" si="12"/>
        <v>0</v>
      </c>
      <c r="U84" s="47"/>
    </row>
    <row r="85" spans="1:21" x14ac:dyDescent="0.35">
      <c r="A85" s="15">
        <v>0</v>
      </c>
      <c r="B85" s="15" t="s">
        <v>85</v>
      </c>
      <c r="C85" s="15"/>
      <c r="D85" s="15"/>
      <c r="E85" s="15">
        <v>94.5</v>
      </c>
      <c r="F85" s="15"/>
      <c r="G85" s="15"/>
      <c r="H85" s="15">
        <v>20</v>
      </c>
      <c r="I85" s="15"/>
      <c r="J85" s="15"/>
      <c r="K85" s="35">
        <f t="shared" si="9"/>
        <v>114.5</v>
      </c>
      <c r="L85" s="35">
        <f t="shared" si="13"/>
        <v>40.074999999999996</v>
      </c>
      <c r="M85" s="36">
        <f t="shared" si="14"/>
        <v>154.57499999999999</v>
      </c>
      <c r="N85" s="15"/>
      <c r="O85" s="15"/>
      <c r="P85" s="15"/>
      <c r="Q85" s="15"/>
      <c r="R85" s="15">
        <f t="shared" si="10"/>
        <v>0</v>
      </c>
      <c r="S85" s="38">
        <f t="shared" si="11"/>
        <v>154.57499999999999</v>
      </c>
      <c r="T85" s="39">
        <f t="shared" si="12"/>
        <v>0</v>
      </c>
      <c r="U85" s="47"/>
    </row>
    <row r="86" spans="1:21" x14ac:dyDescent="0.35">
      <c r="A86" s="15">
        <v>0</v>
      </c>
      <c r="B86" s="15" t="s">
        <v>86</v>
      </c>
      <c r="C86" s="15"/>
      <c r="D86" s="15"/>
      <c r="E86" s="15">
        <v>323</v>
      </c>
      <c r="F86" s="15"/>
      <c r="G86" s="15"/>
      <c r="H86" s="15"/>
      <c r="I86" s="15"/>
      <c r="J86" s="15"/>
      <c r="K86" s="35">
        <f t="shared" si="9"/>
        <v>323</v>
      </c>
      <c r="L86" s="35">
        <f t="shared" si="13"/>
        <v>113.05</v>
      </c>
      <c r="M86" s="36">
        <f t="shared" si="14"/>
        <v>436.05</v>
      </c>
      <c r="N86" s="15"/>
      <c r="O86" s="15"/>
      <c r="P86" s="15"/>
      <c r="Q86" s="15"/>
      <c r="R86" s="15">
        <f t="shared" si="10"/>
        <v>0</v>
      </c>
      <c r="S86" s="38">
        <f t="shared" si="11"/>
        <v>436.05</v>
      </c>
      <c r="T86" s="39">
        <f t="shared" si="12"/>
        <v>0</v>
      </c>
      <c r="U86" s="47"/>
    </row>
    <row r="87" spans="1:21" x14ac:dyDescent="0.35">
      <c r="A87" s="15">
        <v>0</v>
      </c>
      <c r="B87" s="15" t="s">
        <v>87</v>
      </c>
      <c r="C87" s="15"/>
      <c r="D87" s="15"/>
      <c r="E87" s="15">
        <v>103</v>
      </c>
      <c r="F87" s="15"/>
      <c r="G87" s="15"/>
      <c r="H87" s="15">
        <v>15</v>
      </c>
      <c r="I87" s="15"/>
      <c r="J87" s="15"/>
      <c r="K87" s="35">
        <f t="shared" si="9"/>
        <v>118</v>
      </c>
      <c r="L87" s="35">
        <f t="shared" si="13"/>
        <v>41.3</v>
      </c>
      <c r="M87" s="36">
        <f t="shared" si="14"/>
        <v>159.30000000000001</v>
      </c>
      <c r="N87" s="39">
        <f t="shared" ref="N87:N88" si="15">M87*A87</f>
        <v>0</v>
      </c>
      <c r="O87" s="15"/>
      <c r="P87" s="15"/>
      <c r="Q87" s="15"/>
      <c r="R87" s="15"/>
      <c r="S87" s="15"/>
      <c r="T87" s="15"/>
      <c r="U87" s="47"/>
    </row>
    <row r="88" spans="1:21" x14ac:dyDescent="0.35">
      <c r="A88" s="40">
        <v>0</v>
      </c>
      <c r="B88" s="40" t="s">
        <v>90</v>
      </c>
      <c r="C88" s="40"/>
      <c r="D88" s="40"/>
      <c r="E88" s="40">
        <v>197.6</v>
      </c>
      <c r="F88" s="40"/>
      <c r="G88" s="40"/>
      <c r="H88" s="40"/>
      <c r="I88" s="40"/>
      <c r="J88" s="40"/>
      <c r="K88" s="41">
        <f t="shared" si="9"/>
        <v>197.6</v>
      </c>
      <c r="L88" s="41">
        <f t="shared" si="13"/>
        <v>69.16</v>
      </c>
      <c r="M88" s="42">
        <f t="shared" si="14"/>
        <v>266.76</v>
      </c>
      <c r="N88" s="43">
        <f t="shared" si="15"/>
        <v>0</v>
      </c>
      <c r="O88" s="40"/>
      <c r="P88" s="40"/>
      <c r="Q88" s="40"/>
      <c r="R88" s="40"/>
      <c r="S88" s="40"/>
      <c r="T88" s="40"/>
      <c r="U88" s="47"/>
    </row>
    <row r="89" spans="1:21" x14ac:dyDescent="0.35">
      <c r="A89" s="71">
        <v>0</v>
      </c>
      <c r="B89" s="72" t="s">
        <v>91</v>
      </c>
      <c r="C89" s="72"/>
      <c r="D89" s="72"/>
      <c r="E89" s="75">
        <v>6.5</v>
      </c>
      <c r="F89" s="75"/>
      <c r="G89" s="75"/>
      <c r="H89" s="75"/>
      <c r="I89" s="75"/>
      <c r="J89" s="75"/>
      <c r="K89" s="73">
        <f t="shared" si="9"/>
        <v>6.5</v>
      </c>
      <c r="L89" s="73">
        <f t="shared" si="13"/>
        <v>2.2749999999999999</v>
      </c>
      <c r="M89" s="74">
        <f t="shared" si="14"/>
        <v>8.7750000000000004</v>
      </c>
      <c r="N89" s="77"/>
      <c r="P89" s="75"/>
      <c r="Q89" s="75"/>
      <c r="R89" s="75"/>
      <c r="S89" s="75"/>
      <c r="T89" s="75"/>
    </row>
    <row r="90" spans="1:21" x14ac:dyDescent="0.35">
      <c r="A90" s="71">
        <v>0</v>
      </c>
      <c r="B90" s="72" t="s">
        <v>92</v>
      </c>
      <c r="C90" s="72"/>
      <c r="D90" s="72"/>
      <c r="E90" s="75">
        <v>10</v>
      </c>
      <c r="F90" s="75"/>
      <c r="G90" s="75"/>
      <c r="H90" s="75"/>
      <c r="I90" s="75"/>
      <c r="J90" s="75"/>
      <c r="K90" s="73">
        <f t="shared" si="9"/>
        <v>10</v>
      </c>
      <c r="L90" s="73">
        <f t="shared" si="13"/>
        <v>3.5</v>
      </c>
      <c r="M90" s="74">
        <f t="shared" si="14"/>
        <v>13.5</v>
      </c>
      <c r="N90" s="77"/>
      <c r="P90" s="75"/>
      <c r="Q90" s="75"/>
      <c r="R90" s="75"/>
      <c r="S90" s="75"/>
      <c r="T90" s="75"/>
    </row>
    <row r="91" spans="1:21" x14ac:dyDescent="0.35">
      <c r="A91" s="71">
        <v>0</v>
      </c>
      <c r="B91" s="72" t="s">
        <v>230</v>
      </c>
      <c r="C91" s="72"/>
      <c r="D91" s="72"/>
      <c r="E91" s="75"/>
      <c r="F91" s="75"/>
      <c r="G91" s="75"/>
      <c r="H91" s="75"/>
      <c r="I91" s="75"/>
      <c r="J91" s="75"/>
      <c r="K91" s="73">
        <f t="shared" si="9"/>
        <v>0</v>
      </c>
      <c r="L91" s="73">
        <f t="shared" si="13"/>
        <v>0</v>
      </c>
      <c r="M91" s="74">
        <f t="shared" si="14"/>
        <v>0</v>
      </c>
      <c r="N91" s="77"/>
      <c r="P91" s="75"/>
      <c r="Q91" s="75"/>
      <c r="R91" s="75"/>
      <c r="S91" s="75"/>
      <c r="T91" s="75"/>
    </row>
    <row r="92" spans="1:21" x14ac:dyDescent="0.35">
      <c r="A92" s="71">
        <v>0</v>
      </c>
      <c r="B92" s="72" t="s">
        <v>231</v>
      </c>
      <c r="C92" s="72"/>
      <c r="D92" s="72"/>
      <c r="E92" s="75"/>
      <c r="F92" s="75"/>
      <c r="G92" s="75"/>
      <c r="H92" s="75"/>
      <c r="I92" s="75"/>
      <c r="J92" s="75"/>
      <c r="K92" s="73">
        <f t="shared" si="9"/>
        <v>0</v>
      </c>
      <c r="L92" s="73">
        <f t="shared" si="13"/>
        <v>0</v>
      </c>
      <c r="M92" s="74">
        <f t="shared" si="14"/>
        <v>0</v>
      </c>
      <c r="N92" s="77"/>
      <c r="P92" s="75"/>
      <c r="Q92" s="75"/>
      <c r="R92" s="75"/>
      <c r="S92" s="75"/>
      <c r="T92" s="75"/>
    </row>
    <row r="93" spans="1:21" x14ac:dyDescent="0.35">
      <c r="A93" s="71">
        <v>0</v>
      </c>
      <c r="B93" s="72" t="s">
        <v>230</v>
      </c>
      <c r="C93" s="72"/>
      <c r="D93" s="72"/>
      <c r="E93" s="73"/>
      <c r="F93" s="73">
        <f>E93*35%</f>
        <v>0</v>
      </c>
      <c r="G93" s="74">
        <f>SUM(E93:F93)</f>
        <v>0</v>
      </c>
      <c r="H93" s="75"/>
      <c r="I93" s="75"/>
      <c r="J93" s="75"/>
      <c r="K93" s="75"/>
      <c r="L93" s="75">
        <f>SUM(H93:K93)</f>
        <v>0</v>
      </c>
      <c r="M93" s="76">
        <f>L93+G93</f>
        <v>0</v>
      </c>
      <c r="N93" s="77"/>
      <c r="P93" s="75"/>
      <c r="Q93" s="75"/>
      <c r="R93" s="75"/>
      <c r="S93" s="75"/>
      <c r="T93" s="75"/>
    </row>
    <row r="94" spans="1:21" x14ac:dyDescent="0.35">
      <c r="A94" s="71">
        <v>0</v>
      </c>
      <c r="B94" s="72" t="s">
        <v>231</v>
      </c>
      <c r="C94" s="72"/>
      <c r="D94" s="72"/>
      <c r="E94" s="73"/>
      <c r="F94" s="73">
        <f>E94*35%</f>
        <v>0</v>
      </c>
      <c r="G94" s="74">
        <f>SUM(E94:F94)</f>
        <v>0</v>
      </c>
      <c r="H94" s="75"/>
      <c r="I94" s="75"/>
      <c r="J94" s="75"/>
      <c r="K94" s="75"/>
      <c r="L94" s="75">
        <f>SUM(H94:K94)</f>
        <v>0</v>
      </c>
      <c r="M94" s="76">
        <f>L94+G94</f>
        <v>0</v>
      </c>
      <c r="N94" s="77"/>
      <c r="P94" s="75"/>
      <c r="Q94" s="75"/>
      <c r="R94" s="75"/>
      <c r="S94" s="75"/>
      <c r="T94" s="75"/>
    </row>
    <row r="95" spans="1:21" ht="15" thickBot="1" x14ac:dyDescent="0.4">
      <c r="A95" s="71">
        <v>0</v>
      </c>
      <c r="B95" s="72" t="s">
        <v>331</v>
      </c>
      <c r="C95" s="72"/>
      <c r="D95" s="72"/>
      <c r="E95" s="73"/>
      <c r="F95" s="73"/>
      <c r="G95" s="74"/>
      <c r="H95" s="75"/>
      <c r="I95" s="75"/>
      <c r="J95" s="75"/>
      <c r="K95" s="75"/>
      <c r="L95" s="75"/>
      <c r="M95" s="76"/>
      <c r="N95" s="77"/>
      <c r="P95" s="75"/>
      <c r="Q95" s="75"/>
      <c r="R95" s="75"/>
      <c r="S95" s="75"/>
      <c r="T95" s="75"/>
    </row>
    <row r="96" spans="1:21" ht="15" thickBot="1" x14ac:dyDescent="0.4">
      <c r="A96" s="17"/>
      <c r="B96" s="18" t="s">
        <v>95</v>
      </c>
      <c r="C96" s="18"/>
      <c r="D96" s="18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48"/>
      <c r="P96" s="19"/>
      <c r="Q96" s="19"/>
      <c r="R96" s="19"/>
      <c r="S96" s="19"/>
      <c r="T96" s="19">
        <f>SUM(T5:T88)</f>
        <v>319.50799999999998</v>
      </c>
    </row>
  </sheetData>
  <sheetProtection autoFilter="0"/>
  <pageMargins left="0.7" right="0.7" top="0.78740157499999996" bottom="0.78740157499999996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61"/>
  <sheetViews>
    <sheetView workbookViewId="0">
      <selection activeCell="G30" sqref="G30"/>
    </sheetView>
  </sheetViews>
  <sheetFormatPr baseColWidth="10" defaultRowHeight="14.5" x14ac:dyDescent="0.35"/>
  <cols>
    <col min="2" max="2" width="59.36328125" bestFit="1" customWidth="1"/>
  </cols>
  <sheetData>
    <row r="1" spans="1:3" x14ac:dyDescent="0.35">
      <c r="A1" s="12"/>
      <c r="B1" s="12" t="s">
        <v>30</v>
      </c>
      <c r="C1" s="13" t="s">
        <v>97</v>
      </c>
    </row>
    <row r="2" spans="1:3" x14ac:dyDescent="0.35">
      <c r="A2" s="14"/>
      <c r="B2" s="49"/>
      <c r="C2" s="16"/>
    </row>
    <row r="3" spans="1:3" x14ac:dyDescent="0.35">
      <c r="A3" s="14"/>
      <c r="B3" s="49" t="s">
        <v>296</v>
      </c>
      <c r="C3" s="16"/>
    </row>
    <row r="4" spans="1:3" x14ac:dyDescent="0.35">
      <c r="A4" s="14"/>
      <c r="B4" s="49" t="s">
        <v>219</v>
      </c>
      <c r="C4" s="16"/>
    </row>
    <row r="5" spans="1:3" x14ac:dyDescent="0.35">
      <c r="A5" s="14"/>
      <c r="B5" s="15" t="s">
        <v>65</v>
      </c>
      <c r="C5" s="16">
        <v>242.45</v>
      </c>
    </row>
    <row r="6" spans="1:3" x14ac:dyDescent="0.35">
      <c r="A6" s="14"/>
      <c r="B6" s="15" t="s">
        <v>297</v>
      </c>
      <c r="C6" s="16">
        <v>182.45</v>
      </c>
    </row>
    <row r="7" spans="1:3" x14ac:dyDescent="0.35">
      <c r="A7" s="14"/>
      <c r="B7" s="15" t="s">
        <v>67</v>
      </c>
      <c r="C7" s="16">
        <v>214.3</v>
      </c>
    </row>
    <row r="8" spans="1:3" x14ac:dyDescent="0.35">
      <c r="A8" s="14"/>
      <c r="B8" s="15" t="s">
        <v>68</v>
      </c>
      <c r="C8" s="16">
        <v>342.75</v>
      </c>
    </row>
    <row r="9" spans="1:3" x14ac:dyDescent="0.35">
      <c r="A9" s="14"/>
      <c r="B9" s="15" t="s">
        <v>69</v>
      </c>
      <c r="C9" s="16">
        <v>346.8</v>
      </c>
    </row>
    <row r="10" spans="1:3" x14ac:dyDescent="0.35">
      <c r="A10" s="14"/>
      <c r="B10" s="15" t="s">
        <v>70</v>
      </c>
      <c r="C10" s="16">
        <v>387.3</v>
      </c>
    </row>
    <row r="11" spans="1:3" x14ac:dyDescent="0.35">
      <c r="A11" s="14"/>
      <c r="B11" s="15" t="s">
        <v>298</v>
      </c>
      <c r="C11" s="16">
        <v>171.65</v>
      </c>
    </row>
    <row r="12" spans="1:3" x14ac:dyDescent="0.35">
      <c r="A12" s="14"/>
      <c r="B12" s="15" t="s">
        <v>71</v>
      </c>
      <c r="C12" s="16">
        <v>299.2</v>
      </c>
    </row>
    <row r="13" spans="1:3" x14ac:dyDescent="0.35">
      <c r="A13" s="14"/>
      <c r="B13" s="15" t="s">
        <v>299</v>
      </c>
      <c r="C13" s="16">
        <v>75.36</v>
      </c>
    </row>
    <row r="14" spans="1:3" x14ac:dyDescent="0.35">
      <c r="A14" s="14"/>
      <c r="B14" s="15" t="s">
        <v>300</v>
      </c>
      <c r="C14" s="16">
        <v>113.5</v>
      </c>
    </row>
    <row r="15" spans="1:3" x14ac:dyDescent="0.35">
      <c r="A15" s="14"/>
      <c r="B15" s="15" t="s">
        <v>301</v>
      </c>
      <c r="C15" s="16">
        <v>140.5</v>
      </c>
    </row>
    <row r="16" spans="1:3" x14ac:dyDescent="0.35">
      <c r="A16" s="14"/>
      <c r="B16" s="15" t="s">
        <v>302</v>
      </c>
      <c r="C16" s="16">
        <v>170.94</v>
      </c>
    </row>
    <row r="17" spans="1:3" x14ac:dyDescent="0.35">
      <c r="A17" s="14"/>
      <c r="B17" s="15" t="s">
        <v>303</v>
      </c>
      <c r="C17" s="16">
        <v>64.39</v>
      </c>
    </row>
    <row r="18" spans="1:3" x14ac:dyDescent="0.35">
      <c r="A18" s="15"/>
      <c r="B18" s="15" t="s">
        <v>89</v>
      </c>
      <c r="C18" s="15">
        <v>278.2</v>
      </c>
    </row>
    <row r="19" spans="1:3" x14ac:dyDescent="0.35">
      <c r="A19" s="15"/>
      <c r="B19" s="15" t="s">
        <v>90</v>
      </c>
      <c r="C19" s="15">
        <v>312.76</v>
      </c>
    </row>
    <row r="20" spans="1:3" x14ac:dyDescent="0.35">
      <c r="A20" s="14"/>
      <c r="B20" s="15" t="s">
        <v>75</v>
      </c>
      <c r="C20" s="16">
        <v>68.95</v>
      </c>
    </row>
    <row r="21" spans="1:3" x14ac:dyDescent="0.35">
      <c r="A21" s="15"/>
      <c r="B21" s="15" t="s">
        <v>304</v>
      </c>
      <c r="C21" s="15">
        <v>57.48</v>
      </c>
    </row>
    <row r="22" spans="1:3" x14ac:dyDescent="0.35">
      <c r="A22" s="14"/>
      <c r="B22" s="15" t="s">
        <v>74</v>
      </c>
      <c r="C22" s="16">
        <v>132</v>
      </c>
    </row>
    <row r="23" spans="1:3" x14ac:dyDescent="0.35">
      <c r="A23" s="14"/>
      <c r="B23" s="15" t="s">
        <v>76</v>
      </c>
      <c r="C23" s="16">
        <v>70.3</v>
      </c>
    </row>
    <row r="24" spans="1:3" x14ac:dyDescent="0.35">
      <c r="A24" s="14"/>
      <c r="B24" s="15" t="s">
        <v>77</v>
      </c>
      <c r="C24" s="16">
        <v>83.125</v>
      </c>
    </row>
    <row r="25" spans="1:3" x14ac:dyDescent="0.35">
      <c r="A25" s="14"/>
      <c r="B25" s="15" t="s">
        <v>78</v>
      </c>
      <c r="C25" s="16">
        <v>55.45</v>
      </c>
    </row>
    <row r="26" spans="1:3" x14ac:dyDescent="0.35">
      <c r="A26" s="14"/>
      <c r="B26" s="15" t="s">
        <v>79</v>
      </c>
      <c r="C26" s="16">
        <v>152.65</v>
      </c>
    </row>
    <row r="27" spans="1:3" ht="14.25" customHeight="1" x14ac:dyDescent="0.35">
      <c r="A27" s="14"/>
      <c r="B27" s="15" t="s">
        <v>305</v>
      </c>
      <c r="C27" s="16">
        <v>56.8</v>
      </c>
    </row>
    <row r="28" spans="1:3" x14ac:dyDescent="0.35">
      <c r="A28" s="14"/>
      <c r="B28" s="15" t="s">
        <v>81</v>
      </c>
      <c r="C28" s="16">
        <v>622.6</v>
      </c>
    </row>
    <row r="29" spans="1:3" x14ac:dyDescent="0.35">
      <c r="A29" s="14"/>
      <c r="B29" s="15" t="s">
        <v>82</v>
      </c>
      <c r="C29" s="16">
        <v>879.05</v>
      </c>
    </row>
    <row r="30" spans="1:3" x14ac:dyDescent="0.35">
      <c r="A30" s="14"/>
      <c r="B30" s="15" t="s">
        <v>83</v>
      </c>
      <c r="C30" s="16">
        <v>1187.45</v>
      </c>
    </row>
    <row r="31" spans="1:3" x14ac:dyDescent="0.35">
      <c r="A31" s="15"/>
      <c r="B31" s="15" t="s">
        <v>84</v>
      </c>
      <c r="C31" s="15">
        <v>1455.35</v>
      </c>
    </row>
    <row r="32" spans="1:3" x14ac:dyDescent="0.35">
      <c r="A32" s="15"/>
      <c r="B32" s="15" t="s">
        <v>85</v>
      </c>
      <c r="C32" s="15">
        <v>200.57499999999999</v>
      </c>
    </row>
    <row r="33" spans="1:3" x14ac:dyDescent="0.35">
      <c r="A33" s="15"/>
      <c r="B33" s="15" t="s">
        <v>86</v>
      </c>
      <c r="C33" s="15">
        <v>482.05</v>
      </c>
    </row>
    <row r="34" spans="1:3" x14ac:dyDescent="0.35">
      <c r="A34" s="15"/>
      <c r="B34" s="15" t="s">
        <v>87</v>
      </c>
      <c r="C34" s="15">
        <v>205.3</v>
      </c>
    </row>
    <row r="35" spans="1:3" x14ac:dyDescent="0.35">
      <c r="A35" s="15"/>
      <c r="B35" s="15" t="s">
        <v>88</v>
      </c>
      <c r="C35" s="15">
        <v>274.45</v>
      </c>
    </row>
    <row r="36" spans="1:3" x14ac:dyDescent="0.35">
      <c r="A36" s="15"/>
      <c r="B36" s="15" t="s">
        <v>91</v>
      </c>
      <c r="C36" s="15">
        <v>39.774999999999999</v>
      </c>
    </row>
    <row r="37" spans="1:3" x14ac:dyDescent="0.35">
      <c r="A37" s="15"/>
      <c r="B37" s="15" t="s">
        <v>92</v>
      </c>
      <c r="C37" s="15">
        <v>44.5</v>
      </c>
    </row>
    <row r="38" spans="1:3" x14ac:dyDescent="0.35">
      <c r="A38" s="15"/>
      <c r="B38" s="15" t="s">
        <v>93</v>
      </c>
      <c r="C38" s="15">
        <v>38.482500000000002</v>
      </c>
    </row>
    <row r="39" spans="1:3" x14ac:dyDescent="0.35">
      <c r="A39" s="15"/>
      <c r="B39" s="15" t="s">
        <v>94</v>
      </c>
      <c r="C39" s="15">
        <v>75.382499999999993</v>
      </c>
    </row>
    <row r="40" spans="1:3" x14ac:dyDescent="0.35">
      <c r="A40" s="15"/>
      <c r="B40" s="15" t="s">
        <v>158</v>
      </c>
      <c r="C40" s="15"/>
    </row>
    <row r="41" spans="1:3" x14ac:dyDescent="0.35">
      <c r="A41" s="15"/>
      <c r="B41" s="15" t="s">
        <v>191</v>
      </c>
      <c r="C41" s="15"/>
    </row>
    <row r="42" spans="1:3" x14ac:dyDescent="0.35">
      <c r="A42" s="15"/>
      <c r="B42" s="15" t="s">
        <v>196</v>
      </c>
      <c r="C42" s="15"/>
    </row>
    <row r="43" spans="1:3" x14ac:dyDescent="0.35">
      <c r="A43" s="15"/>
      <c r="B43" s="15" t="s">
        <v>199</v>
      </c>
      <c r="C43" s="15"/>
    </row>
    <row r="44" spans="1:3" x14ac:dyDescent="0.35">
      <c r="A44" s="15"/>
      <c r="B44" s="15" t="s">
        <v>202</v>
      </c>
      <c r="C44" s="15"/>
    </row>
    <row r="45" spans="1:3" x14ac:dyDescent="0.35">
      <c r="A45" s="15"/>
      <c r="B45" s="15" t="s">
        <v>205</v>
      </c>
      <c r="C45" s="15"/>
    </row>
    <row r="46" spans="1:3" x14ac:dyDescent="0.35">
      <c r="A46" s="15"/>
      <c r="B46" s="15" t="s">
        <v>215</v>
      </c>
      <c r="C46" s="15"/>
    </row>
    <row r="47" spans="1:3" x14ac:dyDescent="0.35">
      <c r="A47" s="15"/>
      <c r="B47" s="15" t="s">
        <v>216</v>
      </c>
      <c r="C47" s="15"/>
    </row>
    <row r="48" spans="1:3" x14ac:dyDescent="0.35">
      <c r="A48" s="15"/>
      <c r="B48" s="15" t="s">
        <v>232</v>
      </c>
      <c r="C48" s="15"/>
    </row>
    <row r="49" spans="1:3" x14ac:dyDescent="0.35">
      <c r="A49" s="15"/>
      <c r="B49" s="15" t="s">
        <v>225</v>
      </c>
      <c r="C49" s="15"/>
    </row>
    <row r="50" spans="1:3" x14ac:dyDescent="0.35">
      <c r="A50" s="15"/>
      <c r="B50" s="15" t="s">
        <v>224</v>
      </c>
      <c r="C50" s="15"/>
    </row>
    <row r="51" spans="1:3" x14ac:dyDescent="0.35">
      <c r="A51" s="15"/>
      <c r="B51" s="15" t="s">
        <v>218</v>
      </c>
      <c r="C51" s="15"/>
    </row>
    <row r="52" spans="1:3" x14ac:dyDescent="0.35">
      <c r="A52" s="15"/>
      <c r="B52" s="15" t="s">
        <v>220</v>
      </c>
      <c r="C52" s="15"/>
    </row>
    <row r="53" spans="1:3" x14ac:dyDescent="0.35">
      <c r="A53" s="15"/>
      <c r="B53" s="15" t="s">
        <v>213</v>
      </c>
      <c r="C53" s="15"/>
    </row>
    <row r="54" spans="1:3" x14ac:dyDescent="0.35">
      <c r="B54" t="s">
        <v>312</v>
      </c>
    </row>
    <row r="55" spans="1:3" x14ac:dyDescent="0.35">
      <c r="B55" t="s">
        <v>319</v>
      </c>
    </row>
    <row r="56" spans="1:3" x14ac:dyDescent="0.35">
      <c r="B56" t="s">
        <v>324</v>
      </c>
    </row>
    <row r="57" spans="1:3" x14ac:dyDescent="0.35">
      <c r="B57" t="s">
        <v>331</v>
      </c>
    </row>
    <row r="58" spans="1:3" x14ac:dyDescent="0.35">
      <c r="B58" t="s">
        <v>344</v>
      </c>
    </row>
    <row r="59" spans="1:3" x14ac:dyDescent="0.35">
      <c r="B59" t="s">
        <v>345</v>
      </c>
    </row>
    <row r="60" spans="1:3" x14ac:dyDescent="0.35">
      <c r="B60" t="s">
        <v>392</v>
      </c>
    </row>
    <row r="61" spans="1:3" x14ac:dyDescent="0.35">
      <c r="B61" t="s">
        <v>398</v>
      </c>
    </row>
  </sheetData>
  <sheetProtection autoFilter="0"/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K35"/>
  <sheetViews>
    <sheetView topLeftCell="D1" zoomScale="115" zoomScaleNormal="115" workbookViewId="0">
      <selection activeCell="G10" sqref="G10"/>
    </sheetView>
  </sheetViews>
  <sheetFormatPr baseColWidth="10" defaultRowHeight="14.5" x14ac:dyDescent="0.35"/>
  <cols>
    <col min="1" max="1" width="20" style="4" customWidth="1"/>
    <col min="2" max="2" width="20.36328125" style="4" customWidth="1"/>
    <col min="3" max="3" width="33.453125" style="4" customWidth="1"/>
    <col min="4" max="4" width="30.36328125" style="4" customWidth="1"/>
    <col min="5" max="5" width="16.90625" style="4" customWidth="1"/>
    <col min="6" max="6" width="19.453125" style="4" bestFit="1" customWidth="1"/>
    <col min="7" max="7" width="19.453125" style="4" customWidth="1"/>
    <col min="8" max="8" width="23.54296875" style="4" customWidth="1"/>
    <col min="9" max="9" width="14" style="4" customWidth="1"/>
    <col min="11" max="11" width="13.90625" customWidth="1"/>
  </cols>
  <sheetData>
    <row r="1" spans="1:11" ht="34.5" customHeight="1" x14ac:dyDescent="0.35">
      <c r="A1" s="3" t="s">
        <v>31</v>
      </c>
      <c r="B1" s="3" t="s">
        <v>32</v>
      </c>
      <c r="C1" s="5" t="s">
        <v>33</v>
      </c>
      <c r="D1" s="5" t="s">
        <v>34</v>
      </c>
      <c r="E1" s="5" t="s">
        <v>35</v>
      </c>
      <c r="F1" s="5" t="s">
        <v>36</v>
      </c>
      <c r="G1" s="5" t="s">
        <v>287</v>
      </c>
      <c r="H1" s="5" t="s">
        <v>37</v>
      </c>
      <c r="I1" s="5" t="s">
        <v>10</v>
      </c>
      <c r="J1" s="5" t="s">
        <v>47</v>
      </c>
      <c r="K1" s="5" t="s">
        <v>48</v>
      </c>
    </row>
    <row r="2" spans="1:11" x14ac:dyDescent="0.35">
      <c r="A2" s="4" t="s">
        <v>99</v>
      </c>
      <c r="B2" s="4" t="s">
        <v>99</v>
      </c>
      <c r="C2" s="4" t="s">
        <v>99</v>
      </c>
      <c r="D2" s="4" t="s">
        <v>99</v>
      </c>
      <c r="E2" s="4" t="s">
        <v>99</v>
      </c>
      <c r="F2" s="4" t="s">
        <v>99</v>
      </c>
      <c r="G2" s="4" t="s">
        <v>99</v>
      </c>
      <c r="H2" s="4" t="s">
        <v>100</v>
      </c>
      <c r="I2" s="4" t="s">
        <v>100</v>
      </c>
      <c r="J2" s="4" t="s">
        <v>124</v>
      </c>
      <c r="K2" s="4" t="s">
        <v>100</v>
      </c>
    </row>
    <row r="3" spans="1:11" x14ac:dyDescent="0.35">
      <c r="A3" s="4" t="s">
        <v>252</v>
      </c>
      <c r="B3" s="4" t="s">
        <v>159</v>
      </c>
      <c r="C3" s="4" t="s">
        <v>98</v>
      </c>
      <c r="D3" s="4" t="s">
        <v>156</v>
      </c>
      <c r="E3" s="4" t="s">
        <v>100</v>
      </c>
      <c r="F3" s="4" t="s">
        <v>100</v>
      </c>
      <c r="G3" s="4" t="s">
        <v>273</v>
      </c>
      <c r="H3" s="4" t="s">
        <v>181</v>
      </c>
      <c r="I3" s="4" t="s">
        <v>181</v>
      </c>
      <c r="J3" s="4" t="s">
        <v>125</v>
      </c>
      <c r="K3" s="4" t="s">
        <v>50</v>
      </c>
    </row>
    <row r="4" spans="1:11" x14ac:dyDescent="0.35">
      <c r="A4" s="4" t="s">
        <v>259</v>
      </c>
      <c r="B4" s="4" t="s">
        <v>38</v>
      </c>
      <c r="C4" s="4" t="s">
        <v>136</v>
      </c>
      <c r="D4" s="4" t="s">
        <v>155</v>
      </c>
      <c r="E4" s="4" t="s">
        <v>165</v>
      </c>
      <c r="F4" s="4" t="s">
        <v>117</v>
      </c>
      <c r="G4" s="4" t="s">
        <v>294</v>
      </c>
      <c r="H4" s="4" t="s">
        <v>127</v>
      </c>
      <c r="I4" s="4" t="s">
        <v>45</v>
      </c>
      <c r="J4" s="4" t="s">
        <v>288</v>
      </c>
      <c r="K4" s="4" t="s">
        <v>51</v>
      </c>
    </row>
    <row r="5" spans="1:11" x14ac:dyDescent="0.35">
      <c r="A5" s="4" t="s">
        <v>253</v>
      </c>
      <c r="B5" s="4" t="s">
        <v>39</v>
      </c>
      <c r="C5" s="4" t="s">
        <v>293</v>
      </c>
      <c r="D5" s="4" t="s">
        <v>44</v>
      </c>
      <c r="E5" s="4" t="s">
        <v>163</v>
      </c>
      <c r="F5" s="4" t="s">
        <v>118</v>
      </c>
      <c r="G5" s="4" t="s">
        <v>274</v>
      </c>
      <c r="H5" s="4" t="s">
        <v>128</v>
      </c>
      <c r="I5" s="4" t="s">
        <v>129</v>
      </c>
      <c r="J5" s="4" t="s">
        <v>126</v>
      </c>
      <c r="K5" s="4" t="s">
        <v>49</v>
      </c>
    </row>
    <row r="6" spans="1:11" x14ac:dyDescent="0.35">
      <c r="A6" s="4" t="s">
        <v>260</v>
      </c>
      <c r="B6" s="4" t="s">
        <v>102</v>
      </c>
      <c r="C6" s="4" t="s">
        <v>105</v>
      </c>
      <c r="D6" s="4" t="s">
        <v>110</v>
      </c>
      <c r="E6" s="4" t="s">
        <v>166</v>
      </c>
      <c r="F6" s="4" t="s">
        <v>180</v>
      </c>
      <c r="G6" s="4" t="s">
        <v>295</v>
      </c>
      <c r="H6" s="4" t="s">
        <v>40</v>
      </c>
      <c r="I6" s="4" t="s">
        <v>46</v>
      </c>
      <c r="K6" s="4" t="s">
        <v>132</v>
      </c>
    </row>
    <row r="7" spans="1:11" x14ac:dyDescent="0.35">
      <c r="A7" s="4" t="s">
        <v>254</v>
      </c>
      <c r="B7" s="4" t="s">
        <v>101</v>
      </c>
      <c r="C7" s="4" t="s">
        <v>43</v>
      </c>
      <c r="D7" s="4" t="s">
        <v>111</v>
      </c>
      <c r="E7" s="4" t="s">
        <v>167</v>
      </c>
      <c r="F7" s="4" t="s">
        <v>148</v>
      </c>
      <c r="G7" s="4" t="s">
        <v>277</v>
      </c>
      <c r="H7" s="4" t="s">
        <v>138</v>
      </c>
      <c r="I7" s="4" t="s">
        <v>130</v>
      </c>
      <c r="K7" s="4" t="s">
        <v>133</v>
      </c>
    </row>
    <row r="8" spans="1:11" x14ac:dyDescent="0.35">
      <c r="A8" s="4" t="s">
        <v>262</v>
      </c>
      <c r="B8" s="4" t="s">
        <v>103</v>
      </c>
      <c r="C8" s="4" t="s">
        <v>135</v>
      </c>
      <c r="D8" s="4" t="s">
        <v>112</v>
      </c>
      <c r="E8" s="4" t="s">
        <v>174</v>
      </c>
      <c r="F8" s="4" t="s">
        <v>147</v>
      </c>
      <c r="G8" s="4" t="s">
        <v>275</v>
      </c>
      <c r="H8" s="4" t="s">
        <v>137</v>
      </c>
      <c r="I8" t="s">
        <v>343</v>
      </c>
      <c r="K8" s="4" t="s">
        <v>134</v>
      </c>
    </row>
    <row r="9" spans="1:11" x14ac:dyDescent="0.35">
      <c r="A9" s="4" t="s">
        <v>255</v>
      </c>
      <c r="B9" s="4" t="s">
        <v>104</v>
      </c>
      <c r="C9" s="4" t="s">
        <v>106</v>
      </c>
      <c r="D9" s="4" t="s">
        <v>113</v>
      </c>
      <c r="E9" s="4" t="s">
        <v>268</v>
      </c>
      <c r="F9" s="4" t="s">
        <v>146</v>
      </c>
      <c r="G9" s="4" t="s">
        <v>276</v>
      </c>
      <c r="K9" s="4" t="s">
        <v>139</v>
      </c>
    </row>
    <row r="10" spans="1:11" x14ac:dyDescent="0.35">
      <c r="A10" s="4" t="s">
        <v>261</v>
      </c>
      <c r="C10" s="4" t="s">
        <v>264</v>
      </c>
      <c r="D10" s="4" t="s">
        <v>114</v>
      </c>
      <c r="E10" s="4" t="s">
        <v>173</v>
      </c>
      <c r="F10" s="4" t="s">
        <v>145</v>
      </c>
      <c r="G10" s="4" t="s">
        <v>281</v>
      </c>
      <c r="K10" s="4" t="s">
        <v>140</v>
      </c>
    </row>
    <row r="11" spans="1:11" x14ac:dyDescent="0.35">
      <c r="A11" s="4" t="s">
        <v>256</v>
      </c>
      <c r="C11" s="4" t="s">
        <v>108</v>
      </c>
      <c r="D11" s="4" t="s">
        <v>115</v>
      </c>
      <c r="E11" s="4" t="s">
        <v>164</v>
      </c>
      <c r="F11" s="4" t="s">
        <v>144</v>
      </c>
      <c r="G11" s="4" t="s">
        <v>282</v>
      </c>
    </row>
    <row r="12" spans="1:11" x14ac:dyDescent="0.35">
      <c r="A12" s="4" t="s">
        <v>263</v>
      </c>
      <c r="C12" s="4" t="s">
        <v>109</v>
      </c>
      <c r="D12" s="4" t="s">
        <v>116</v>
      </c>
      <c r="E12" s="4" t="s">
        <v>161</v>
      </c>
      <c r="F12" s="4" t="s">
        <v>143</v>
      </c>
      <c r="G12" s="4" t="s">
        <v>278</v>
      </c>
    </row>
    <row r="13" spans="1:11" x14ac:dyDescent="0.35">
      <c r="A13" s="4" t="s">
        <v>257</v>
      </c>
      <c r="C13" s="4" t="s">
        <v>107</v>
      </c>
      <c r="E13" s="4" t="s">
        <v>168</v>
      </c>
      <c r="F13" s="4" t="s">
        <v>119</v>
      </c>
      <c r="G13" s="4" t="s">
        <v>279</v>
      </c>
    </row>
    <row r="14" spans="1:11" x14ac:dyDescent="0.35">
      <c r="A14" s="4" t="s">
        <v>258</v>
      </c>
      <c r="C14" s="4" t="s">
        <v>192</v>
      </c>
      <c r="E14" s="4" t="s">
        <v>169</v>
      </c>
      <c r="F14" s="4" t="s">
        <v>141</v>
      </c>
      <c r="G14" s="4" t="s">
        <v>280</v>
      </c>
    </row>
    <row r="15" spans="1:11" x14ac:dyDescent="0.35">
      <c r="A15" s="4" t="s">
        <v>289</v>
      </c>
      <c r="C15" s="4" t="s">
        <v>265</v>
      </c>
      <c r="E15" s="4" t="s">
        <v>170</v>
      </c>
      <c r="F15" s="4" t="s">
        <v>142</v>
      </c>
      <c r="G15" s="4" t="s">
        <v>283</v>
      </c>
    </row>
    <row r="16" spans="1:11" x14ac:dyDescent="0.35">
      <c r="A16" s="4" t="s">
        <v>291</v>
      </c>
      <c r="C16" s="4" t="s">
        <v>203</v>
      </c>
      <c r="E16" s="4" t="s">
        <v>171</v>
      </c>
      <c r="F16" s="4" t="s">
        <v>120</v>
      </c>
      <c r="G16" s="4" t="s">
        <v>284</v>
      </c>
    </row>
    <row r="17" spans="1:7" x14ac:dyDescent="0.35">
      <c r="A17" s="4" t="s">
        <v>290</v>
      </c>
      <c r="C17" s="4" t="s">
        <v>266</v>
      </c>
      <c r="E17" s="4" t="s">
        <v>172</v>
      </c>
      <c r="F17" s="4" t="s">
        <v>121</v>
      </c>
      <c r="G17" s="4" t="s">
        <v>285</v>
      </c>
    </row>
    <row r="18" spans="1:7" x14ac:dyDescent="0.35">
      <c r="A18" s="4" t="s">
        <v>292</v>
      </c>
      <c r="C18" s="4" t="s">
        <v>267</v>
      </c>
      <c r="E18" s="4" t="s">
        <v>269</v>
      </c>
      <c r="F18" s="4" t="s">
        <v>122</v>
      </c>
      <c r="G18" s="4" t="s">
        <v>286</v>
      </c>
    </row>
    <row r="19" spans="1:7" x14ac:dyDescent="0.35">
      <c r="C19" s="4" t="s">
        <v>329</v>
      </c>
      <c r="E19" s="4" t="s">
        <v>270</v>
      </c>
      <c r="F19" s="4" t="s">
        <v>123</v>
      </c>
      <c r="G19" s="4" t="s">
        <v>182</v>
      </c>
    </row>
    <row r="20" spans="1:7" x14ac:dyDescent="0.35">
      <c r="C20" s="4" t="s">
        <v>354</v>
      </c>
      <c r="E20" s="4" t="s">
        <v>201</v>
      </c>
      <c r="F20" s="4" t="s">
        <v>141</v>
      </c>
      <c r="G20" s="4" t="s">
        <v>311</v>
      </c>
    </row>
    <row r="21" spans="1:7" x14ac:dyDescent="0.35">
      <c r="E21" s="4" t="s">
        <v>175</v>
      </c>
      <c r="F21" s="4" t="s">
        <v>142</v>
      </c>
      <c r="G21" s="4" t="s">
        <v>322</v>
      </c>
    </row>
    <row r="22" spans="1:7" x14ac:dyDescent="0.35">
      <c r="E22" s="4" t="s">
        <v>176</v>
      </c>
      <c r="F22" s="4" t="s">
        <v>149</v>
      </c>
      <c r="G22" s="4" t="s">
        <v>333</v>
      </c>
    </row>
    <row r="23" spans="1:7" x14ac:dyDescent="0.35">
      <c r="E23" s="4" t="s">
        <v>177</v>
      </c>
      <c r="F23" s="4" t="s">
        <v>150</v>
      </c>
      <c r="G23" s="4" t="s">
        <v>336</v>
      </c>
    </row>
    <row r="24" spans="1:7" x14ac:dyDescent="0.35">
      <c r="E24" s="4" t="s">
        <v>178</v>
      </c>
      <c r="F24" s="4" t="s">
        <v>151</v>
      </c>
      <c r="G24" s="4" t="s">
        <v>355</v>
      </c>
    </row>
    <row r="25" spans="1:7" x14ac:dyDescent="0.35">
      <c r="E25" s="4" t="s">
        <v>179</v>
      </c>
      <c r="F25" s="4" t="s">
        <v>152</v>
      </c>
      <c r="G25" s="4" t="s">
        <v>376</v>
      </c>
    </row>
    <row r="26" spans="1:7" x14ac:dyDescent="0.35">
      <c r="E26" s="4" t="s">
        <v>271</v>
      </c>
      <c r="F26" s="4" t="s">
        <v>153</v>
      </c>
      <c r="G26" s="4" t="s">
        <v>380</v>
      </c>
    </row>
    <row r="27" spans="1:7" x14ac:dyDescent="0.35">
      <c r="E27" s="4" t="s">
        <v>272</v>
      </c>
      <c r="F27" s="4" t="s">
        <v>154</v>
      </c>
      <c r="G27" s="4" t="s">
        <v>384</v>
      </c>
    </row>
    <row r="28" spans="1:7" x14ac:dyDescent="0.35">
      <c r="E28" s="4" t="s">
        <v>204</v>
      </c>
      <c r="F28" s="4" t="s">
        <v>51</v>
      </c>
      <c r="G28" s="4" t="s">
        <v>386</v>
      </c>
    </row>
    <row r="29" spans="1:7" x14ac:dyDescent="0.35">
      <c r="E29" s="4" t="s">
        <v>162</v>
      </c>
      <c r="F29" s="4" t="s">
        <v>183</v>
      </c>
      <c r="G29" s="4" t="s">
        <v>389</v>
      </c>
    </row>
    <row r="30" spans="1:7" x14ac:dyDescent="0.35">
      <c r="E30" s="4" t="s">
        <v>379</v>
      </c>
      <c r="F30" s="4" t="s">
        <v>184</v>
      </c>
      <c r="G30" s="4" t="s">
        <v>391</v>
      </c>
    </row>
    <row r="31" spans="1:7" x14ac:dyDescent="0.35">
      <c r="F31" s="4" t="s">
        <v>185</v>
      </c>
      <c r="G31" s="4" t="s">
        <v>405</v>
      </c>
    </row>
    <row r="32" spans="1:7" x14ac:dyDescent="0.35">
      <c r="F32" s="4" t="s">
        <v>186</v>
      </c>
      <c r="G32" s="4" t="s">
        <v>410</v>
      </c>
    </row>
    <row r="33" spans="6:7" x14ac:dyDescent="0.35">
      <c r="F33" s="4" t="s">
        <v>187</v>
      </c>
      <c r="G33" s="4" t="s">
        <v>421</v>
      </c>
    </row>
    <row r="34" spans="6:7" x14ac:dyDescent="0.35">
      <c r="F34" s="4" t="s">
        <v>188</v>
      </c>
    </row>
    <row r="35" spans="6:7" x14ac:dyDescent="0.35">
      <c r="F35" s="4" t="s">
        <v>194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</vt:i4>
      </vt:variant>
    </vt:vector>
  </HeadingPairs>
  <TitlesOfParts>
    <vt:vector size="8" baseType="lpstr">
      <vt:lpstr>Türlisten 29.09.2026</vt:lpstr>
      <vt:lpstr>Türlisten 15.04.2026</vt:lpstr>
      <vt:lpstr>Kalkulation 15.04.2026</vt:lpstr>
      <vt:lpstr>Kalkulation 29.09.2026</vt:lpstr>
      <vt:lpstr>Fehlercode</vt:lpstr>
      <vt:lpstr>ComBoxData</vt:lpstr>
      <vt:lpstr>'Türlisten 15.04.2026'!Druckbereich</vt:lpstr>
      <vt:lpstr>'Türlisten 29.09.2026'!Druckbereich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2026-06-11T14:02:20Z</cp:lastPrinted>
  <dcterms:created xsi:type="dcterms:W3CDTF">2018-01-08T11:34:50Z</dcterms:created>
  <dcterms:modified xsi:type="dcterms:W3CDTF">2026-09-29T16:56:06Z</dcterms:modified>
</cp:coreProperties>
</file>